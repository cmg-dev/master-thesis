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tabRatio="671" activeTab="1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  <sheet name="Tabelle1" sheetId="11" r:id="rId9"/>
  </sheets>
  <externalReferences>
    <externalReference r:id="rId10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matdump_1" localSheetId="8">Tabelle1!$M$1:$V$1120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W11" i="2"/>
  <c r="O2" i="4"/>
  <c r="S23" i="1" l="1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2"/>
  <c r="S13"/>
  <c r="S14"/>
  <c r="S15"/>
  <c r="S16"/>
  <c r="S17"/>
  <c r="S18"/>
  <c r="S19"/>
  <c r="S20"/>
  <c r="S21"/>
  <c r="S12"/>
  <c r="D71" i="3"/>
  <c r="D72"/>
  <c r="F72" s="1"/>
  <c r="D73"/>
  <c r="F73" s="1"/>
  <c r="D74"/>
  <c r="F74" s="1"/>
  <c r="D75"/>
  <c r="F75" s="1"/>
  <c r="D76"/>
  <c r="F76" s="1"/>
  <c r="D77"/>
  <c r="F77" s="1"/>
  <c r="D78"/>
  <c r="F78" s="1"/>
  <c r="D79"/>
  <c r="F79" s="1"/>
  <c r="D80"/>
  <c r="F80" s="1"/>
  <c r="D81"/>
  <c r="F81" s="1"/>
  <c r="D82"/>
  <c r="F82" s="1"/>
  <c r="D83"/>
  <c r="F83" s="1"/>
  <c r="D84"/>
  <c r="F84" s="1"/>
  <c r="D85"/>
  <c r="D86"/>
  <c r="D87"/>
  <c r="F87" s="1"/>
  <c r="D88"/>
  <c r="D89"/>
  <c r="D90"/>
  <c r="F90" s="1"/>
  <c r="D91"/>
  <c r="D92"/>
  <c r="F92" s="1"/>
  <c r="D93"/>
  <c r="D94"/>
  <c r="F94" s="1"/>
  <c r="D95"/>
  <c r="D96"/>
  <c r="F96" s="1"/>
  <c r="D97"/>
  <c r="D98"/>
  <c r="F98" s="1"/>
  <c r="D99"/>
  <c r="D100"/>
  <c r="F100" s="1"/>
  <c r="D101"/>
  <c r="F101" s="1"/>
  <c r="D102"/>
  <c r="D103"/>
  <c r="F103" s="1"/>
  <c r="D104"/>
  <c r="D105"/>
  <c r="D106"/>
  <c r="G71" s="1"/>
  <c r="D107"/>
  <c r="G72" s="1"/>
  <c r="D108"/>
  <c r="G73" s="1"/>
  <c r="D109"/>
  <c r="G74" s="1"/>
  <c r="D110"/>
  <c r="G75" s="1"/>
  <c r="D111"/>
  <c r="G76" s="1"/>
  <c r="D112"/>
  <c r="G77" s="1"/>
  <c r="D113"/>
  <c r="G78" s="1"/>
  <c r="D114"/>
  <c r="G79" s="1"/>
  <c r="D115"/>
  <c r="G80" s="1"/>
  <c r="D116"/>
  <c r="G81" s="1"/>
  <c r="D117"/>
  <c r="G82" s="1"/>
  <c r="D118"/>
  <c r="G83" s="1"/>
  <c r="D119"/>
  <c r="G84" s="1"/>
  <c r="D120"/>
  <c r="G85" s="1"/>
  <c r="D121"/>
  <c r="G86" s="1"/>
  <c r="D122"/>
  <c r="G87" s="1"/>
  <c r="D123"/>
  <c r="G88" s="1"/>
  <c r="D124"/>
  <c r="G89" s="1"/>
  <c r="D125"/>
  <c r="G90" s="1"/>
  <c r="D126"/>
  <c r="G91" s="1"/>
  <c r="D127"/>
  <c r="G92" s="1"/>
  <c r="D128"/>
  <c r="G93" s="1"/>
  <c r="D129"/>
  <c r="G94" s="1"/>
  <c r="D130"/>
  <c r="G95" s="1"/>
  <c r="D131"/>
  <c r="G96" s="1"/>
  <c r="D132"/>
  <c r="G97" s="1"/>
  <c r="D133"/>
  <c r="G98" s="1"/>
  <c r="D134"/>
  <c r="G99" s="1"/>
  <c r="D135"/>
  <c r="G100" s="1"/>
  <c r="D136"/>
  <c r="G101" s="1"/>
  <c r="D137"/>
  <c r="G102" s="1"/>
  <c r="D138"/>
  <c r="G103" s="1"/>
  <c r="D139"/>
  <c r="D140"/>
  <c r="H70" s="1"/>
  <c r="D141"/>
  <c r="H71" s="1"/>
  <c r="D142"/>
  <c r="H72" s="1"/>
  <c r="D143"/>
  <c r="H73" s="1"/>
  <c r="D144"/>
  <c r="H74" s="1"/>
  <c r="D147"/>
  <c r="H77" s="1"/>
  <c r="D150"/>
  <c r="H80" s="1"/>
  <c r="D152"/>
  <c r="H82" s="1"/>
  <c r="D154"/>
  <c r="H84" s="1"/>
  <c r="D155"/>
  <c r="H85" s="1"/>
  <c r="D156"/>
  <c r="H86" s="1"/>
  <c r="D157"/>
  <c r="H87" s="1"/>
  <c r="D158"/>
  <c r="H88" s="1"/>
  <c r="D159"/>
  <c r="H89" s="1"/>
  <c r="D160"/>
  <c r="H90" s="1"/>
  <c r="D161"/>
  <c r="H91" s="1"/>
  <c r="D162"/>
  <c r="H92" s="1"/>
  <c r="D163"/>
  <c r="H93" s="1"/>
  <c r="D164"/>
  <c r="H94" s="1"/>
  <c r="D166"/>
  <c r="H96" s="1"/>
  <c r="D168"/>
  <c r="H98" s="1"/>
  <c r="D170"/>
  <c r="H100" s="1"/>
  <c r="D171"/>
  <c r="H101" s="1"/>
  <c r="D173"/>
  <c r="H103" s="1"/>
  <c r="D174"/>
  <c r="D175"/>
  <c r="I70" s="1"/>
  <c r="D176"/>
  <c r="I71" s="1"/>
  <c r="D177"/>
  <c r="I72" s="1"/>
  <c r="D178"/>
  <c r="I73" s="1"/>
  <c r="D179"/>
  <c r="I74" s="1"/>
  <c r="D182"/>
  <c r="I77" s="1"/>
  <c r="D185"/>
  <c r="I80" s="1"/>
  <c r="D187"/>
  <c r="I82" s="1"/>
  <c r="D189"/>
  <c r="I84" s="1"/>
  <c r="D190"/>
  <c r="I85" s="1"/>
  <c r="D191"/>
  <c r="I86" s="1"/>
  <c r="D192"/>
  <c r="I87" s="1"/>
  <c r="D193"/>
  <c r="I88" s="1"/>
  <c r="D194"/>
  <c r="I89" s="1"/>
  <c r="D195"/>
  <c r="I90" s="1"/>
  <c r="D196"/>
  <c r="I91" s="1"/>
  <c r="D197"/>
  <c r="I92" s="1"/>
  <c r="D198"/>
  <c r="I93" s="1"/>
  <c r="D199"/>
  <c r="I94" s="1"/>
  <c r="D201"/>
  <c r="I96" s="1"/>
  <c r="D203"/>
  <c r="I98" s="1"/>
  <c r="D205"/>
  <c r="I100" s="1"/>
  <c r="D206"/>
  <c r="I101" s="1"/>
  <c r="D208"/>
  <c r="I103" s="1"/>
  <c r="D209"/>
  <c r="D210"/>
  <c r="J70" s="1"/>
  <c r="D211"/>
  <c r="J71" s="1"/>
  <c r="D212"/>
  <c r="J72" s="1"/>
  <c r="D213"/>
  <c r="J73" s="1"/>
  <c r="D214"/>
  <c r="J74" s="1"/>
  <c r="D217"/>
  <c r="J77" s="1"/>
  <c r="D220"/>
  <c r="J80" s="1"/>
  <c r="D222"/>
  <c r="J82" s="1"/>
  <c r="D224"/>
  <c r="J84" s="1"/>
  <c r="D225"/>
  <c r="J85" s="1"/>
  <c r="D226"/>
  <c r="J86" s="1"/>
  <c r="D227"/>
  <c r="J87" s="1"/>
  <c r="D228"/>
  <c r="J88" s="1"/>
  <c r="D229"/>
  <c r="J89" s="1"/>
  <c r="D230"/>
  <c r="J90" s="1"/>
  <c r="D231"/>
  <c r="J91" s="1"/>
  <c r="D232"/>
  <c r="J92" s="1"/>
  <c r="D233"/>
  <c r="J93" s="1"/>
  <c r="D234"/>
  <c r="J94" s="1"/>
  <c r="D236"/>
  <c r="J96" s="1"/>
  <c r="D238"/>
  <c r="J98" s="1"/>
  <c r="D240"/>
  <c r="J100" s="1"/>
  <c r="D241"/>
  <c r="J101" s="1"/>
  <c r="D243"/>
  <c r="J103" s="1"/>
  <c r="D244"/>
  <c r="D245"/>
  <c r="D246"/>
  <c r="K71" s="1"/>
  <c r="D247"/>
  <c r="K72" s="1"/>
  <c r="D248"/>
  <c r="K73" s="1"/>
  <c r="D249"/>
  <c r="K74" s="1"/>
  <c r="D252"/>
  <c r="K77" s="1"/>
  <c r="D255"/>
  <c r="K80" s="1"/>
  <c r="D257"/>
  <c r="K82" s="1"/>
  <c r="D259"/>
  <c r="K84" s="1"/>
  <c r="D260"/>
  <c r="K85" s="1"/>
  <c r="D261"/>
  <c r="K86" s="1"/>
  <c r="D262"/>
  <c r="K87" s="1"/>
  <c r="D263"/>
  <c r="K88" s="1"/>
  <c r="D264"/>
  <c r="K89" s="1"/>
  <c r="D265"/>
  <c r="K90" s="1"/>
  <c r="D266"/>
  <c r="K91" s="1"/>
  <c r="D267"/>
  <c r="K92" s="1"/>
  <c r="D268"/>
  <c r="K93" s="1"/>
  <c r="D269"/>
  <c r="K94" s="1"/>
  <c r="D271"/>
  <c r="K96" s="1"/>
  <c r="D273"/>
  <c r="K98" s="1"/>
  <c r="D275"/>
  <c r="K100" s="1"/>
  <c r="D276"/>
  <c r="K101" s="1"/>
  <c r="D278"/>
  <c r="K103" s="1"/>
  <c r="D279"/>
  <c r="D280"/>
  <c r="L70" s="1"/>
  <c r="D281"/>
  <c r="L71" s="1"/>
  <c r="D282"/>
  <c r="L72" s="1"/>
  <c r="D283"/>
  <c r="L73" s="1"/>
  <c r="D284"/>
  <c r="L74" s="1"/>
  <c r="D285"/>
  <c r="L75" s="1"/>
  <c r="D286"/>
  <c r="L76" s="1"/>
  <c r="D287"/>
  <c r="L77" s="1"/>
  <c r="D288"/>
  <c r="L78" s="1"/>
  <c r="D289"/>
  <c r="L79" s="1"/>
  <c r="D290"/>
  <c r="L80" s="1"/>
  <c r="D291"/>
  <c r="L81" s="1"/>
  <c r="D292"/>
  <c r="L82" s="1"/>
  <c r="D293"/>
  <c r="L83" s="1"/>
  <c r="D294"/>
  <c r="L84" s="1"/>
  <c r="D295"/>
  <c r="L85" s="1"/>
  <c r="D296"/>
  <c r="L86" s="1"/>
  <c r="D297"/>
  <c r="L87" s="1"/>
  <c r="D298"/>
  <c r="L88" s="1"/>
  <c r="D299"/>
  <c r="L89" s="1"/>
  <c r="D300"/>
  <c r="L90" s="1"/>
  <c r="D301"/>
  <c r="L91" s="1"/>
  <c r="D302"/>
  <c r="L92" s="1"/>
  <c r="D303"/>
  <c r="L93" s="1"/>
  <c r="D304"/>
  <c r="L94" s="1"/>
  <c r="D305"/>
  <c r="L95" s="1"/>
  <c r="D306"/>
  <c r="L96" s="1"/>
  <c r="D307"/>
  <c r="L97" s="1"/>
  <c r="D308"/>
  <c r="L98" s="1"/>
  <c r="D309"/>
  <c r="L99" s="1"/>
  <c r="D310"/>
  <c r="L100" s="1"/>
  <c r="D311"/>
  <c r="L101" s="1"/>
  <c r="D312"/>
  <c r="L102" s="1"/>
  <c r="D313"/>
  <c r="L103" s="1"/>
  <c r="D314"/>
  <c r="D315"/>
  <c r="M70" s="1"/>
  <c r="D316"/>
  <c r="M71" s="1"/>
  <c r="D317"/>
  <c r="M72" s="1"/>
  <c r="D318"/>
  <c r="M73" s="1"/>
  <c r="D319"/>
  <c r="M74" s="1"/>
  <c r="D323"/>
  <c r="M78" s="1"/>
  <c r="D326"/>
  <c r="M81" s="1"/>
  <c r="D328"/>
  <c r="M83" s="1"/>
  <c r="D329"/>
  <c r="M84" s="1"/>
  <c r="D330"/>
  <c r="M85" s="1"/>
  <c r="D331"/>
  <c r="M86" s="1"/>
  <c r="D332"/>
  <c r="M87" s="1"/>
  <c r="D333"/>
  <c r="M88" s="1"/>
  <c r="D334"/>
  <c r="M89" s="1"/>
  <c r="D335"/>
  <c r="M90" s="1"/>
  <c r="D336"/>
  <c r="M91" s="1"/>
  <c r="D337"/>
  <c r="M92" s="1"/>
  <c r="D338"/>
  <c r="M93" s="1"/>
  <c r="D339"/>
  <c r="M94" s="1"/>
  <c r="D342"/>
  <c r="M97" s="1"/>
  <c r="D344"/>
  <c r="M99" s="1"/>
  <c r="D345"/>
  <c r="M100" s="1"/>
  <c r="D347"/>
  <c r="M102" s="1"/>
  <c r="D348"/>
  <c r="M103" s="1"/>
  <c r="D70"/>
  <c r="F70" s="1"/>
  <c r="C76"/>
  <c r="C77" s="1"/>
  <c r="C78" s="1"/>
  <c r="C79" s="1"/>
  <c r="C80" s="1"/>
  <c r="C81" s="1"/>
  <c r="C82" s="1"/>
  <c r="C83" s="1"/>
  <c r="C84" s="1"/>
  <c r="C85" s="1"/>
  <c r="C71"/>
  <c r="C72" s="1"/>
  <c r="C73" s="1"/>
  <c r="C74" s="1"/>
  <c r="C75" s="1"/>
  <c r="C70"/>
  <c r="Q13" i="1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12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13"/>
  <c r="R14"/>
  <c r="R15"/>
  <c r="R12"/>
  <c r="L37" i="11"/>
  <c r="L38"/>
  <c r="L39"/>
  <c r="L41"/>
  <c r="L42"/>
  <c r="L43"/>
  <c r="L45"/>
  <c r="L46"/>
  <c r="L47"/>
  <c r="L49"/>
  <c r="L50"/>
  <c r="L51"/>
  <c r="L53"/>
  <c r="L54"/>
  <c r="L55"/>
  <c r="L57"/>
  <c r="L58"/>
  <c r="L59"/>
  <c r="L61"/>
  <c r="L62"/>
  <c r="L63"/>
  <c r="L65"/>
  <c r="L66"/>
  <c r="L67"/>
  <c r="L69"/>
  <c r="L70"/>
  <c r="L71"/>
  <c r="L73"/>
  <c r="L74"/>
  <c r="L75"/>
  <c r="L77"/>
  <c r="L78"/>
  <c r="L79"/>
  <c r="L81"/>
  <c r="L82"/>
  <c r="L83"/>
  <c r="L85"/>
  <c r="L86"/>
  <c r="L87"/>
  <c r="L89"/>
  <c r="L90"/>
  <c r="L91"/>
  <c r="L93"/>
  <c r="L94"/>
  <c r="L95"/>
  <c r="L97"/>
  <c r="L98"/>
  <c r="L99"/>
  <c r="L101"/>
  <c r="L102"/>
  <c r="L103"/>
  <c r="L105"/>
  <c r="L106"/>
  <c r="L107"/>
  <c r="L109"/>
  <c r="L110"/>
  <c r="L111"/>
  <c r="L113"/>
  <c r="L114"/>
  <c r="L115"/>
  <c r="L117"/>
  <c r="L118"/>
  <c r="L119"/>
  <c r="L121"/>
  <c r="L122"/>
  <c r="L123"/>
  <c r="L125"/>
  <c r="L126"/>
  <c r="L127"/>
  <c r="L129"/>
  <c r="L130"/>
  <c r="L131"/>
  <c r="L133"/>
  <c r="L134"/>
  <c r="L135"/>
  <c r="L137"/>
  <c r="L138"/>
  <c r="L139"/>
  <c r="L141"/>
  <c r="L142"/>
  <c r="L143"/>
  <c r="L145"/>
  <c r="L146"/>
  <c r="L147"/>
  <c r="L149"/>
  <c r="L150"/>
  <c r="L151"/>
  <c r="L153"/>
  <c r="L154"/>
  <c r="L155"/>
  <c r="L157"/>
  <c r="L158"/>
  <c r="L159"/>
  <c r="L161"/>
  <c r="L162"/>
  <c r="L163"/>
  <c r="L165"/>
  <c r="L166"/>
  <c r="L167"/>
  <c r="L169"/>
  <c r="L170"/>
  <c r="L171"/>
  <c r="L173"/>
  <c r="L174"/>
  <c r="L175"/>
  <c r="L177"/>
  <c r="L178"/>
  <c r="L179"/>
  <c r="L181"/>
  <c r="L182"/>
  <c r="L183"/>
  <c r="L185"/>
  <c r="L186"/>
  <c r="L187"/>
  <c r="L189"/>
  <c r="L190"/>
  <c r="L191"/>
  <c r="L193"/>
  <c r="L194"/>
  <c r="L195"/>
  <c r="L197"/>
  <c r="L198"/>
  <c r="L199"/>
  <c r="L201"/>
  <c r="L202"/>
  <c r="L203"/>
  <c r="L205"/>
  <c r="L206"/>
  <c r="L207"/>
  <c r="L209"/>
  <c r="L210"/>
  <c r="L211"/>
  <c r="L213"/>
  <c r="L214"/>
  <c r="L215"/>
  <c r="L217"/>
  <c r="L218"/>
  <c r="L219"/>
  <c r="L221"/>
  <c r="L222"/>
  <c r="L223"/>
  <c r="L225"/>
  <c r="L226"/>
  <c r="L227"/>
  <c r="L229"/>
  <c r="L230"/>
  <c r="L231"/>
  <c r="L233"/>
  <c r="L234"/>
  <c r="L235"/>
  <c r="L237"/>
  <c r="L238"/>
  <c r="L239"/>
  <c r="L241"/>
  <c r="L242"/>
  <c r="L243"/>
  <c r="L245"/>
  <c r="L246"/>
  <c r="L247"/>
  <c r="L249"/>
  <c r="L250"/>
  <c r="L251"/>
  <c r="L253"/>
  <c r="L254"/>
  <c r="L255"/>
  <c r="L257"/>
  <c r="L258"/>
  <c r="L259"/>
  <c r="L261"/>
  <c r="L262"/>
  <c r="L263"/>
  <c r="L265"/>
  <c r="L266"/>
  <c r="L267"/>
  <c r="L269"/>
  <c r="L270"/>
  <c r="L271"/>
  <c r="L273"/>
  <c r="L274"/>
  <c r="L275"/>
  <c r="L277"/>
  <c r="L278"/>
  <c r="L279"/>
  <c r="L281"/>
  <c r="L282"/>
  <c r="L283"/>
  <c r="L285"/>
  <c r="L286"/>
  <c r="L287"/>
  <c r="L289"/>
  <c r="L290"/>
  <c r="L291"/>
  <c r="L293"/>
  <c r="L294"/>
  <c r="L295"/>
  <c r="L297"/>
  <c r="L298"/>
  <c r="L299"/>
  <c r="L301"/>
  <c r="L302"/>
  <c r="L303"/>
  <c r="L305"/>
  <c r="L306"/>
  <c r="L307"/>
  <c r="L309"/>
  <c r="L310"/>
  <c r="L311"/>
  <c r="L313"/>
  <c r="L314"/>
  <c r="L315"/>
  <c r="L317"/>
  <c r="L318"/>
  <c r="L319"/>
  <c r="L321"/>
  <c r="L322"/>
  <c r="L323"/>
  <c r="L325"/>
  <c r="L326"/>
  <c r="L327"/>
  <c r="L329"/>
  <c r="L330"/>
  <c r="L331"/>
  <c r="L333"/>
  <c r="L334"/>
  <c r="L335"/>
  <c r="L337"/>
  <c r="L338"/>
  <c r="L339"/>
  <c r="L341"/>
  <c r="L342"/>
  <c r="L343"/>
  <c r="L345"/>
  <c r="L346"/>
  <c r="L347"/>
  <c r="L349"/>
  <c r="L350"/>
  <c r="L351"/>
  <c r="L353"/>
  <c r="L354"/>
  <c r="L355"/>
  <c r="L357"/>
  <c r="L358"/>
  <c r="L359"/>
  <c r="L361"/>
  <c r="L362"/>
  <c r="L363"/>
  <c r="L365"/>
  <c r="L366"/>
  <c r="L367"/>
  <c r="L369"/>
  <c r="L370"/>
  <c r="L371"/>
  <c r="L373"/>
  <c r="L374"/>
  <c r="L375"/>
  <c r="L377"/>
  <c r="L378"/>
  <c r="L379"/>
  <c r="L381"/>
  <c r="L382"/>
  <c r="L383"/>
  <c r="L385"/>
  <c r="L386"/>
  <c r="L387"/>
  <c r="L389"/>
  <c r="L390"/>
  <c r="L391"/>
  <c r="L393"/>
  <c r="L394"/>
  <c r="L395"/>
  <c r="L397"/>
  <c r="L398"/>
  <c r="L399"/>
  <c r="L401"/>
  <c r="L402"/>
  <c r="L403"/>
  <c r="L405"/>
  <c r="L406"/>
  <c r="L407"/>
  <c r="L409"/>
  <c r="L410"/>
  <c r="L411"/>
  <c r="L413"/>
  <c r="L414"/>
  <c r="L415"/>
  <c r="L417"/>
  <c r="L418"/>
  <c r="L419"/>
  <c r="L421"/>
  <c r="L422"/>
  <c r="L423"/>
  <c r="L425"/>
  <c r="L426"/>
  <c r="L427"/>
  <c r="L429"/>
  <c r="L430"/>
  <c r="L431"/>
  <c r="L433"/>
  <c r="L434"/>
  <c r="L435"/>
  <c r="L437"/>
  <c r="L438"/>
  <c r="L439"/>
  <c r="L441"/>
  <c r="L442"/>
  <c r="L443"/>
  <c r="L445"/>
  <c r="L446"/>
  <c r="L447"/>
  <c r="L449"/>
  <c r="L450"/>
  <c r="L451"/>
  <c r="L453"/>
  <c r="L454"/>
  <c r="L455"/>
  <c r="L457"/>
  <c r="L458"/>
  <c r="L459"/>
  <c r="L461"/>
  <c r="L462"/>
  <c r="L463"/>
  <c r="L465"/>
  <c r="L466"/>
  <c r="L467"/>
  <c r="L469"/>
  <c r="L470"/>
  <c r="L471"/>
  <c r="L473"/>
  <c r="L474"/>
  <c r="L475"/>
  <c r="L477"/>
  <c r="L478"/>
  <c r="L479"/>
  <c r="L481"/>
  <c r="L482"/>
  <c r="L483"/>
  <c r="L485"/>
  <c r="L486"/>
  <c r="L487"/>
  <c r="L489"/>
  <c r="L490"/>
  <c r="L491"/>
  <c r="L493"/>
  <c r="L494"/>
  <c r="L495"/>
  <c r="L497"/>
  <c r="L498"/>
  <c r="L499"/>
  <c r="L501"/>
  <c r="L502"/>
  <c r="L503"/>
  <c r="L505"/>
  <c r="L506"/>
  <c r="L507"/>
  <c r="L509"/>
  <c r="L510"/>
  <c r="L511"/>
  <c r="L513"/>
  <c r="L514"/>
  <c r="L515"/>
  <c r="L517"/>
  <c r="L518"/>
  <c r="L519"/>
  <c r="L521"/>
  <c r="L522"/>
  <c r="L523"/>
  <c r="L525"/>
  <c r="L526"/>
  <c r="L527"/>
  <c r="L529"/>
  <c r="L530"/>
  <c r="L531"/>
  <c r="L533"/>
  <c r="L534"/>
  <c r="L535"/>
  <c r="L537"/>
  <c r="L538"/>
  <c r="L539"/>
  <c r="L541"/>
  <c r="L542"/>
  <c r="L543"/>
  <c r="L545"/>
  <c r="L546"/>
  <c r="L547"/>
  <c r="L549"/>
  <c r="L550"/>
  <c r="L551"/>
  <c r="L553"/>
  <c r="L554"/>
  <c r="L555"/>
  <c r="L557"/>
  <c r="L558"/>
  <c r="L559"/>
  <c r="L561"/>
  <c r="L562"/>
  <c r="L563"/>
  <c r="L565"/>
  <c r="L566"/>
  <c r="L567"/>
  <c r="L569"/>
  <c r="L570"/>
  <c r="L571"/>
  <c r="L573"/>
  <c r="L574"/>
  <c r="L575"/>
  <c r="L577"/>
  <c r="L578"/>
  <c r="L579"/>
  <c r="L581"/>
  <c r="L582"/>
  <c r="L583"/>
  <c r="L585"/>
  <c r="L586"/>
  <c r="L587"/>
  <c r="L589"/>
  <c r="L590"/>
  <c r="L591"/>
  <c r="L593"/>
  <c r="L594"/>
  <c r="L595"/>
  <c r="L597"/>
  <c r="L598"/>
  <c r="L599"/>
  <c r="L601"/>
  <c r="L602"/>
  <c r="L603"/>
  <c r="L605"/>
  <c r="L606"/>
  <c r="L607"/>
  <c r="L609"/>
  <c r="L610"/>
  <c r="L611"/>
  <c r="L613"/>
  <c r="L614"/>
  <c r="L615"/>
  <c r="L617"/>
  <c r="L618"/>
  <c r="L619"/>
  <c r="L621"/>
  <c r="L622"/>
  <c r="L623"/>
  <c r="L625"/>
  <c r="L626"/>
  <c r="L627"/>
  <c r="L629"/>
  <c r="L630"/>
  <c r="L631"/>
  <c r="L633"/>
  <c r="L634"/>
  <c r="L635"/>
  <c r="L637"/>
  <c r="L638"/>
  <c r="L639"/>
  <c r="L641"/>
  <c r="L642"/>
  <c r="L643"/>
  <c r="L645"/>
  <c r="L646"/>
  <c r="L647"/>
  <c r="L649"/>
  <c r="L650"/>
  <c r="L651"/>
  <c r="L653"/>
  <c r="L654"/>
  <c r="L655"/>
  <c r="L657"/>
  <c r="L658"/>
  <c r="L659"/>
  <c r="L661"/>
  <c r="L662"/>
  <c r="L663"/>
  <c r="L665"/>
  <c r="L666"/>
  <c r="L667"/>
  <c r="L669"/>
  <c r="L670"/>
  <c r="L671"/>
  <c r="L673"/>
  <c r="L674"/>
  <c r="L675"/>
  <c r="L677"/>
  <c r="L678"/>
  <c r="L679"/>
  <c r="L681"/>
  <c r="L682"/>
  <c r="L683"/>
  <c r="L685"/>
  <c r="L686"/>
  <c r="L687"/>
  <c r="L689"/>
  <c r="L690"/>
  <c r="L691"/>
  <c r="L693"/>
  <c r="L694"/>
  <c r="L695"/>
  <c r="L697"/>
  <c r="L698"/>
  <c r="L699"/>
  <c r="L701"/>
  <c r="L702"/>
  <c r="L703"/>
  <c r="L705"/>
  <c r="L706"/>
  <c r="L707"/>
  <c r="L709"/>
  <c r="L710"/>
  <c r="L711"/>
  <c r="L713"/>
  <c r="L714"/>
  <c r="L715"/>
  <c r="L717"/>
  <c r="L718"/>
  <c r="L719"/>
  <c r="L721"/>
  <c r="L722"/>
  <c r="L723"/>
  <c r="L725"/>
  <c r="L726"/>
  <c r="L727"/>
  <c r="L729"/>
  <c r="L730"/>
  <c r="L731"/>
  <c r="L733"/>
  <c r="L734"/>
  <c r="L735"/>
  <c r="L737"/>
  <c r="L738"/>
  <c r="L739"/>
  <c r="L741"/>
  <c r="L742"/>
  <c r="L743"/>
  <c r="L745"/>
  <c r="L746"/>
  <c r="L747"/>
  <c r="L749"/>
  <c r="L750"/>
  <c r="L751"/>
  <c r="L753"/>
  <c r="L754"/>
  <c r="L755"/>
  <c r="L757"/>
  <c r="L758"/>
  <c r="L759"/>
  <c r="L761"/>
  <c r="L762"/>
  <c r="L763"/>
  <c r="L765"/>
  <c r="L766"/>
  <c r="L767"/>
  <c r="L769"/>
  <c r="L770"/>
  <c r="L771"/>
  <c r="L773"/>
  <c r="L774"/>
  <c r="L775"/>
  <c r="L777"/>
  <c r="L778"/>
  <c r="L779"/>
  <c r="L781"/>
  <c r="L782"/>
  <c r="L783"/>
  <c r="L785"/>
  <c r="L786"/>
  <c r="L787"/>
  <c r="L789"/>
  <c r="L790"/>
  <c r="L791"/>
  <c r="L793"/>
  <c r="L794"/>
  <c r="L795"/>
  <c r="L797"/>
  <c r="L798"/>
  <c r="L799"/>
  <c r="L801"/>
  <c r="L802"/>
  <c r="L803"/>
  <c r="L805"/>
  <c r="L806"/>
  <c r="L807"/>
  <c r="L809"/>
  <c r="L810"/>
  <c r="L811"/>
  <c r="L813"/>
  <c r="L814"/>
  <c r="L815"/>
  <c r="L817"/>
  <c r="L818"/>
  <c r="L819"/>
  <c r="L821"/>
  <c r="L822"/>
  <c r="L823"/>
  <c r="L825"/>
  <c r="L826"/>
  <c r="L827"/>
  <c r="L829"/>
  <c r="L830"/>
  <c r="L831"/>
  <c r="L833"/>
  <c r="L834"/>
  <c r="L835"/>
  <c r="L837"/>
  <c r="L838"/>
  <c r="L839"/>
  <c r="L841"/>
  <c r="L842"/>
  <c r="L843"/>
  <c r="L845"/>
  <c r="L846"/>
  <c r="L847"/>
  <c r="L849"/>
  <c r="L850"/>
  <c r="L851"/>
  <c r="L853"/>
  <c r="L854"/>
  <c r="L855"/>
  <c r="L857"/>
  <c r="L858"/>
  <c r="L859"/>
  <c r="L861"/>
  <c r="L862"/>
  <c r="L863"/>
  <c r="L865"/>
  <c r="L866"/>
  <c r="L867"/>
  <c r="L869"/>
  <c r="L870"/>
  <c r="L871"/>
  <c r="L873"/>
  <c r="L874"/>
  <c r="L875"/>
  <c r="L877"/>
  <c r="L878"/>
  <c r="L879"/>
  <c r="L881"/>
  <c r="L882"/>
  <c r="L883"/>
  <c r="L885"/>
  <c r="L886"/>
  <c r="L887"/>
  <c r="L889"/>
  <c r="L890"/>
  <c r="L891"/>
  <c r="L893"/>
  <c r="L894"/>
  <c r="L895"/>
  <c r="L897"/>
  <c r="L898"/>
  <c r="L899"/>
  <c r="L901"/>
  <c r="L902"/>
  <c r="L903"/>
  <c r="L905"/>
  <c r="L906"/>
  <c r="L907"/>
  <c r="L909"/>
  <c r="L910"/>
  <c r="L911"/>
  <c r="L913"/>
  <c r="L914"/>
  <c r="L915"/>
  <c r="L917"/>
  <c r="L918"/>
  <c r="L919"/>
  <c r="L921"/>
  <c r="L922"/>
  <c r="L923"/>
  <c r="L925"/>
  <c r="L926"/>
  <c r="L927"/>
  <c r="L929"/>
  <c r="L930"/>
  <c r="L931"/>
  <c r="L933"/>
  <c r="L934"/>
  <c r="L935"/>
  <c r="L937"/>
  <c r="L938"/>
  <c r="L939"/>
  <c r="L941"/>
  <c r="L942"/>
  <c r="L943"/>
  <c r="L945"/>
  <c r="L946"/>
  <c r="L947"/>
  <c r="L949"/>
  <c r="L950"/>
  <c r="L951"/>
  <c r="L953"/>
  <c r="L954"/>
  <c r="L955"/>
  <c r="L957"/>
  <c r="L958"/>
  <c r="L959"/>
  <c r="L961"/>
  <c r="L962"/>
  <c r="L963"/>
  <c r="L965"/>
  <c r="L966"/>
  <c r="L967"/>
  <c r="L969"/>
  <c r="L970"/>
  <c r="L971"/>
  <c r="L973"/>
  <c r="L974"/>
  <c r="L975"/>
  <c r="L977"/>
  <c r="L978"/>
  <c r="L979"/>
  <c r="L981"/>
  <c r="L982"/>
  <c r="L983"/>
  <c r="L985"/>
  <c r="L986"/>
  <c r="L987"/>
  <c r="L989"/>
  <c r="L990"/>
  <c r="L991"/>
  <c r="L993"/>
  <c r="L994"/>
  <c r="L995"/>
  <c r="L997"/>
  <c r="L998"/>
  <c r="L999"/>
  <c r="L1001"/>
  <c r="L1002"/>
  <c r="L1003"/>
  <c r="L1005"/>
  <c r="L1006"/>
  <c r="L1007"/>
  <c r="L1009"/>
  <c r="L1010"/>
  <c r="L1011"/>
  <c r="L1013"/>
  <c r="L1014"/>
  <c r="L1015"/>
  <c r="L1017"/>
  <c r="L1018"/>
  <c r="L1019"/>
  <c r="L1021"/>
  <c r="L1022"/>
  <c r="L1023"/>
  <c r="L1025"/>
  <c r="L1026"/>
  <c r="L1027"/>
  <c r="L1029"/>
  <c r="L1030"/>
  <c r="L1031"/>
  <c r="L1033"/>
  <c r="L1034"/>
  <c r="L1035"/>
  <c r="L1037"/>
  <c r="L1038"/>
  <c r="L1039"/>
  <c r="L1041"/>
  <c r="L1042"/>
  <c r="L1043"/>
  <c r="L1045"/>
  <c r="L1046"/>
  <c r="L1047"/>
  <c r="L1049"/>
  <c r="L1050"/>
  <c r="L1051"/>
  <c r="L1053"/>
  <c r="L1054"/>
  <c r="L1055"/>
  <c r="L1057"/>
  <c r="L1058"/>
  <c r="L1059"/>
  <c r="L1061"/>
  <c r="L1062"/>
  <c r="L1063"/>
  <c r="L1065"/>
  <c r="L1066"/>
  <c r="L1067"/>
  <c r="L1069"/>
  <c r="L1070"/>
  <c r="L1071"/>
  <c r="L1073"/>
  <c r="L1074"/>
  <c r="L1075"/>
  <c r="L1077"/>
  <c r="L1078"/>
  <c r="L1079"/>
  <c r="L1081"/>
  <c r="L1082"/>
  <c r="L1083"/>
  <c r="L1085"/>
  <c r="L1086"/>
  <c r="L1087"/>
  <c r="L1089"/>
  <c r="L1090"/>
  <c r="L1091"/>
  <c r="L1093"/>
  <c r="L1094"/>
  <c r="L1095"/>
  <c r="L1097"/>
  <c r="L1098"/>
  <c r="L1099"/>
  <c r="L1101"/>
  <c r="L1102"/>
  <c r="L1103"/>
  <c r="L1105"/>
  <c r="L1106"/>
  <c r="L1107"/>
  <c r="L1109"/>
  <c r="L1110"/>
  <c r="L1111"/>
  <c r="L1113"/>
  <c r="L1114"/>
  <c r="L1115"/>
  <c r="L1117"/>
  <c r="L1118"/>
  <c r="L1119"/>
  <c r="L5"/>
  <c r="L6"/>
  <c r="L7"/>
  <c r="L9"/>
  <c r="L10"/>
  <c r="L11"/>
  <c r="L13"/>
  <c r="L14"/>
  <c r="L15"/>
  <c r="L17"/>
  <c r="L18"/>
  <c r="L19"/>
  <c r="L21"/>
  <c r="L22"/>
  <c r="L23"/>
  <c r="L25"/>
  <c r="L26"/>
  <c r="L27"/>
  <c r="L29"/>
  <c r="L30"/>
  <c r="L31"/>
  <c r="L33"/>
  <c r="L34"/>
  <c r="L35"/>
  <c r="L2"/>
  <c r="L3"/>
  <c r="L1"/>
  <c r="F85" i="3" l="1"/>
  <c r="C86"/>
  <c r="F71"/>
  <c r="K70"/>
  <c r="G70"/>
  <c r="W1" i="11"/>
  <c r="C87" i="3" l="1"/>
  <c r="C88" s="1"/>
  <c r="F86"/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P11" i="10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C89" i="3" l="1"/>
  <c r="R1119" i="10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F89" i="3" l="1"/>
  <c r="C90"/>
  <c r="C91" s="1"/>
  <c r="F88"/>
  <c r="S11" i="10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F91" i="3" l="1"/>
  <c r="C92"/>
  <c r="C93" s="1"/>
  <c r="U4" i="6"/>
  <c r="U3"/>
  <c r="F93" i="3" l="1"/>
  <c r="C94"/>
  <c r="C95" s="1"/>
  <c r="AA10" i="6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F95" i="3" l="1"/>
  <c r="C96"/>
  <c r="C97" s="1"/>
  <c r="Q12" i="4"/>
  <c r="Q17"/>
  <c r="O12"/>
  <c r="P12" s="1"/>
  <c r="O13"/>
  <c r="P13" s="1"/>
  <c r="Q13" s="1"/>
  <c r="O14"/>
  <c r="P14" s="1"/>
  <c r="Q14" s="1"/>
  <c r="O15"/>
  <c r="P15" s="1"/>
  <c r="Q15" s="1"/>
  <c r="O16"/>
  <c r="P16" s="1"/>
  <c r="Q16" s="1"/>
  <c r="O17"/>
  <c r="P17" s="1"/>
  <c r="O18"/>
  <c r="P18" s="1"/>
  <c r="Q18" s="1"/>
  <c r="O11"/>
  <c r="P11" s="1"/>
  <c r="Q11" s="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R3" i="4"/>
  <c r="R4"/>
  <c r="R5"/>
  <c r="R6"/>
  <c r="R7"/>
  <c r="R8"/>
  <c r="R9"/>
  <c r="R2"/>
  <c r="O3"/>
  <c r="O4"/>
  <c r="O5"/>
  <c r="O6"/>
  <c r="O7"/>
  <c r="O8"/>
  <c r="O9"/>
  <c r="U3"/>
  <c r="U8"/>
  <c r="V3" i="1"/>
  <c r="V4"/>
  <c r="V5"/>
  <c r="V6"/>
  <c r="V7"/>
  <c r="V8"/>
  <c r="V9"/>
  <c r="V2"/>
  <c r="F97" i="3" l="1"/>
  <c r="C98"/>
  <c r="C99" s="1"/>
  <c r="AB16" i="2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U6" s="1"/>
  <c r="P7"/>
  <c r="U7" s="1"/>
  <c r="P8"/>
  <c r="P9"/>
  <c r="U9" s="1"/>
  <c r="P2"/>
  <c r="U2" s="1"/>
  <c r="F99" i="3" l="1"/>
  <c r="C100"/>
  <c r="C101" s="1"/>
  <c r="C102" s="1"/>
  <c r="AD70" i="2"/>
  <c r="AD66"/>
  <c r="AC62"/>
  <c r="AE62" s="1"/>
  <c r="AL12" s="1"/>
  <c r="AD58"/>
  <c r="AD54"/>
  <c r="AC50"/>
  <c r="AE50" s="1"/>
  <c r="AJ20" s="1"/>
  <c r="AC46"/>
  <c r="AE46" s="1"/>
  <c r="AJ16" s="1"/>
  <c r="AC42"/>
  <c r="AE42" s="1"/>
  <c r="AJ12" s="1"/>
  <c r="AD38"/>
  <c r="AC34"/>
  <c r="AE34" s="1"/>
  <c r="AI14" s="1"/>
  <c r="AD30"/>
  <c r="AC26"/>
  <c r="AE26" s="1"/>
  <c r="AH16" s="1"/>
  <c r="AD63"/>
  <c r="AD59"/>
  <c r="AC55"/>
  <c r="AE55" s="1"/>
  <c r="AK15" s="1"/>
  <c r="AC51"/>
  <c r="AE51" s="1"/>
  <c r="AK11" s="1"/>
  <c r="AC47"/>
  <c r="AE47" s="1"/>
  <c r="AJ17" s="1"/>
  <c r="AD43"/>
  <c r="AD39"/>
  <c r="AC20"/>
  <c r="AE20" s="1"/>
  <c r="AG20" s="1"/>
  <c r="AC16"/>
  <c r="AE16" s="1"/>
  <c r="AG16" s="1"/>
  <c r="AC12"/>
  <c r="AE12" s="1"/>
  <c r="AG12" s="1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J6" s="1"/>
  <c r="M6" s="1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7"/>
  <c r="M7" s="1"/>
  <c r="J8"/>
  <c r="M8" s="1"/>
  <c r="C103" i="3" l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5" s="1"/>
  <c r="D145" s="1"/>
  <c r="F102"/>
  <c r="AD42" i="2"/>
  <c r="AC58"/>
  <c r="AE58" s="1"/>
  <c r="AK18" s="1"/>
  <c r="AD26"/>
  <c r="AD51"/>
  <c r="AC30"/>
  <c r="AE30" s="1"/>
  <c r="AH20" s="1"/>
  <c r="AD62"/>
  <c r="AC11"/>
  <c r="AD47"/>
  <c r="AD16"/>
  <c r="AC38"/>
  <c r="AE38" s="1"/>
  <c r="AI18" s="1"/>
  <c r="AC54"/>
  <c r="AE54" s="1"/>
  <c r="AK14" s="1"/>
  <c r="AC63"/>
  <c r="AE63" s="1"/>
  <c r="AL13" s="1"/>
  <c r="AD12"/>
  <c r="AD46"/>
  <c r="AC39"/>
  <c r="AE39" s="1"/>
  <c r="AI19" s="1"/>
  <c r="AD55"/>
  <c r="AC70"/>
  <c r="AE70" s="1"/>
  <c r="AL20" s="1"/>
  <c r="AD20"/>
  <c r="AD34"/>
  <c r="AD50"/>
  <c r="AC66"/>
  <c r="AE66" s="1"/>
  <c r="AL16" s="1"/>
  <c r="AC43"/>
  <c r="AE43" s="1"/>
  <c r="AJ13" s="1"/>
  <c r="AC59"/>
  <c r="AE59" s="1"/>
  <c r="AK19" s="1"/>
  <c r="AD29"/>
  <c r="AC29"/>
  <c r="AE29" s="1"/>
  <c r="AH19" s="1"/>
  <c r="AD45"/>
  <c r="AC45"/>
  <c r="AE45" s="1"/>
  <c r="AJ15" s="1"/>
  <c r="AD61"/>
  <c r="AC61"/>
  <c r="AE61" s="1"/>
  <c r="AL11" s="1"/>
  <c r="AC35"/>
  <c r="AE35" s="1"/>
  <c r="AI15" s="1"/>
  <c r="AD35"/>
  <c r="AC28"/>
  <c r="AE28" s="1"/>
  <c r="AH18" s="1"/>
  <c r="AD28"/>
  <c r="AC44"/>
  <c r="AE44" s="1"/>
  <c r="AJ14" s="1"/>
  <c r="AD44"/>
  <c r="AC60"/>
  <c r="AE60" s="1"/>
  <c r="AK20" s="1"/>
  <c r="AD60"/>
  <c r="AD25"/>
  <c r="AC25"/>
  <c r="AE25" s="1"/>
  <c r="AH15" s="1"/>
  <c r="AD41"/>
  <c r="AC41"/>
  <c r="AE41" s="1"/>
  <c r="AJ11" s="1"/>
  <c r="AD57"/>
  <c r="AC57"/>
  <c r="AE57" s="1"/>
  <c r="AK17" s="1"/>
  <c r="AD31"/>
  <c r="AC31"/>
  <c r="AE31" s="1"/>
  <c r="AI11" s="1"/>
  <c r="AC24"/>
  <c r="AE24" s="1"/>
  <c r="AH14" s="1"/>
  <c r="AD24"/>
  <c r="AC40"/>
  <c r="AE40" s="1"/>
  <c r="AI20" s="1"/>
  <c r="AD40"/>
  <c r="AC56"/>
  <c r="AE56" s="1"/>
  <c r="AK16" s="1"/>
  <c r="AD56"/>
  <c r="AD37"/>
  <c r="AC37"/>
  <c r="AE37" s="1"/>
  <c r="AI17" s="1"/>
  <c r="AD53"/>
  <c r="AC53"/>
  <c r="AE53" s="1"/>
  <c r="AK13" s="1"/>
  <c r="AD69"/>
  <c r="AC69"/>
  <c r="AE69" s="1"/>
  <c r="AL19" s="1"/>
  <c r="AC27"/>
  <c r="AE27" s="1"/>
  <c r="AH17" s="1"/>
  <c r="AD27"/>
  <c r="AC36"/>
  <c r="AE36" s="1"/>
  <c r="AI16" s="1"/>
  <c r="AD36"/>
  <c r="AC52"/>
  <c r="AE52" s="1"/>
  <c r="AK12" s="1"/>
  <c r="AD52"/>
  <c r="AC68"/>
  <c r="AE68" s="1"/>
  <c r="AL18" s="1"/>
  <c r="AD68"/>
  <c r="AD33"/>
  <c r="AC33"/>
  <c r="AE33" s="1"/>
  <c r="AI13" s="1"/>
  <c r="AD49"/>
  <c r="AC49"/>
  <c r="AE49" s="1"/>
  <c r="AJ19" s="1"/>
  <c r="AD65"/>
  <c r="AC65"/>
  <c r="AE65" s="1"/>
  <c r="AL15" s="1"/>
  <c r="AC67"/>
  <c r="AE67" s="1"/>
  <c r="AL17" s="1"/>
  <c r="AD67"/>
  <c r="AC32"/>
  <c r="AE32" s="1"/>
  <c r="AI12" s="1"/>
  <c r="AD32"/>
  <c r="AC48"/>
  <c r="AE48" s="1"/>
  <c r="AJ18" s="1"/>
  <c r="AD48"/>
  <c r="AC64"/>
  <c r="AE64" s="1"/>
  <c r="AL14" s="1"/>
  <c r="AD64"/>
  <c r="AD23"/>
  <c r="AC23"/>
  <c r="AE23" s="1"/>
  <c r="AH13" s="1"/>
  <c r="AD17"/>
  <c r="AC17"/>
  <c r="AE17" s="1"/>
  <c r="AG17" s="1"/>
  <c r="AC22"/>
  <c r="AE22" s="1"/>
  <c r="AH12" s="1"/>
  <c r="AD22"/>
  <c r="AC19"/>
  <c r="AE19" s="1"/>
  <c r="AG19" s="1"/>
  <c r="AD19"/>
  <c r="AD13"/>
  <c r="AC13"/>
  <c r="AE13" s="1"/>
  <c r="AG13" s="1"/>
  <c r="AD18"/>
  <c r="AC18"/>
  <c r="AE18" s="1"/>
  <c r="AG18" s="1"/>
  <c r="AD15"/>
  <c r="AC15"/>
  <c r="AE15" s="1"/>
  <c r="AG15" s="1"/>
  <c r="AC14"/>
  <c r="AE14" s="1"/>
  <c r="AG14" s="1"/>
  <c r="AD14"/>
  <c r="AD21"/>
  <c r="AC21"/>
  <c r="AE21" s="1"/>
  <c r="AH11" s="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Z2" a="1"/>
  <c r="R2" a="1"/>
  <c r="V2" a="1"/>
  <c r="H75" i="3" l="1"/>
  <c r="C146"/>
  <c r="D146" s="1"/>
  <c r="AE11" i="2"/>
  <c r="AG11" s="1"/>
  <c r="I9" i="4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C147" i="3" l="1"/>
  <c r="C148" s="1"/>
  <c r="D148" s="1"/>
  <c r="H76"/>
  <c r="I4" i="4"/>
  <c r="L4" s="1"/>
  <c r="U7" i="2"/>
  <c r="T7"/>
  <c r="S7"/>
  <c r="R7"/>
  <c r="F2" i="4"/>
  <c r="I2" s="1"/>
  <c r="C149" i="3" l="1"/>
  <c r="D149" s="1"/>
  <c r="H78"/>
  <c r="L2" i="4"/>
  <c r="L7" i="2" a="1"/>
  <c r="N7" s="1"/>
  <c r="H79" i="3" l="1"/>
  <c r="C150"/>
  <c r="C151" s="1"/>
  <c r="D151" s="1"/>
  <c r="L7" i="2"/>
  <c r="M7"/>
  <c r="H81" i="3" l="1"/>
  <c r="C152"/>
  <c r="C153" s="1"/>
  <c r="D153" s="1"/>
  <c r="P7" i="2"/>
  <c r="H83" i="3" l="1"/>
  <c r="C154"/>
  <c r="C155" s="1"/>
  <c r="C156" s="1"/>
  <c r="C157" s="1"/>
  <c r="C158" s="1"/>
  <c r="C159" s="1"/>
  <c r="C160" s="1"/>
  <c r="C161" s="1"/>
  <c r="C162" s="1"/>
  <c r="C163" s="1"/>
  <c r="C164" s="1"/>
  <c r="C165" s="1"/>
  <c r="D165" s="1"/>
  <c r="H95" l="1"/>
  <c r="C166"/>
  <c r="C167" s="1"/>
  <c r="D167" s="1"/>
  <c r="H97" l="1"/>
  <c r="C168"/>
  <c r="C169" s="1"/>
  <c r="D169" s="1"/>
  <c r="H99" l="1"/>
  <c r="C170"/>
  <c r="C171" s="1"/>
  <c r="C172" s="1"/>
  <c r="D172" s="1"/>
  <c r="C173" l="1"/>
  <c r="C174" s="1"/>
  <c r="C175" s="1"/>
  <c r="C176" s="1"/>
  <c r="C177" s="1"/>
  <c r="C178" s="1"/>
  <c r="C179" s="1"/>
  <c r="C180" s="1"/>
  <c r="D180" s="1"/>
  <c r="H102"/>
  <c r="C181" l="1"/>
  <c r="D181" s="1"/>
  <c r="I75"/>
  <c r="I76" l="1"/>
  <c r="C182"/>
  <c r="C183" s="1"/>
  <c r="D183" s="1"/>
  <c r="I78" l="1"/>
  <c r="C184"/>
  <c r="D184" s="1"/>
  <c r="C185" l="1"/>
  <c r="C186" s="1"/>
  <c r="D186" s="1"/>
  <c r="I79"/>
  <c r="C187" l="1"/>
  <c r="C188" s="1"/>
  <c r="D188" s="1"/>
  <c r="I81"/>
  <c r="C189" l="1"/>
  <c r="C190" s="1"/>
  <c r="C191" s="1"/>
  <c r="C192" s="1"/>
  <c r="C193" s="1"/>
  <c r="C194" s="1"/>
  <c r="C195" s="1"/>
  <c r="C196" s="1"/>
  <c r="C197" s="1"/>
  <c r="C198" s="1"/>
  <c r="C199" s="1"/>
  <c r="C200" s="1"/>
  <c r="D200" s="1"/>
  <c r="I83"/>
  <c r="C201" l="1"/>
  <c r="C202" s="1"/>
  <c r="D202" s="1"/>
  <c r="I95"/>
  <c r="C203" l="1"/>
  <c r="C204" s="1"/>
  <c r="D204" s="1"/>
  <c r="I97"/>
  <c r="C205" l="1"/>
  <c r="C206" s="1"/>
  <c r="C207" s="1"/>
  <c r="D207" s="1"/>
  <c r="I99"/>
  <c r="I102" l="1"/>
  <c r="C208"/>
  <c r="C209" s="1"/>
  <c r="C210" s="1"/>
  <c r="C211" s="1"/>
  <c r="C212" s="1"/>
  <c r="C213" s="1"/>
  <c r="C214" s="1"/>
  <c r="C215" s="1"/>
  <c r="D215" s="1"/>
  <c r="J75" l="1"/>
  <c r="C216"/>
  <c r="D216" s="1"/>
  <c r="C217" l="1"/>
  <c r="C218" s="1"/>
  <c r="D218" s="1"/>
  <c r="J76"/>
  <c r="C219" l="1"/>
  <c r="D219" s="1"/>
  <c r="J78"/>
  <c r="J79" l="1"/>
  <c r="C220"/>
  <c r="C221" s="1"/>
  <c r="D221" s="1"/>
  <c r="J81" l="1"/>
  <c r="C222"/>
  <c r="C223" s="1"/>
  <c r="D223" s="1"/>
  <c r="J83" l="1"/>
  <c r="C224"/>
  <c r="C225" s="1"/>
  <c r="C226" s="1"/>
  <c r="C227" s="1"/>
  <c r="C228" s="1"/>
  <c r="C229" s="1"/>
  <c r="C230" s="1"/>
  <c r="C231" s="1"/>
  <c r="C232" s="1"/>
  <c r="C233" s="1"/>
  <c r="C234" s="1"/>
  <c r="C235" s="1"/>
  <c r="D235" s="1"/>
  <c r="J95" l="1"/>
  <c r="C236"/>
  <c r="C237" s="1"/>
  <c r="D237" s="1"/>
  <c r="J97" l="1"/>
  <c r="C238"/>
  <c r="C239" s="1"/>
  <c r="D239" s="1"/>
  <c r="J99" l="1"/>
  <c r="C240"/>
  <c r="C241" s="1"/>
  <c r="C242" s="1"/>
  <c r="D242" s="1"/>
  <c r="C243" l="1"/>
  <c r="C244" s="1"/>
  <c r="C245" s="1"/>
  <c r="C246" s="1"/>
  <c r="C247" s="1"/>
  <c r="C248" s="1"/>
  <c r="C249" s="1"/>
  <c r="C250" s="1"/>
  <c r="D250" s="1"/>
  <c r="J102"/>
  <c r="C251" l="1"/>
  <c r="D251" s="1"/>
  <c r="K75"/>
  <c r="K76" l="1"/>
  <c r="C252"/>
  <c r="C253" s="1"/>
  <c r="D253" s="1"/>
  <c r="K78" l="1"/>
  <c r="C254"/>
  <c r="D254" s="1"/>
  <c r="C255" l="1"/>
  <c r="C256" s="1"/>
  <c r="D256" s="1"/>
  <c r="K79"/>
  <c r="C257" l="1"/>
  <c r="C258" s="1"/>
  <c r="D258" s="1"/>
  <c r="K81"/>
  <c r="C259" l="1"/>
  <c r="C260" s="1"/>
  <c r="C261" s="1"/>
  <c r="C262" s="1"/>
  <c r="C263" s="1"/>
  <c r="C264" s="1"/>
  <c r="C265" s="1"/>
  <c r="C266" s="1"/>
  <c r="C267" s="1"/>
  <c r="C268" s="1"/>
  <c r="C269" s="1"/>
  <c r="C270" s="1"/>
  <c r="D270" s="1"/>
  <c r="K83"/>
  <c r="C271" l="1"/>
  <c r="C272" s="1"/>
  <c r="D272" s="1"/>
  <c r="K95"/>
  <c r="C273" l="1"/>
  <c r="C274" s="1"/>
  <c r="D274" s="1"/>
  <c r="K97"/>
  <c r="C275" l="1"/>
  <c r="C276" s="1"/>
  <c r="C277" s="1"/>
  <c r="D277" s="1"/>
  <c r="K99"/>
  <c r="K102" l="1"/>
  <c r="C278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D320" s="1"/>
  <c r="C321" l="1"/>
  <c r="D321" s="1"/>
  <c r="M75"/>
  <c r="M76" l="1"/>
  <c r="C322"/>
  <c r="D322" s="1"/>
  <c r="C323" l="1"/>
  <c r="C324" s="1"/>
  <c r="D324" s="1"/>
  <c r="M77"/>
  <c r="C325" l="1"/>
  <c r="D325" s="1"/>
  <c r="M79"/>
  <c r="M80" l="1"/>
  <c r="C326"/>
  <c r="C327" s="1"/>
  <c r="D327" s="1"/>
  <c r="M82" l="1"/>
  <c r="C328"/>
  <c r="C329" s="1"/>
  <c r="C330" s="1"/>
  <c r="C331" s="1"/>
  <c r="C332" s="1"/>
  <c r="C333" s="1"/>
  <c r="C334" s="1"/>
  <c r="C335" s="1"/>
  <c r="C336" s="1"/>
  <c r="C337" s="1"/>
  <c r="C338" s="1"/>
  <c r="C339" s="1"/>
  <c r="C340" s="1"/>
  <c r="D340" s="1"/>
  <c r="C341" l="1"/>
  <c r="D341" s="1"/>
  <c r="M95"/>
  <c r="M96" l="1"/>
  <c r="C342"/>
  <c r="C343" s="1"/>
  <c r="D343" s="1"/>
  <c r="M98" l="1"/>
  <c r="C344"/>
  <c r="C345" s="1"/>
  <c r="C346" s="1"/>
  <c r="D346" s="1"/>
  <c r="C347" l="1"/>
  <c r="C348" s="1"/>
  <c r="M101"/>
</calcChain>
</file>

<file path=xl/connections.xml><?xml version="1.0" encoding="utf-8"?>
<connections xmlns="http://schemas.openxmlformats.org/spreadsheetml/2006/main">
  <connection id="1" name="matdump" type="6" refreshedVersion="3" background="1" saveData="1">
    <textPr codePage="850" sourceFile="C:\Users\cg\Desktop\matdump.csv" decimal="," thousands="." tab="0" semicolon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<sst xmlns="http://schemas.openxmlformats.org/spreadsheetml/2006/main" count="1474" uniqueCount="322">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</sst>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10" fontId="0" fillId="8" borderId="0" xfId="0" applyNumberFormat="1" applyFill="1"/>
    <xf numFmtId="165" fontId="0" fillId="0" borderId="0" xfId="0" applyNumberFormat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4.1095573256748095</c:v>
                </c:pt>
                <c:pt idx="1">
                  <c:v>#N/A</c:v>
                </c:pt>
                <c:pt idx="2">
                  <c:v>3.8227460662730621</c:v>
                </c:pt>
                <c:pt idx="3">
                  <c:v>3.3477753334927605</c:v>
                </c:pt>
                <c:pt idx="4">
                  <c:v>1.2123505874078675</c:v>
                </c:pt>
                <c:pt idx="5">
                  <c:v>1.1228814053678402</c:v>
                </c:pt>
                <c:pt idx="6">
                  <c:v>#N/A</c:v>
                </c:pt>
                <c:pt idx="7">
                  <c:v>4.486982984928936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4.4023597665303393</c:v>
                </c:pt>
                <c:pt idx="1">
                  <c:v>#N/A</c:v>
                </c:pt>
                <c:pt idx="2">
                  <c:v>1.3354103651392877</c:v>
                </c:pt>
                <c:pt idx="3">
                  <c:v>4.6364920868035346</c:v>
                </c:pt>
                <c:pt idx="4">
                  <c:v>4.3581989119235107</c:v>
                </c:pt>
                <c:pt idx="5">
                  <c:v>4.3720208731927075</c:v>
                </c:pt>
                <c:pt idx="6">
                  <c:v>#N/A</c:v>
                </c:pt>
                <c:pt idx="7">
                  <c:v>4.3430476300203393</c:v>
                </c:pt>
              </c:numCache>
            </c:numRef>
          </c:yVal>
        </c:ser>
        <c:axId val="197016576"/>
        <c:axId val="199009024"/>
      </c:scatterChart>
      <c:valAx>
        <c:axId val="197016576"/>
        <c:scaling>
          <c:orientation val="minMax"/>
        </c:scaling>
        <c:axPos val="b"/>
        <c:numFmt formatCode="General" sourceLinked="1"/>
        <c:tickLblPos val="nextTo"/>
        <c:crossAx val="199009024"/>
        <c:crosses val="autoZero"/>
        <c:crossBetween val="midCat"/>
      </c:valAx>
      <c:valAx>
        <c:axId val="199009024"/>
        <c:scaling>
          <c:orientation val="minMax"/>
        </c:scaling>
        <c:axPos val="l"/>
        <c:majorGridlines/>
        <c:numFmt formatCode="General" sourceLinked="1"/>
        <c:tickLblPos val="nextTo"/>
        <c:crossAx val="1970165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-0.60283165470988054</c:v>
                </c:pt>
                <c:pt idx="1">
                  <c:v>#N/A</c:v>
                </c:pt>
                <c:pt idx="2">
                  <c:v>-0.88964291411162777</c:v>
                </c:pt>
                <c:pt idx="3">
                  <c:v>-1.3646136468919292</c:v>
                </c:pt>
                <c:pt idx="4">
                  <c:v>0.35844573938702901</c:v>
                </c:pt>
                <c:pt idx="5">
                  <c:v>0.4479149214270563</c:v>
                </c:pt>
                <c:pt idx="6">
                  <c:v>#N/A</c:v>
                </c:pt>
                <c:pt idx="7">
                  <c:v>-0.22540599545575343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-0.31002921385435006</c:v>
                </c:pt>
                <c:pt idx="1">
                  <c:v>#N/A</c:v>
                </c:pt>
                <c:pt idx="2">
                  <c:v>0.23538596165560891</c:v>
                </c:pt>
                <c:pt idx="3">
                  <c:v>-7.5896893581154853E-2</c:v>
                </c:pt>
                <c:pt idx="4">
                  <c:v>-0.35419006846117873</c:v>
                </c:pt>
                <c:pt idx="5">
                  <c:v>-0.34036810719198235</c:v>
                </c:pt>
                <c:pt idx="6">
                  <c:v>#N/A</c:v>
                </c:pt>
                <c:pt idx="7">
                  <c:v>-0.36934135036435073</c:v>
                </c:pt>
              </c:numCache>
            </c:numRef>
          </c:yVal>
        </c:ser>
        <c:axId val="199779072"/>
        <c:axId val="199780608"/>
      </c:scatterChart>
      <c:valAx>
        <c:axId val="199779072"/>
        <c:scaling>
          <c:orientation val="minMax"/>
        </c:scaling>
        <c:axPos val="b"/>
        <c:numFmt formatCode="General" sourceLinked="1"/>
        <c:tickLblPos val="nextTo"/>
        <c:crossAx val="199780608"/>
        <c:crosses val="autoZero"/>
        <c:crossBetween val="midCat"/>
      </c:valAx>
      <c:valAx>
        <c:axId val="199780608"/>
        <c:scaling>
          <c:orientation val="minMax"/>
        </c:scaling>
        <c:axPos val="l"/>
        <c:majorGridlines/>
        <c:numFmt formatCode="General" sourceLinked="1"/>
        <c:tickLblPos val="nextTo"/>
        <c:crossAx val="1997790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-56.697727202708755</c:v>
                </c:pt>
                <c:pt idx="1">
                  <c:v>#N/A</c:v>
                </c:pt>
                <c:pt idx="2">
                  <c:v>-77.684694383660144</c:v>
                </c:pt>
                <c:pt idx="3">
                  <c:v>-97.88195450649431</c:v>
                </c:pt>
                <c:pt idx="4">
                  <c:v>35.081918079097036</c:v>
                </c:pt>
                <c:pt idx="5">
                  <c:v>43.308708699503008</c:v>
                </c:pt>
                <c:pt idx="6">
                  <c:v>#N/A</c:v>
                </c:pt>
                <c:pt idx="7">
                  <c:v>-22.350210571107002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-30.508645764746682</c:v>
                </c:pt>
                <c:pt idx="1">
                  <c:v>#N/A</c:v>
                </c:pt>
                <c:pt idx="2">
                  <c:v>23.321832140549137</c:v>
                </c:pt>
                <c:pt idx="3">
                  <c:v>-7.582404926559418</c:v>
                </c:pt>
                <c:pt idx="4">
                  <c:v>-34.683082184751527</c:v>
                </c:pt>
                <c:pt idx="5">
                  <c:v>-33.383410431139829</c:v>
                </c:pt>
                <c:pt idx="6">
                  <c:v>#N/A</c:v>
                </c:pt>
                <c:pt idx="7">
                  <c:v>-36.100127650499083</c:v>
                </c:pt>
              </c:numCache>
            </c:numRef>
          </c:yVal>
        </c:ser>
        <c:axId val="199796992"/>
        <c:axId val="199806976"/>
      </c:scatterChart>
      <c:valAx>
        <c:axId val="199796992"/>
        <c:scaling>
          <c:orientation val="minMax"/>
        </c:scaling>
        <c:axPos val="b"/>
        <c:numFmt formatCode="General" sourceLinked="1"/>
        <c:tickLblPos val="nextTo"/>
        <c:crossAx val="199806976"/>
        <c:crosses val="autoZero"/>
        <c:crossBetween val="midCat"/>
      </c:valAx>
      <c:valAx>
        <c:axId val="199806976"/>
        <c:scaling>
          <c:orientation val="minMax"/>
        </c:scaling>
        <c:axPos val="l"/>
        <c:majorGridlines/>
        <c:numFmt formatCode="General" sourceLinked="1"/>
        <c:tickLblPos val="nextTo"/>
        <c:crossAx val="1997969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1211904"/>
        <c:axId val="201213440"/>
      </c:scatterChart>
      <c:valAx>
        <c:axId val="201211904"/>
        <c:scaling>
          <c:orientation val="minMax"/>
        </c:scaling>
        <c:axPos val="b"/>
        <c:numFmt formatCode="General" sourceLinked="1"/>
        <c:tickLblPos val="nextTo"/>
        <c:crossAx val="201213440"/>
        <c:crosses val="autoZero"/>
        <c:crossBetween val="midCat"/>
      </c:valAx>
      <c:valAx>
        <c:axId val="201213440"/>
        <c:scaling>
          <c:orientation val="minMax"/>
        </c:scaling>
        <c:axPos val="l"/>
        <c:majorGridlines/>
        <c:numFmt formatCode="0.00" sourceLinked="1"/>
        <c:tickLblPos val="nextTo"/>
        <c:crossAx val="2012119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199951488"/>
        <c:axId val="199953408"/>
      </c:lineChart>
      <c:catAx>
        <c:axId val="19995148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199953408"/>
        <c:crosses val="autoZero"/>
        <c:auto val="1"/>
        <c:lblAlgn val="ctr"/>
        <c:lblOffset val="100"/>
        <c:tickMarkSkip val="70"/>
      </c:catAx>
      <c:valAx>
        <c:axId val="199953408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</c:title>
        <c:numFmt formatCode="0.000" sourceLinked="1"/>
        <c:tickLblPos val="nextTo"/>
        <c:crossAx val="199951488"/>
        <c:crosses val="autoZero"/>
        <c:crossBetween val="between"/>
      </c:valAx>
    </c:plotArea>
    <c:legend>
      <c:legendPos val="r"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201371648"/>
        <c:axId val="201373568"/>
      </c:lineChart>
      <c:catAx>
        <c:axId val="20137164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201373568"/>
        <c:crosses val="autoZero"/>
        <c:auto val="1"/>
        <c:lblAlgn val="ctr"/>
        <c:lblOffset val="100"/>
        <c:tickMarkSkip val="70"/>
      </c:catAx>
      <c:valAx>
        <c:axId val="2013735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</c:title>
        <c:numFmt formatCode="0.000" sourceLinked="1"/>
        <c:tickLblPos val="nextTo"/>
        <c:crossAx val="20137164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29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name="matdump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opLeftCell="G1" zoomScale="85" zoomScaleNormal="85" workbookViewId="0">
      <pane ySplit="11" topLeftCell="A12" activePane="bottomLeft" state="frozen"/>
      <selection pane="bottomLeft" activeCell="S19" sqref="S19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Q2">
        <v>-2.1736279815047777</v>
      </c>
      <c r="S2" t="s">
        <v>6</v>
      </c>
      <c r="T2" s="28">
        <v>-2.1736279815047777</v>
      </c>
      <c r="U2">
        <v>4.1577749587548292</v>
      </c>
      <c r="V2">
        <f ca="1">RANDBETWEEN(-30,30)*RAND()</f>
        <v>-6.6985119702250095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Q3" t="e">
        <v>#N/A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-2.5979651236065093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Q4">
        <v>2.4604392409065263</v>
      </c>
      <c r="S4" t="s">
        <v>8</v>
      </c>
      <c r="T4" s="28">
        <v>2.4604392409065263</v>
      </c>
      <c r="U4">
        <v>3.8747580589584212</v>
      </c>
      <c r="V4">
        <f t="shared" ca="1" si="1"/>
        <v>-13.86368616648457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Q5">
        <v>-2.9354099736868258</v>
      </c>
      <c r="S5" t="s">
        <v>9</v>
      </c>
      <c r="T5" s="28">
        <v>-2.9354099736868258</v>
      </c>
      <c r="U5">
        <v>3.3699339168729607</v>
      </c>
      <c r="V5">
        <f t="shared" ca="1" si="1"/>
        <v>4.841561291326725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Q6">
        <v>-1.2123505874078671</v>
      </c>
      <c r="S6" t="s">
        <v>10</v>
      </c>
      <c r="T6" s="28">
        <v>-1.2123505874078671</v>
      </c>
      <c r="U6">
        <v>1.2455999177006152</v>
      </c>
      <c r="V6">
        <f t="shared" ca="1" si="1"/>
        <v>2.9599130872412811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Q7">
        <v>-1.1228814053678404</v>
      </c>
      <c r="S7" t="s">
        <v>11</v>
      </c>
      <c r="T7" s="28">
        <v>-1.1228814053678404</v>
      </c>
      <c r="U7">
        <v>1.1626430122416365</v>
      </c>
      <c r="V7">
        <f t="shared" ca="1" si="1"/>
        <v>-7.5471088357944396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Q8" t="e">
        <v>#N/A</v>
      </c>
      <c r="S8" s="5" t="s">
        <v>12</v>
      </c>
      <c r="T8" s="28">
        <v>0</v>
      </c>
      <c r="U8">
        <v>4.7123889803846897</v>
      </c>
      <c r="V8">
        <f t="shared" ca="1" si="1"/>
        <v>15.936939945707357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Q9">
        <v>-1.7962023222506496</v>
      </c>
      <c r="S9" t="s">
        <v>13</v>
      </c>
      <c r="T9" s="28">
        <v>-1.7962023222506496</v>
      </c>
      <c r="U9">
        <v>4.5088736833347491</v>
      </c>
      <c r="V9">
        <f t="shared" ca="1" si="1"/>
        <v>2.8771161813866741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>
        <f ca="1">IF(OFFSET(M12,(ROW(O1)-1)*3,0)=0,0,1)</f>
        <v>0</v>
      </c>
      <c r="R12" s="3">
        <f>(ROW(Q1)-1)*4+12</f>
        <v>12</v>
      </c>
      <c r="S12" s="3" t="str">
        <f ca="1">OFFSET($A$13,(ROW(Q1)-1)*4,0)</f>
        <v>1-0_123</v>
      </c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>
        <f t="shared" ref="Q13:Q76" ca="1" si="3">IF(OFFSET(M13,(ROW(O2)-1)*3,0)=0,0,1)</f>
        <v>0</v>
      </c>
      <c r="R13" s="3">
        <f t="shared" ref="R13:R76" si="4">(ROW(Q2)-1)*4+12</f>
        <v>16</v>
      </c>
      <c r="S13" s="3" t="str">
        <f t="shared" ref="S13:S21" ca="1" si="5">OFFSET($A$13,(ROW(Q2)-1)*4,0)</f>
        <v>2-0_124</v>
      </c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>
        <f t="shared" ca="1" si="3"/>
        <v>0</v>
      </c>
      <c r="R14" s="3">
        <f t="shared" si="4"/>
        <v>20</v>
      </c>
      <c r="S14" s="3" t="str">
        <f t="shared" ca="1" si="5"/>
        <v>3-0_125</v>
      </c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>
        <f t="shared" ca="1" si="3"/>
        <v>0</v>
      </c>
      <c r="R15" s="3">
        <f t="shared" si="4"/>
        <v>24</v>
      </c>
      <c r="S15" s="3" t="str">
        <f t="shared" ca="1" si="5"/>
        <v>4-0_126</v>
      </c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>
        <f t="shared" ca="1" si="3"/>
        <v>0</v>
      </c>
      <c r="R16" s="3">
        <f t="shared" si="4"/>
        <v>28</v>
      </c>
      <c r="S16" s="3" t="str">
        <f t="shared" ca="1" si="5"/>
        <v>5-0_127</v>
      </c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>
        <f t="shared" ca="1" si="3"/>
        <v>0</v>
      </c>
      <c r="R17" s="3">
        <f t="shared" si="4"/>
        <v>32</v>
      </c>
      <c r="S17" s="3" t="str">
        <f t="shared" ca="1" si="5"/>
        <v>6-0_134</v>
      </c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>
        <f t="shared" ca="1" si="3"/>
        <v>0</v>
      </c>
      <c r="R18" s="3">
        <f t="shared" si="4"/>
        <v>36</v>
      </c>
      <c r="S18" s="3" t="str">
        <f t="shared" ca="1" si="5"/>
        <v>7-0_135</v>
      </c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>
        <f t="shared" ca="1" si="3"/>
        <v>0</v>
      </c>
      <c r="R19" s="3">
        <f t="shared" si="4"/>
        <v>40</v>
      </c>
      <c r="S19" s="3" t="str">
        <f t="shared" ca="1" si="5"/>
        <v>8-0_136</v>
      </c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>
        <f t="shared" ca="1" si="3"/>
        <v>0</v>
      </c>
      <c r="R20" s="3">
        <f t="shared" si="4"/>
        <v>44</v>
      </c>
      <c r="S20" s="3" t="str">
        <f t="shared" ca="1" si="5"/>
        <v>9-0_137</v>
      </c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>
        <f t="shared" ca="1" si="3"/>
        <v>0</v>
      </c>
      <c r="R21" s="3">
        <f t="shared" si="4"/>
        <v>48</v>
      </c>
      <c r="S21" s="3" t="str">
        <f t="shared" ca="1" si="5"/>
        <v>10-0_145</v>
      </c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>
        <f t="shared" ca="1" si="3"/>
        <v>0</v>
      </c>
      <c r="R22" s="3">
        <f t="shared" si="4"/>
        <v>52</v>
      </c>
      <c r="S22" s="3" t="str">
        <f ca="1">OFFSET($A$13,(ROW(Q11)-1)*4,0)</f>
        <v>11-0_146</v>
      </c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>
        <f t="shared" ca="1" si="3"/>
        <v>0</v>
      </c>
      <c r="R23" s="3">
        <f t="shared" si="4"/>
        <v>56</v>
      </c>
      <c r="S23" s="3" t="str">
        <f t="shared" ref="S23:S86" ca="1" si="6">OFFSET($A$13,(ROW(Q12)-1)*4,0)</f>
        <v>12-0_147</v>
      </c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>
        <f t="shared" ca="1" si="3"/>
        <v>0</v>
      </c>
      <c r="R24" s="3">
        <f t="shared" si="4"/>
        <v>60</v>
      </c>
      <c r="S24" s="3" t="str">
        <f t="shared" ca="1" si="6"/>
        <v>13-0_156</v>
      </c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>
        <f t="shared" ca="1" si="3"/>
        <v>0</v>
      </c>
      <c r="R25" s="3">
        <f t="shared" si="4"/>
        <v>64</v>
      </c>
      <c r="S25" s="3" t="str">
        <f t="shared" ca="1" si="6"/>
        <v>14-0_157</v>
      </c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>
        <f t="shared" ca="1" si="3"/>
        <v>0</v>
      </c>
      <c r="R26" s="3">
        <f t="shared" si="4"/>
        <v>68</v>
      </c>
      <c r="S26" s="3" t="str">
        <f t="shared" ca="1" si="6"/>
        <v>15-0_167</v>
      </c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>
        <f t="shared" ca="1" si="3"/>
        <v>1</v>
      </c>
      <c r="R27" s="3">
        <f t="shared" si="4"/>
        <v>72</v>
      </c>
      <c r="S27" s="3" t="str">
        <f t="shared" ca="1" si="6"/>
        <v>16-0_234</v>
      </c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>
        <f t="shared" ca="1" si="3"/>
        <v>1</v>
      </c>
      <c r="R28" s="3">
        <f t="shared" si="4"/>
        <v>76</v>
      </c>
      <c r="S28" s="3" t="str">
        <f t="shared" ca="1" si="6"/>
        <v>17-0_235</v>
      </c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>
        <f t="shared" ca="1" si="3"/>
        <v>0</v>
      </c>
      <c r="R29" s="3">
        <f t="shared" si="4"/>
        <v>80</v>
      </c>
      <c r="S29" s="3" t="str">
        <f t="shared" ca="1" si="6"/>
        <v>18-0_236</v>
      </c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>
        <f t="shared" ca="1" si="3"/>
        <v>1</v>
      </c>
      <c r="R30" s="3">
        <f t="shared" si="4"/>
        <v>84</v>
      </c>
      <c r="S30" s="3" t="str">
        <f t="shared" ca="1" si="6"/>
        <v>19-0_237</v>
      </c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>
        <f t="shared" ca="1" si="3"/>
        <v>1</v>
      </c>
      <c r="R31" s="3">
        <f t="shared" si="4"/>
        <v>88</v>
      </c>
      <c r="S31" s="3" t="str">
        <f t="shared" ca="1" si="6"/>
        <v>20-0_245</v>
      </c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>
        <f t="shared" ca="1" si="3"/>
        <v>0</v>
      </c>
      <c r="R32" s="3">
        <f t="shared" si="4"/>
        <v>92</v>
      </c>
      <c r="S32" s="3" t="str">
        <f t="shared" ca="1" si="6"/>
        <v>21-0_246</v>
      </c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>
        <f t="shared" ca="1" si="3"/>
        <v>1</v>
      </c>
      <c r="R33" s="3">
        <f t="shared" si="4"/>
        <v>96</v>
      </c>
      <c r="S33" s="3" t="str">
        <f t="shared" ca="1" si="6"/>
        <v>22-0_247</v>
      </c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>
        <f t="shared" ca="1" si="3"/>
        <v>0</v>
      </c>
      <c r="R34" s="3">
        <f t="shared" si="4"/>
        <v>100</v>
      </c>
      <c r="S34" s="3" t="str">
        <f t="shared" ca="1" si="6"/>
        <v>23-0_256</v>
      </c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>
        <f t="shared" ca="1" si="3"/>
        <v>1</v>
      </c>
      <c r="R35" s="3">
        <f t="shared" si="4"/>
        <v>104</v>
      </c>
      <c r="S35" s="3" t="str">
        <f t="shared" ca="1" si="6"/>
        <v>24-0_257</v>
      </c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>
        <f t="shared" ca="1" si="3"/>
        <v>0</v>
      </c>
      <c r="R36" s="3">
        <f t="shared" si="4"/>
        <v>108</v>
      </c>
      <c r="S36" s="3" t="str">
        <f t="shared" ca="1" si="6"/>
        <v>25-0_267</v>
      </c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>
        <f t="shared" ca="1" si="3"/>
        <v>1</v>
      </c>
      <c r="R37" s="3">
        <f t="shared" si="4"/>
        <v>112</v>
      </c>
      <c r="S37" s="3" t="str">
        <f t="shared" ca="1" si="6"/>
        <v>26-0_345</v>
      </c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>
        <f t="shared" ca="1" si="3"/>
        <v>0</v>
      </c>
      <c r="R38" s="3">
        <f t="shared" si="4"/>
        <v>116</v>
      </c>
      <c r="S38" s="3" t="str">
        <f t="shared" ca="1" si="6"/>
        <v>27-0_346</v>
      </c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>
        <f t="shared" ca="1" si="3"/>
        <v>1</v>
      </c>
      <c r="R39" s="3">
        <f t="shared" si="4"/>
        <v>120</v>
      </c>
      <c r="S39" s="3" t="str">
        <f t="shared" ca="1" si="6"/>
        <v>28-0_347</v>
      </c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>
        <f t="shared" ca="1" si="3"/>
        <v>0</v>
      </c>
      <c r="R40" s="3">
        <f t="shared" si="4"/>
        <v>124</v>
      </c>
      <c r="S40" s="3" t="str">
        <f t="shared" ca="1" si="6"/>
        <v>29-0_356</v>
      </c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>
        <f t="shared" ca="1" si="3"/>
        <v>1</v>
      </c>
      <c r="R41" s="3">
        <f t="shared" si="4"/>
        <v>128</v>
      </c>
      <c r="S41" s="3" t="str">
        <f t="shared" ca="1" si="6"/>
        <v>30-0_357</v>
      </c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>
        <f t="shared" ca="1" si="3"/>
        <v>0</v>
      </c>
      <c r="R42" s="3">
        <f t="shared" si="4"/>
        <v>132</v>
      </c>
      <c r="S42" s="3" t="str">
        <f t="shared" ca="1" si="6"/>
        <v>31-0_367</v>
      </c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>
        <f t="shared" ca="1" si="3"/>
        <v>0</v>
      </c>
      <c r="R43" s="3">
        <f t="shared" si="4"/>
        <v>136</v>
      </c>
      <c r="S43" s="3" t="str">
        <f t="shared" ca="1" si="6"/>
        <v>32-0_456</v>
      </c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>
        <f t="shared" ca="1" si="3"/>
        <v>1</v>
      </c>
      <c r="R44" s="3">
        <f t="shared" si="4"/>
        <v>140</v>
      </c>
      <c r="S44" s="3" t="str">
        <f t="shared" ca="1" si="6"/>
        <v>33-0_457</v>
      </c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>
        <f t="shared" ca="1" si="3"/>
        <v>0</v>
      </c>
      <c r="R45" s="3">
        <f t="shared" si="4"/>
        <v>144</v>
      </c>
      <c r="S45" s="3" t="str">
        <f t="shared" ca="1" si="6"/>
        <v>34-0_467</v>
      </c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>
        <f t="shared" ca="1" si="3"/>
        <v>0</v>
      </c>
      <c r="R46" s="3">
        <f t="shared" si="4"/>
        <v>148</v>
      </c>
      <c r="S46" s="3" t="str">
        <f t="shared" ca="1" si="6"/>
        <v>35-0_567</v>
      </c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>
        <f t="shared" ca="1" si="3"/>
        <v>0</v>
      </c>
      <c r="R47" s="3">
        <f t="shared" si="4"/>
        <v>152</v>
      </c>
      <c r="S47" s="3" t="str">
        <f t="shared" ca="1" si="6"/>
        <v>36-1_023</v>
      </c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>
        <f t="shared" ca="1" si="3"/>
        <v>0</v>
      </c>
      <c r="R48" s="3">
        <f t="shared" si="4"/>
        <v>156</v>
      </c>
      <c r="S48" s="3" t="str">
        <f t="shared" ca="1" si="6"/>
        <v>37-1_024</v>
      </c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>
        <f t="shared" ca="1" si="3"/>
        <v>0</v>
      </c>
      <c r="R49" s="3">
        <f t="shared" si="4"/>
        <v>160</v>
      </c>
      <c r="S49" s="3" t="str">
        <f t="shared" ca="1" si="6"/>
        <v>38-1_025</v>
      </c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>
        <f t="shared" ca="1" si="3"/>
        <v>0</v>
      </c>
      <c r="R50" s="3">
        <f t="shared" si="4"/>
        <v>164</v>
      </c>
      <c r="S50" s="3" t="str">
        <f t="shared" ca="1" si="6"/>
        <v>39-1_026</v>
      </c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>
        <f t="shared" ca="1" si="3"/>
        <v>0</v>
      </c>
      <c r="R51" s="3">
        <f t="shared" si="4"/>
        <v>168</v>
      </c>
      <c r="S51" s="3" t="str">
        <f t="shared" ca="1" si="6"/>
        <v>40-1_027</v>
      </c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>
        <f t="shared" ca="1" si="3"/>
        <v>0</v>
      </c>
      <c r="R52" s="3">
        <f t="shared" si="4"/>
        <v>172</v>
      </c>
      <c r="S52" s="3" t="str">
        <f t="shared" ca="1" si="6"/>
        <v>41-1_034</v>
      </c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>
        <f t="shared" ca="1" si="3"/>
        <v>0</v>
      </c>
      <c r="R53" s="3">
        <f t="shared" si="4"/>
        <v>176</v>
      </c>
      <c r="S53" s="3" t="str">
        <f t="shared" ca="1" si="6"/>
        <v>42-1_035</v>
      </c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>
        <f t="shared" ca="1" si="3"/>
        <v>0</v>
      </c>
      <c r="R54" s="3">
        <f t="shared" si="4"/>
        <v>180</v>
      </c>
      <c r="S54" s="3" t="str">
        <f t="shared" ca="1" si="6"/>
        <v>43-1_036</v>
      </c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>
        <f t="shared" ca="1" si="3"/>
        <v>0</v>
      </c>
      <c r="R55" s="3">
        <f t="shared" si="4"/>
        <v>184</v>
      </c>
      <c r="S55" s="3" t="str">
        <f t="shared" ca="1" si="6"/>
        <v>44-1_037</v>
      </c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>
        <f t="shared" ca="1" si="3"/>
        <v>0</v>
      </c>
      <c r="R56" s="3">
        <f t="shared" si="4"/>
        <v>188</v>
      </c>
      <c r="S56" s="3" t="str">
        <f t="shared" ca="1" si="6"/>
        <v>45-1_045</v>
      </c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>
        <f t="shared" ca="1" si="3"/>
        <v>0</v>
      </c>
      <c r="R57" s="3">
        <f t="shared" si="4"/>
        <v>192</v>
      </c>
      <c r="S57" s="3" t="str">
        <f t="shared" ca="1" si="6"/>
        <v>46-1_046</v>
      </c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>
        <f t="shared" ca="1" si="3"/>
        <v>0</v>
      </c>
      <c r="R58" s="3">
        <f t="shared" si="4"/>
        <v>196</v>
      </c>
      <c r="S58" s="3" t="str">
        <f t="shared" ca="1" si="6"/>
        <v>47-1_047</v>
      </c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>
        <f t="shared" ca="1" si="3"/>
        <v>0</v>
      </c>
      <c r="R59" s="3">
        <f t="shared" si="4"/>
        <v>200</v>
      </c>
      <c r="S59" s="3" t="str">
        <f t="shared" ca="1" si="6"/>
        <v>48-1_056</v>
      </c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>
        <f t="shared" ca="1" si="3"/>
        <v>0</v>
      </c>
      <c r="R60" s="3">
        <f t="shared" si="4"/>
        <v>204</v>
      </c>
      <c r="S60" s="3" t="str">
        <f t="shared" ca="1" si="6"/>
        <v>49-1_057</v>
      </c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>
        <f t="shared" ca="1" si="3"/>
        <v>0</v>
      </c>
      <c r="R61" s="3">
        <f t="shared" si="4"/>
        <v>208</v>
      </c>
      <c r="S61" s="3" t="str">
        <f t="shared" ca="1" si="6"/>
        <v>50-1_067</v>
      </c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>
        <f t="shared" ca="1" si="3"/>
        <v>0</v>
      </c>
      <c r="R62" s="3">
        <f t="shared" si="4"/>
        <v>212</v>
      </c>
      <c r="S62" s="3" t="str">
        <f t="shared" ca="1" si="6"/>
        <v>51-1_234</v>
      </c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>
        <f t="shared" ca="1" si="3"/>
        <v>0</v>
      </c>
      <c r="R63" s="3">
        <f t="shared" si="4"/>
        <v>216</v>
      </c>
      <c r="S63" s="3" t="str">
        <f t="shared" ca="1" si="6"/>
        <v>52-1_235</v>
      </c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>
        <f t="shared" ca="1" si="3"/>
        <v>0</v>
      </c>
      <c r="R64" s="3">
        <f t="shared" si="4"/>
        <v>220</v>
      </c>
      <c r="S64" s="3" t="str">
        <f t="shared" ca="1" si="6"/>
        <v>53-1_236</v>
      </c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>
        <f t="shared" ca="1" si="3"/>
        <v>0</v>
      </c>
      <c r="R65" s="3">
        <f t="shared" si="4"/>
        <v>224</v>
      </c>
      <c r="S65" s="3" t="str">
        <f t="shared" ca="1" si="6"/>
        <v>54-1_237</v>
      </c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>
        <f t="shared" ca="1" si="3"/>
        <v>0</v>
      </c>
      <c r="R66" s="3">
        <f t="shared" si="4"/>
        <v>228</v>
      </c>
      <c r="S66" s="3" t="str">
        <f t="shared" ca="1" si="6"/>
        <v>55-1_245</v>
      </c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>
        <f t="shared" ca="1" si="3"/>
        <v>0</v>
      </c>
      <c r="R67" s="3">
        <f t="shared" si="4"/>
        <v>232</v>
      </c>
      <c r="S67" s="3" t="str">
        <f t="shared" ca="1" si="6"/>
        <v>56-1_246</v>
      </c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>
        <f t="shared" ca="1" si="3"/>
        <v>0</v>
      </c>
      <c r="R68" s="3">
        <f t="shared" si="4"/>
        <v>236</v>
      </c>
      <c r="S68" s="3" t="str">
        <f t="shared" ca="1" si="6"/>
        <v>57-1_247</v>
      </c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>
        <f t="shared" ca="1" si="3"/>
        <v>0</v>
      </c>
      <c r="R69" s="3">
        <f t="shared" si="4"/>
        <v>240</v>
      </c>
      <c r="S69" s="3" t="str">
        <f t="shared" ca="1" si="6"/>
        <v>58-1_256</v>
      </c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>
        <f t="shared" ca="1" si="3"/>
        <v>0</v>
      </c>
      <c r="R70" s="3">
        <f t="shared" si="4"/>
        <v>244</v>
      </c>
      <c r="S70" s="3" t="str">
        <f t="shared" ca="1" si="6"/>
        <v>59-1_257</v>
      </c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>
        <f t="shared" ca="1" si="3"/>
        <v>0</v>
      </c>
      <c r="R71" s="3">
        <f t="shared" si="4"/>
        <v>248</v>
      </c>
      <c r="S71" s="3" t="str">
        <f t="shared" ca="1" si="6"/>
        <v>60-1_267</v>
      </c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1.0371747308879334E-2</v>
      </c>
      <c r="I72" s="7">
        <v>1.1740304363337662E-2</v>
      </c>
      <c r="J72" s="7">
        <v>0</v>
      </c>
      <c r="K72" s="7">
        <v>0</v>
      </c>
      <c r="L72">
        <v>0.8419894247146269</v>
      </c>
      <c r="M72">
        <v>-5.0486962857952417E-4</v>
      </c>
      <c r="N72" s="9"/>
      <c r="O72" s="3">
        <f>L72-M72</f>
        <v>0.84249429434320644</v>
      </c>
      <c r="P72" s="3"/>
      <c r="Q72" s="3">
        <f t="shared" ca="1" si="3"/>
        <v>0</v>
      </c>
      <c r="R72" s="3">
        <f t="shared" si="4"/>
        <v>252</v>
      </c>
      <c r="S72" s="3" t="str">
        <f t="shared" ca="1" si="6"/>
        <v>61-1_345</v>
      </c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1.0371747308879334E-2</v>
      </c>
      <c r="I73" s="7">
        <v>0</v>
      </c>
      <c r="J73" s="7">
        <v>-1.4006688703909184E-2</v>
      </c>
      <c r="K73" s="7">
        <v>0</v>
      </c>
      <c r="L73">
        <v>1.5747328563547551</v>
      </c>
      <c r="M73">
        <v>-1.4783952241242957E-3</v>
      </c>
      <c r="N73" s="9"/>
      <c r="O73" s="3">
        <f>L73-M73</f>
        <v>1.5762112515788793</v>
      </c>
      <c r="P73" s="3"/>
      <c r="Q73" s="3">
        <f t="shared" ca="1" si="3"/>
        <v>0</v>
      </c>
      <c r="R73" s="3">
        <f t="shared" si="4"/>
        <v>256</v>
      </c>
      <c r="S73" s="3" t="str">
        <f t="shared" ca="1" si="6"/>
        <v>62-1_346</v>
      </c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1.0371747308879334E-2</v>
      </c>
      <c r="I74" s="7">
        <v>0</v>
      </c>
      <c r="J74" s="7">
        <v>0</v>
      </c>
      <c r="K74" s="7">
        <v>-5.7848877771903059E-3</v>
      </c>
      <c r="L74">
        <v>1.8954667052703302</v>
      </c>
      <c r="M74">
        <v>1.2363847907932218E-3</v>
      </c>
      <c r="N74" s="9"/>
      <c r="O74" s="3">
        <f>L74-M74</f>
        <v>1.894230320479537</v>
      </c>
      <c r="P74" s="3"/>
      <c r="Q74" s="3">
        <f t="shared" ca="1" si="3"/>
        <v>0</v>
      </c>
      <c r="R74" s="3">
        <f t="shared" si="4"/>
        <v>260</v>
      </c>
      <c r="S74" s="3" t="str">
        <f t="shared" ca="1" si="6"/>
        <v>63-1_347</v>
      </c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>
        <f t="shared" ca="1" si="3"/>
        <v>0</v>
      </c>
      <c r="R75" s="3">
        <f t="shared" si="4"/>
        <v>264</v>
      </c>
      <c r="S75" s="3" t="str">
        <f t="shared" ca="1" si="6"/>
        <v>64-1_356</v>
      </c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1.0371747308879334E-2</v>
      </c>
      <c r="I76" s="7">
        <v>1.1740304363337662E-2</v>
      </c>
      <c r="J76" s="7">
        <v>0</v>
      </c>
      <c r="K76" s="7">
        <v>0</v>
      </c>
      <c r="L76">
        <v>0.8419894247146269</v>
      </c>
      <c r="M76">
        <v>-5.0486962857952417E-4</v>
      </c>
      <c r="N76" s="9"/>
      <c r="O76" s="3">
        <f>L76-M76</f>
        <v>0.84249429434320644</v>
      </c>
      <c r="P76" s="3"/>
      <c r="Q76" s="3">
        <f t="shared" ca="1" si="3"/>
        <v>0</v>
      </c>
      <c r="R76" s="3">
        <f t="shared" si="4"/>
        <v>268</v>
      </c>
      <c r="S76" s="3" t="str">
        <f t="shared" ca="1" si="6"/>
        <v>65-1_357</v>
      </c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1.0371747308879334E-2</v>
      </c>
      <c r="I77" s="7">
        <v>0</v>
      </c>
      <c r="J77" s="7">
        <v>-1.4006688703909184E-2</v>
      </c>
      <c r="K77" s="7">
        <v>0</v>
      </c>
      <c r="L77">
        <v>1.5747328563547551</v>
      </c>
      <c r="M77">
        <v>-1.4783952241242957E-3</v>
      </c>
      <c r="N77" s="9"/>
      <c r="O77" s="3">
        <f>L77-M77</f>
        <v>1.5762112515788793</v>
      </c>
      <c r="P77" s="3"/>
      <c r="Q77" s="3">
        <f t="shared" ref="Q77:Q140" ca="1" si="7">IF(OFFSET(M77,(ROW(O66)-1)*3,0)=0,0,1)</f>
        <v>0</v>
      </c>
      <c r="R77" s="3">
        <f t="shared" ref="R77:R140" si="8">(ROW(Q66)-1)*4+12</f>
        <v>272</v>
      </c>
      <c r="S77" s="3" t="str">
        <f t="shared" ca="1" si="6"/>
        <v>66-1_367</v>
      </c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1.0371747308879334E-2</v>
      </c>
      <c r="I78" s="7">
        <v>0</v>
      </c>
      <c r="J78" s="7">
        <v>0</v>
      </c>
      <c r="K78" s="7">
        <v>-5.3579739925191721E-3</v>
      </c>
      <c r="L78">
        <v>3.0923821493075776</v>
      </c>
      <c r="M78">
        <v>1.3157489132348636E-3</v>
      </c>
      <c r="N78" s="9"/>
      <c r="O78" s="3">
        <f>L78-M78</f>
        <v>3.0910664003943427</v>
      </c>
      <c r="P78" s="3"/>
      <c r="Q78" s="3">
        <f t="shared" ca="1" si="7"/>
        <v>0</v>
      </c>
      <c r="R78" s="3">
        <f t="shared" si="8"/>
        <v>276</v>
      </c>
      <c r="S78" s="3" t="str">
        <f t="shared" ca="1" si="6"/>
        <v>67-1_456</v>
      </c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>
        <f t="shared" ca="1" si="7"/>
        <v>0</v>
      </c>
      <c r="R79" s="3">
        <f t="shared" si="8"/>
        <v>280</v>
      </c>
      <c r="S79" s="3" t="str">
        <f t="shared" ca="1" si="6"/>
        <v>68-1_457</v>
      </c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>
        <f t="shared" ca="1" si="7"/>
        <v>0</v>
      </c>
      <c r="R80" s="3">
        <f t="shared" si="8"/>
        <v>284</v>
      </c>
      <c r="S80" s="3" t="str">
        <f t="shared" ca="1" si="6"/>
        <v>69-1_467</v>
      </c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>
        <f t="shared" ca="1" si="7"/>
        <v>0</v>
      </c>
      <c r="R81" s="3">
        <f t="shared" si="8"/>
        <v>288</v>
      </c>
      <c r="S81" s="3" t="str">
        <f t="shared" ca="1" si="6"/>
        <v>70-1_567</v>
      </c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>
        <f t="shared" ca="1" si="7"/>
        <v>0</v>
      </c>
      <c r="R82" s="3">
        <f t="shared" si="8"/>
        <v>292</v>
      </c>
      <c r="S82" s="3" t="str">
        <f t="shared" ca="1" si="6"/>
        <v>71-2_013</v>
      </c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>
        <f t="shared" ca="1" si="7"/>
        <v>0</v>
      </c>
      <c r="R83" s="3">
        <f t="shared" si="8"/>
        <v>296</v>
      </c>
      <c r="S83" s="3" t="str">
        <f t="shared" ca="1" si="6"/>
        <v>72-2_014</v>
      </c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1.0371747308879334E-2</v>
      </c>
      <c r="I84" s="7">
        <v>1.1740304363337662E-2</v>
      </c>
      <c r="J84" s="7">
        <v>0</v>
      </c>
      <c r="K84" s="7">
        <v>0</v>
      </c>
      <c r="L84">
        <v>0.8419894247146269</v>
      </c>
      <c r="M84">
        <v>-5.0486962857952417E-4</v>
      </c>
      <c r="N84" s="9"/>
      <c r="O84" s="3">
        <f>L84-M84</f>
        <v>0.84249429434320644</v>
      </c>
      <c r="P84" s="3"/>
      <c r="Q84" s="3">
        <f t="shared" ca="1" si="7"/>
        <v>0</v>
      </c>
      <c r="R84" s="3">
        <f t="shared" si="8"/>
        <v>300</v>
      </c>
      <c r="S84" s="3" t="str">
        <f t="shared" ca="1" si="6"/>
        <v>73-2_015</v>
      </c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1.0371747308879334E-2</v>
      </c>
      <c r="I85" s="7">
        <v>0</v>
      </c>
      <c r="J85" s="7">
        <v>-1.4006688703909184E-2</v>
      </c>
      <c r="K85" s="7">
        <v>0</v>
      </c>
      <c r="L85">
        <v>1.5747328563547551</v>
      </c>
      <c r="M85">
        <v>-1.4783952241242957E-3</v>
      </c>
      <c r="N85" s="9"/>
      <c r="O85" s="3">
        <f>L85-M85</f>
        <v>1.5762112515788793</v>
      </c>
      <c r="P85" s="3"/>
      <c r="Q85" s="3">
        <f t="shared" ca="1" si="7"/>
        <v>0</v>
      </c>
      <c r="R85" s="3">
        <f t="shared" si="8"/>
        <v>304</v>
      </c>
      <c r="S85" s="3" t="str">
        <f t="shared" ca="1" si="6"/>
        <v>74-2_016</v>
      </c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1.0371747308879334E-2</v>
      </c>
      <c r="I86" s="7">
        <v>0</v>
      </c>
      <c r="J86" s="7">
        <v>0</v>
      </c>
      <c r="K86" s="7">
        <v>-8.5708119146997823E-3</v>
      </c>
      <c r="L86">
        <v>2.803142180904064</v>
      </c>
      <c r="M86">
        <v>5.691465198427129E-4</v>
      </c>
      <c r="N86" s="9"/>
      <c r="O86" s="3">
        <f>L86-M86</f>
        <v>2.8025730343842215</v>
      </c>
      <c r="P86" s="3"/>
      <c r="Q86" s="3">
        <f t="shared" ca="1" si="7"/>
        <v>0</v>
      </c>
      <c r="R86" s="3">
        <f t="shared" si="8"/>
        <v>308</v>
      </c>
      <c r="S86" s="3" t="str">
        <f t="shared" ca="1" si="6"/>
        <v>75-2_017</v>
      </c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>
        <f t="shared" ca="1" si="7"/>
        <v>1</v>
      </c>
      <c r="R87" s="3">
        <f t="shared" si="8"/>
        <v>312</v>
      </c>
      <c r="S87" s="3" t="str">
        <f t="shared" ref="S87:S150" ca="1" si="9">OFFSET($A$13,(ROW(Q76)-1)*4,0)</f>
        <v>76-2_034</v>
      </c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1.0371747308879334E-2</v>
      </c>
      <c r="I88" s="7">
        <v>1.1740304363337662E-2</v>
      </c>
      <c r="J88" s="7">
        <v>0</v>
      </c>
      <c r="K88" s="7">
        <v>0</v>
      </c>
      <c r="L88">
        <v>0.8419894247146269</v>
      </c>
      <c r="M88">
        <v>-5.0486962857952417E-4</v>
      </c>
      <c r="N88" s="9"/>
      <c r="O88" s="3">
        <f>L88-M88</f>
        <v>0.84249429434320644</v>
      </c>
      <c r="P88" s="3"/>
      <c r="Q88" s="3">
        <f t="shared" ca="1" si="7"/>
        <v>1</v>
      </c>
      <c r="R88" s="3">
        <f t="shared" si="8"/>
        <v>316</v>
      </c>
      <c r="S88" s="3" t="str">
        <f t="shared" ca="1" si="9"/>
        <v>77-2_035</v>
      </c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1.0371747308879334E-2</v>
      </c>
      <c r="I89" s="7">
        <v>0</v>
      </c>
      <c r="J89" s="7">
        <v>-5.7848877771903059E-3</v>
      </c>
      <c r="K89" s="7">
        <v>0</v>
      </c>
      <c r="L89">
        <v>1.8954667052703302</v>
      </c>
      <c r="M89">
        <v>1.2363847907932218E-3</v>
      </c>
      <c r="N89" s="9"/>
      <c r="O89" s="3">
        <f>L89-M89</f>
        <v>1.894230320479537</v>
      </c>
      <c r="P89" s="3"/>
      <c r="Q89" s="3">
        <f t="shared" ca="1" si="7"/>
        <v>0</v>
      </c>
      <c r="R89" s="3">
        <f t="shared" si="8"/>
        <v>320</v>
      </c>
      <c r="S89" s="3" t="str">
        <f t="shared" ca="1" si="9"/>
        <v>78-2_036</v>
      </c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1.0371747308879334E-2</v>
      </c>
      <c r="I90" s="7">
        <v>0</v>
      </c>
      <c r="J90" s="7">
        <v>0</v>
      </c>
      <c r="K90" s="7">
        <v>-5.3579739925191721E-3</v>
      </c>
      <c r="L90">
        <v>3.0923821493075776</v>
      </c>
      <c r="M90">
        <v>1.3157489132348636E-3</v>
      </c>
      <c r="N90" s="9"/>
      <c r="O90" s="3">
        <f>L90-M90</f>
        <v>3.0910664003943427</v>
      </c>
      <c r="P90" s="3"/>
      <c r="Q90" s="3">
        <f t="shared" ca="1" si="7"/>
        <v>1</v>
      </c>
      <c r="R90" s="3">
        <f t="shared" si="8"/>
        <v>324</v>
      </c>
      <c r="S90" s="3" t="str">
        <f t="shared" ca="1" si="9"/>
        <v>79-2_037</v>
      </c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>
        <f t="shared" ca="1" si="7"/>
        <v>1</v>
      </c>
      <c r="R91" s="3">
        <f t="shared" si="8"/>
        <v>328</v>
      </c>
      <c r="S91" s="3" t="str">
        <f t="shared" ca="1" si="9"/>
        <v>80-2_045</v>
      </c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>
        <f t="shared" ca="1" si="7"/>
        <v>0</v>
      </c>
      <c r="R92" s="3">
        <f t="shared" si="8"/>
        <v>332</v>
      </c>
      <c r="S92" s="3" t="str">
        <f t="shared" ca="1" si="9"/>
        <v>81-2_046</v>
      </c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>
        <f t="shared" ca="1" si="7"/>
        <v>1</v>
      </c>
      <c r="R93" s="3">
        <f t="shared" si="8"/>
        <v>336</v>
      </c>
      <c r="S93" s="3" t="str">
        <f t="shared" ca="1" si="9"/>
        <v>82-2_047</v>
      </c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>
        <f t="shared" ca="1" si="7"/>
        <v>0</v>
      </c>
      <c r="R94" s="3">
        <f t="shared" si="8"/>
        <v>340</v>
      </c>
      <c r="S94" s="3" t="str">
        <f t="shared" ca="1" si="9"/>
        <v>83-2_056</v>
      </c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>
        <f t="shared" ca="1" si="7"/>
        <v>1</v>
      </c>
      <c r="R95" s="3">
        <f t="shared" si="8"/>
        <v>344</v>
      </c>
      <c r="S95" s="3" t="str">
        <f t="shared" ca="1" si="9"/>
        <v>84-2_057</v>
      </c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1.0371747308879334E-2</v>
      </c>
      <c r="I96" s="7">
        <v>1.1740304363337662E-2</v>
      </c>
      <c r="J96" s="7">
        <v>0</v>
      </c>
      <c r="K96" s="7">
        <v>0</v>
      </c>
      <c r="L96">
        <v>0.8419894247146269</v>
      </c>
      <c r="M96">
        <v>-5.0486962857952417E-4</v>
      </c>
      <c r="N96" s="9"/>
      <c r="O96" s="3">
        <f>L96-M96</f>
        <v>0.84249429434320644</v>
      </c>
      <c r="P96" s="3"/>
      <c r="Q96" s="3">
        <f t="shared" ca="1" si="7"/>
        <v>0</v>
      </c>
      <c r="R96" s="3">
        <f t="shared" si="8"/>
        <v>348</v>
      </c>
      <c r="S96" s="3" t="str">
        <f t="shared" ca="1" si="9"/>
        <v>85-2_067</v>
      </c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1.0371747308879334E-2</v>
      </c>
      <c r="I97" s="7">
        <v>0</v>
      </c>
      <c r="J97" s="7">
        <v>-5.7848877771903059E-3</v>
      </c>
      <c r="K97" s="7">
        <v>0</v>
      </c>
      <c r="L97">
        <v>1.8954667052703302</v>
      </c>
      <c r="M97">
        <v>1.2363847907932218E-3</v>
      </c>
      <c r="N97" s="9"/>
      <c r="O97" s="3">
        <f>L97-M97</f>
        <v>1.894230320479537</v>
      </c>
      <c r="P97" s="3"/>
      <c r="Q97" s="3">
        <f t="shared" ca="1" si="7"/>
        <v>0</v>
      </c>
      <c r="R97" s="3">
        <f t="shared" si="8"/>
        <v>352</v>
      </c>
      <c r="S97" s="3" t="str">
        <f t="shared" ca="1" si="9"/>
        <v>86-2_134</v>
      </c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1.0371747308879334E-2</v>
      </c>
      <c r="I98" s="7">
        <v>0</v>
      </c>
      <c r="J98" s="7">
        <v>0</v>
      </c>
      <c r="K98" s="7">
        <v>-8.5708119146997823E-3</v>
      </c>
      <c r="L98">
        <v>2.803142180904064</v>
      </c>
      <c r="M98">
        <v>5.691465198427129E-4</v>
      </c>
      <c r="N98" s="9"/>
      <c r="O98" s="3">
        <f>L98-M98</f>
        <v>2.8025730343842215</v>
      </c>
      <c r="P98" s="3"/>
      <c r="Q98" s="3">
        <f t="shared" ca="1" si="7"/>
        <v>0</v>
      </c>
      <c r="R98" s="3">
        <f t="shared" si="8"/>
        <v>356</v>
      </c>
      <c r="S98" s="3" t="str">
        <f t="shared" ca="1" si="9"/>
        <v>87-2_135</v>
      </c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>
        <f t="shared" ca="1" si="7"/>
        <v>0</v>
      </c>
      <c r="R99" s="3">
        <f t="shared" si="8"/>
        <v>360</v>
      </c>
      <c r="S99" s="3" t="str">
        <f t="shared" ca="1" si="9"/>
        <v>88-2_136</v>
      </c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>
        <f t="shared" ca="1" si="7"/>
        <v>0</v>
      </c>
      <c r="R100" s="3">
        <f t="shared" si="8"/>
        <v>364</v>
      </c>
      <c r="S100" s="3" t="str">
        <f t="shared" ca="1" si="9"/>
        <v>89-2_137</v>
      </c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>
        <f t="shared" ca="1" si="7"/>
        <v>0</v>
      </c>
      <c r="R101" s="3">
        <f t="shared" si="8"/>
        <v>368</v>
      </c>
      <c r="S101" s="3" t="str">
        <f t="shared" ca="1" si="9"/>
        <v>90-2_145</v>
      </c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>
        <f t="shared" ca="1" si="7"/>
        <v>0</v>
      </c>
      <c r="R102" s="3">
        <f t="shared" si="8"/>
        <v>372</v>
      </c>
      <c r="S102" s="3" t="str">
        <f t="shared" ca="1" si="9"/>
        <v>91-2_146</v>
      </c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>
        <f t="shared" ca="1" si="7"/>
        <v>0</v>
      </c>
      <c r="R103" s="3">
        <f t="shared" si="8"/>
        <v>376</v>
      </c>
      <c r="S103" s="3" t="str">
        <f t="shared" ca="1" si="9"/>
        <v>92-2_147</v>
      </c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1.0371747308879334E-2</v>
      </c>
      <c r="I104" s="7">
        <v>1.1740304363337662E-2</v>
      </c>
      <c r="J104" s="7">
        <v>0</v>
      </c>
      <c r="K104" s="7">
        <v>0</v>
      </c>
      <c r="L104">
        <v>0.8419894247146269</v>
      </c>
      <c r="M104">
        <v>-5.0486962857952417E-4</v>
      </c>
      <c r="N104" s="9"/>
      <c r="O104" s="3">
        <f>L104-M104</f>
        <v>0.84249429434320644</v>
      </c>
      <c r="P104" s="3"/>
      <c r="Q104" s="3">
        <f t="shared" ca="1" si="7"/>
        <v>0</v>
      </c>
      <c r="R104" s="3">
        <f t="shared" si="8"/>
        <v>380</v>
      </c>
      <c r="S104" s="3" t="str">
        <f t="shared" ca="1" si="9"/>
        <v>93-2_156</v>
      </c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1.0371747308879334E-2</v>
      </c>
      <c r="I105" s="7">
        <v>0</v>
      </c>
      <c r="J105" s="7">
        <v>-5.3579739925191721E-3</v>
      </c>
      <c r="K105" s="7">
        <v>0</v>
      </c>
      <c r="L105">
        <v>3.0923821493075776</v>
      </c>
      <c r="M105">
        <v>1.3157489132348636E-3</v>
      </c>
      <c r="N105" s="9"/>
      <c r="O105" s="3">
        <f>L105-M105</f>
        <v>3.0910664003943427</v>
      </c>
      <c r="P105" s="3"/>
      <c r="Q105" s="3">
        <f t="shared" ca="1" si="7"/>
        <v>0</v>
      </c>
      <c r="R105" s="3">
        <f t="shared" si="8"/>
        <v>384</v>
      </c>
      <c r="S105" s="3" t="str">
        <f t="shared" ca="1" si="9"/>
        <v>94-2_157</v>
      </c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1.0371747308879334E-2</v>
      </c>
      <c r="I106" s="7">
        <v>0</v>
      </c>
      <c r="J106" s="7">
        <v>0</v>
      </c>
      <c r="K106" s="7">
        <v>-8.5708119146997823E-3</v>
      </c>
      <c r="L106">
        <v>2.803142180904064</v>
      </c>
      <c r="M106">
        <v>5.691465198427129E-4</v>
      </c>
      <c r="N106" s="9"/>
      <c r="O106" s="3">
        <f>L106-M106</f>
        <v>2.8025730343842215</v>
      </c>
      <c r="P106" s="3"/>
      <c r="Q106" s="3">
        <f t="shared" ca="1" si="7"/>
        <v>0</v>
      </c>
      <c r="R106" s="3">
        <f t="shared" si="8"/>
        <v>388</v>
      </c>
      <c r="S106" s="3" t="str">
        <f t="shared" ca="1" si="9"/>
        <v>95-2_167</v>
      </c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>
        <f t="shared" ca="1" si="7"/>
        <v>1</v>
      </c>
      <c r="R107" s="3">
        <f t="shared" si="8"/>
        <v>392</v>
      </c>
      <c r="S107" s="3" t="str">
        <f t="shared" ca="1" si="9"/>
        <v>96-2_345</v>
      </c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>
        <f t="shared" ca="1" si="7"/>
        <v>0</v>
      </c>
      <c r="R108" s="3">
        <f t="shared" si="8"/>
        <v>396</v>
      </c>
      <c r="S108" s="3" t="str">
        <f t="shared" ca="1" si="9"/>
        <v>97-2_346</v>
      </c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>
        <f t="shared" ca="1" si="7"/>
        <v>1</v>
      </c>
      <c r="R109" s="3">
        <f t="shared" si="8"/>
        <v>400</v>
      </c>
      <c r="S109" s="3" t="str">
        <f t="shared" ca="1" si="9"/>
        <v>98-2_347</v>
      </c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>
        <f t="shared" ca="1" si="7"/>
        <v>0</v>
      </c>
      <c r="R110" s="3">
        <f t="shared" si="8"/>
        <v>404</v>
      </c>
      <c r="S110" s="3" t="str">
        <f t="shared" ca="1" si="9"/>
        <v>99-2_356</v>
      </c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>
        <f t="shared" ca="1" si="7"/>
        <v>1</v>
      </c>
      <c r="R111" s="3">
        <f t="shared" si="8"/>
        <v>408</v>
      </c>
      <c r="S111" s="3" t="str">
        <f t="shared" ca="1" si="9"/>
        <v>100-2_357</v>
      </c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1.0371747308879334E-2</v>
      </c>
      <c r="I112" s="7">
        <v>-1.4006688703909184E-2</v>
      </c>
      <c r="J112" s="7">
        <v>0</v>
      </c>
      <c r="K112" s="7">
        <v>0</v>
      </c>
      <c r="L112">
        <v>1.5747328563547551</v>
      </c>
      <c r="M112">
        <v>-1.4783952241242957E-3</v>
      </c>
      <c r="N112" s="9"/>
      <c r="O112" s="3">
        <f>L112-M112</f>
        <v>1.5762112515788793</v>
      </c>
      <c r="P112" s="3"/>
      <c r="Q112" s="3">
        <f t="shared" ca="1" si="7"/>
        <v>0</v>
      </c>
      <c r="R112" s="3">
        <f t="shared" si="8"/>
        <v>412</v>
      </c>
      <c r="S112" s="3" t="str">
        <f t="shared" ca="1" si="9"/>
        <v>101-2_367</v>
      </c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1.0371747308879334E-2</v>
      </c>
      <c r="I113" s="7">
        <v>0</v>
      </c>
      <c r="J113" s="7">
        <v>-5.7848877771903059E-3</v>
      </c>
      <c r="K113" s="7">
        <v>0</v>
      </c>
      <c r="L113">
        <v>1.8954667052703302</v>
      </c>
      <c r="M113">
        <v>1.2363847907932218E-3</v>
      </c>
      <c r="N113" s="9"/>
      <c r="O113" s="3">
        <f>L113-M113</f>
        <v>1.894230320479537</v>
      </c>
      <c r="P113" s="3"/>
      <c r="Q113" s="3">
        <f t="shared" ca="1" si="7"/>
        <v>0</v>
      </c>
      <c r="R113" s="3">
        <f t="shared" si="8"/>
        <v>416</v>
      </c>
      <c r="S113" s="3" t="str">
        <f t="shared" ca="1" si="9"/>
        <v>102-2_456</v>
      </c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1.0371747308879334E-2</v>
      </c>
      <c r="I114" s="7">
        <v>0</v>
      </c>
      <c r="J114" s="7">
        <v>0</v>
      </c>
      <c r="K114" s="7">
        <v>-5.3579739925191721E-3</v>
      </c>
      <c r="L114">
        <v>3.0923821493075776</v>
      </c>
      <c r="M114">
        <v>1.3157489132348636E-3</v>
      </c>
      <c r="N114" s="9"/>
      <c r="O114" s="3">
        <f>L114-M114</f>
        <v>3.0910664003943427</v>
      </c>
      <c r="P114" s="3"/>
      <c r="Q114" s="3">
        <f t="shared" ca="1" si="7"/>
        <v>1</v>
      </c>
      <c r="R114" s="3">
        <f t="shared" si="8"/>
        <v>420</v>
      </c>
      <c r="S114" s="3" t="str">
        <f t="shared" ca="1" si="9"/>
        <v>103-2_457</v>
      </c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>
        <f t="shared" ca="1" si="7"/>
        <v>0</v>
      </c>
      <c r="R115" s="3">
        <f t="shared" si="8"/>
        <v>424</v>
      </c>
      <c r="S115" s="3" t="str">
        <f t="shared" ca="1" si="9"/>
        <v>104-2_467</v>
      </c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>
        <f t="shared" ca="1" si="7"/>
        <v>0</v>
      </c>
      <c r="R116" s="3">
        <f t="shared" si="8"/>
        <v>428</v>
      </c>
      <c r="S116" s="3" t="str">
        <f t="shared" ca="1" si="9"/>
        <v>105-2_567</v>
      </c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>
        <f t="shared" ca="1" si="7"/>
        <v>0</v>
      </c>
      <c r="R117" s="3">
        <f t="shared" si="8"/>
        <v>432</v>
      </c>
      <c r="S117" s="3" t="str">
        <f t="shared" ca="1" si="9"/>
        <v>106-3_012</v>
      </c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>
        <f t="shared" ca="1" si="7"/>
        <v>0</v>
      </c>
      <c r="R118" s="3">
        <f t="shared" si="8"/>
        <v>436</v>
      </c>
      <c r="S118" s="3" t="str">
        <f t="shared" ca="1" si="9"/>
        <v>107-3_014</v>
      </c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>
        <f t="shared" ca="1" si="7"/>
        <v>0</v>
      </c>
      <c r="R119" s="3">
        <f t="shared" si="8"/>
        <v>440</v>
      </c>
      <c r="S119" s="3" t="str">
        <f t="shared" ca="1" si="9"/>
        <v>108-3_015</v>
      </c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1.0371747308879334E-2</v>
      </c>
      <c r="I120" s="7">
        <v>-1.4006688703909184E-2</v>
      </c>
      <c r="J120" s="7">
        <v>0</v>
      </c>
      <c r="K120" s="7">
        <v>0</v>
      </c>
      <c r="L120">
        <v>1.5747328563547551</v>
      </c>
      <c r="M120">
        <v>-1.4783952241242957E-3</v>
      </c>
      <c r="N120" s="9"/>
      <c r="O120" s="3">
        <f>L120-M120</f>
        <v>1.5762112515788793</v>
      </c>
      <c r="P120" s="3"/>
      <c r="Q120" s="3">
        <f t="shared" ca="1" si="7"/>
        <v>0</v>
      </c>
      <c r="R120" s="3">
        <f t="shared" si="8"/>
        <v>444</v>
      </c>
      <c r="S120" s="3" t="str">
        <f t="shared" ca="1" si="9"/>
        <v>109-3_016</v>
      </c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1.0371747308879334E-2</v>
      </c>
      <c r="I121" s="7">
        <v>0</v>
      </c>
      <c r="J121" s="7">
        <v>-5.7848877771903059E-3</v>
      </c>
      <c r="K121" s="7">
        <v>0</v>
      </c>
      <c r="L121">
        <v>1.8954667052703302</v>
      </c>
      <c r="M121">
        <v>1.2363847907932218E-3</v>
      </c>
      <c r="N121" s="9"/>
      <c r="O121" s="3">
        <f>L121-M121</f>
        <v>1.894230320479537</v>
      </c>
      <c r="P121" s="3"/>
      <c r="Q121" s="3">
        <f t="shared" ca="1" si="7"/>
        <v>0</v>
      </c>
      <c r="R121" s="3">
        <f t="shared" si="8"/>
        <v>448</v>
      </c>
      <c r="S121" s="3" t="str">
        <f t="shared" ca="1" si="9"/>
        <v>110-3_017</v>
      </c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1.0371747308879334E-2</v>
      </c>
      <c r="I122" s="7">
        <v>0</v>
      </c>
      <c r="J122" s="7">
        <v>0</v>
      </c>
      <c r="K122" s="7">
        <v>-8.5708119146997823E-3</v>
      </c>
      <c r="L122">
        <v>2.803142180904064</v>
      </c>
      <c r="M122">
        <v>5.691465198427129E-4</v>
      </c>
      <c r="N122" s="9"/>
      <c r="O122" s="3">
        <f>L122-M122</f>
        <v>2.8025730343842215</v>
      </c>
      <c r="P122" s="3"/>
      <c r="Q122" s="3">
        <f t="shared" ca="1" si="7"/>
        <v>1</v>
      </c>
      <c r="R122" s="3">
        <f t="shared" si="8"/>
        <v>452</v>
      </c>
      <c r="S122" s="3" t="str">
        <f t="shared" ca="1" si="9"/>
        <v>111-3_024</v>
      </c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>
        <f t="shared" ca="1" si="7"/>
        <v>1</v>
      </c>
      <c r="R123" s="3">
        <f t="shared" si="8"/>
        <v>456</v>
      </c>
      <c r="S123" s="3" t="str">
        <f t="shared" ca="1" si="9"/>
        <v>112-3_025</v>
      </c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>
        <f t="shared" ca="1" si="7"/>
        <v>0</v>
      </c>
      <c r="R124" s="3">
        <f t="shared" si="8"/>
        <v>460</v>
      </c>
      <c r="S124" s="3" t="str">
        <f t="shared" ca="1" si="9"/>
        <v>113-3_026</v>
      </c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>
        <f t="shared" ca="1" si="7"/>
        <v>1</v>
      </c>
      <c r="R125" s="3">
        <f t="shared" si="8"/>
        <v>464</v>
      </c>
      <c r="S125" s="3" t="str">
        <f t="shared" ca="1" si="9"/>
        <v>114-3_027</v>
      </c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>
        <f t="shared" ca="1" si="7"/>
        <v>1</v>
      </c>
      <c r="R126" s="3">
        <f t="shared" si="8"/>
        <v>468</v>
      </c>
      <c r="S126" s="3" t="str">
        <f t="shared" ca="1" si="9"/>
        <v>115-3_045</v>
      </c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>
        <f t="shared" ca="1" si="7"/>
        <v>0</v>
      </c>
      <c r="R127" s="3">
        <f t="shared" si="8"/>
        <v>472</v>
      </c>
      <c r="S127" s="3" t="str">
        <f t="shared" ca="1" si="9"/>
        <v>116-3_046</v>
      </c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1.0371747308879334E-2</v>
      </c>
      <c r="I128" s="7">
        <v>-1.4006688703909184E-2</v>
      </c>
      <c r="J128" s="7">
        <v>0</v>
      </c>
      <c r="K128" s="7">
        <v>0</v>
      </c>
      <c r="L128">
        <v>1.5747328563547551</v>
      </c>
      <c r="M128">
        <v>-1.4783952241242957E-3</v>
      </c>
      <c r="N128" s="9"/>
      <c r="O128" s="3">
        <f>L128-M128</f>
        <v>1.5762112515788793</v>
      </c>
      <c r="P128" s="3"/>
      <c r="Q128" s="3">
        <f t="shared" ca="1" si="7"/>
        <v>1</v>
      </c>
      <c r="R128" s="3">
        <f t="shared" si="8"/>
        <v>476</v>
      </c>
      <c r="S128" s="3" t="str">
        <f t="shared" ca="1" si="9"/>
        <v>117-3_047</v>
      </c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1.0371747308879334E-2</v>
      </c>
      <c r="I129" s="7">
        <v>0</v>
      </c>
      <c r="J129" s="7">
        <v>-5.3579739925191721E-3</v>
      </c>
      <c r="K129" s="7">
        <v>0</v>
      </c>
      <c r="L129">
        <v>3.0923821493075776</v>
      </c>
      <c r="M129">
        <v>1.3157489132348636E-3</v>
      </c>
      <c r="N129" s="9"/>
      <c r="O129" s="3">
        <f>L129-M129</f>
        <v>3.0910664003943427</v>
      </c>
      <c r="P129" s="3"/>
      <c r="Q129" s="3">
        <f t="shared" ca="1" si="7"/>
        <v>0</v>
      </c>
      <c r="R129" s="3">
        <f t="shared" si="8"/>
        <v>480</v>
      </c>
      <c r="S129" s="3" t="str">
        <f t="shared" ca="1" si="9"/>
        <v>118-3_056</v>
      </c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1.0371747308879334E-2</v>
      </c>
      <c r="I130" s="7">
        <v>0</v>
      </c>
      <c r="J130" s="7">
        <v>0</v>
      </c>
      <c r="K130" s="7">
        <v>-8.5708119146997823E-3</v>
      </c>
      <c r="L130">
        <v>2.803142180904064</v>
      </c>
      <c r="M130">
        <v>5.691465198427129E-4</v>
      </c>
      <c r="N130" s="9"/>
      <c r="O130" s="3">
        <f>L130-M130</f>
        <v>2.8025730343842215</v>
      </c>
      <c r="P130" s="3"/>
      <c r="Q130" s="3">
        <f t="shared" ca="1" si="7"/>
        <v>1</v>
      </c>
      <c r="R130" s="3">
        <f t="shared" si="8"/>
        <v>484</v>
      </c>
      <c r="S130" s="3" t="str">
        <f t="shared" ca="1" si="9"/>
        <v>119-3_057</v>
      </c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>
        <f t="shared" ca="1" si="7"/>
        <v>0</v>
      </c>
      <c r="R131" s="3">
        <f t="shared" si="8"/>
        <v>488</v>
      </c>
      <c r="S131" s="3" t="str">
        <f t="shared" ca="1" si="9"/>
        <v>120-3_067</v>
      </c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>
        <f t="shared" ca="1" si="7"/>
        <v>0</v>
      </c>
      <c r="R132" s="3">
        <f t="shared" si="8"/>
        <v>492</v>
      </c>
      <c r="S132" s="3" t="str">
        <f t="shared" ca="1" si="9"/>
        <v>121-3_124</v>
      </c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>
        <f t="shared" ca="1" si="7"/>
        <v>0</v>
      </c>
      <c r="R133" s="3">
        <f t="shared" si="8"/>
        <v>496</v>
      </c>
      <c r="S133" s="3" t="str">
        <f t="shared" ca="1" si="9"/>
        <v>122-3_125</v>
      </c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>
        <f t="shared" ca="1" si="7"/>
        <v>0</v>
      </c>
      <c r="R134" s="3">
        <f t="shared" si="8"/>
        <v>500</v>
      </c>
      <c r="S134" s="3" t="str">
        <f t="shared" ca="1" si="9"/>
        <v>123-3_126</v>
      </c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>
        <f t="shared" ca="1" si="7"/>
        <v>0</v>
      </c>
      <c r="R135" s="3">
        <f t="shared" si="8"/>
        <v>504</v>
      </c>
      <c r="S135" s="3" t="str">
        <f t="shared" ca="1" si="9"/>
        <v>124-3_127</v>
      </c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>
        <f t="shared" ca="1" si="7"/>
        <v>0</v>
      </c>
      <c r="R136" s="3">
        <f t="shared" si="8"/>
        <v>508</v>
      </c>
      <c r="S136" s="3" t="str">
        <f t="shared" ca="1" si="9"/>
        <v>125-3_145</v>
      </c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>
        <f t="shared" ca="1" si="7"/>
        <v>0</v>
      </c>
      <c r="R137" s="3">
        <f t="shared" si="8"/>
        <v>512</v>
      </c>
      <c r="S137" s="3" t="str">
        <f t="shared" ca="1" si="9"/>
        <v>126-3_146</v>
      </c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>
        <f t="shared" ca="1" si="7"/>
        <v>0</v>
      </c>
      <c r="R138" s="3">
        <f t="shared" si="8"/>
        <v>516</v>
      </c>
      <c r="S138" s="3" t="str">
        <f t="shared" ca="1" si="9"/>
        <v>127-3_147</v>
      </c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>
        <f t="shared" ca="1" si="7"/>
        <v>0</v>
      </c>
      <c r="R139" s="3">
        <f t="shared" si="8"/>
        <v>520</v>
      </c>
      <c r="S139" s="3" t="str">
        <f t="shared" ca="1" si="9"/>
        <v>128-3_156</v>
      </c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1.0371747308879334E-2</v>
      </c>
      <c r="I140" s="7">
        <v>-5.7848877771903059E-3</v>
      </c>
      <c r="J140" s="7">
        <v>0</v>
      </c>
      <c r="K140" s="7">
        <v>0</v>
      </c>
      <c r="L140">
        <v>1.8954667052703302</v>
      </c>
      <c r="M140">
        <v>1.2363847907932218E-3</v>
      </c>
      <c r="N140" s="9"/>
      <c r="O140" s="3">
        <f>L140-M140</f>
        <v>1.894230320479537</v>
      </c>
      <c r="P140" s="3"/>
      <c r="Q140" s="3">
        <f t="shared" ca="1" si="7"/>
        <v>0</v>
      </c>
      <c r="R140" s="3">
        <f t="shared" si="8"/>
        <v>524</v>
      </c>
      <c r="S140" s="3" t="str">
        <f t="shared" ca="1" si="9"/>
        <v>129-3_157</v>
      </c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1.0371747308879334E-2</v>
      </c>
      <c r="I141" s="7">
        <v>0</v>
      </c>
      <c r="J141" s="7">
        <v>-5.3579739925191721E-3</v>
      </c>
      <c r="K141" s="7">
        <v>0</v>
      </c>
      <c r="L141">
        <v>3.0923821493075776</v>
      </c>
      <c r="M141">
        <v>1.3157489132348636E-3</v>
      </c>
      <c r="N141" s="9"/>
      <c r="O141" s="3">
        <f>L141-M141</f>
        <v>3.0910664003943427</v>
      </c>
      <c r="P141" s="3"/>
      <c r="Q141" s="3">
        <f t="shared" ref="Q141:Q204" ca="1" si="10">IF(OFFSET(M141,(ROW(O130)-1)*3,0)=0,0,1)</f>
        <v>0</v>
      </c>
      <c r="R141" s="3">
        <f t="shared" ref="R141:R204" si="11">(ROW(Q130)-1)*4+12</f>
        <v>528</v>
      </c>
      <c r="S141" s="3" t="str">
        <f t="shared" ca="1" si="9"/>
        <v>130-3_167</v>
      </c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1.0371747308879334E-2</v>
      </c>
      <c r="I142" s="7">
        <v>0</v>
      </c>
      <c r="J142" s="7">
        <v>0</v>
      </c>
      <c r="K142" s="7">
        <v>-8.5708119146997823E-3</v>
      </c>
      <c r="L142">
        <v>2.803142180904064</v>
      </c>
      <c r="M142">
        <v>5.691465198427129E-4</v>
      </c>
      <c r="N142" s="9"/>
      <c r="O142" s="3">
        <f>L142-M142</f>
        <v>2.8025730343842215</v>
      </c>
      <c r="P142" s="3"/>
      <c r="Q142" s="3">
        <f t="shared" ca="1" si="10"/>
        <v>1</v>
      </c>
      <c r="R142" s="3">
        <f t="shared" si="11"/>
        <v>532</v>
      </c>
      <c r="S142" s="3" t="str">
        <f t="shared" ca="1" si="9"/>
        <v>131-3_245</v>
      </c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>
        <f t="shared" ca="1" si="10"/>
        <v>0</v>
      </c>
      <c r="R143" s="3">
        <f t="shared" si="11"/>
        <v>536</v>
      </c>
      <c r="S143" s="3" t="str">
        <f t="shared" ca="1" si="9"/>
        <v>132-3_246</v>
      </c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>
        <f t="shared" ca="1" si="10"/>
        <v>1</v>
      </c>
      <c r="R144" s="3">
        <f t="shared" si="11"/>
        <v>540</v>
      </c>
      <c r="S144" s="3" t="str">
        <f t="shared" ca="1" si="9"/>
        <v>133-3_247</v>
      </c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>
        <f t="shared" ca="1" si="10"/>
        <v>0</v>
      </c>
      <c r="R145" s="3">
        <f t="shared" si="11"/>
        <v>544</v>
      </c>
      <c r="S145" s="3" t="str">
        <f t="shared" ca="1" si="9"/>
        <v>134-3_256</v>
      </c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>
        <f t="shared" ca="1" si="10"/>
        <v>1</v>
      </c>
      <c r="R146" s="3">
        <f t="shared" si="11"/>
        <v>548</v>
      </c>
      <c r="S146" s="3" t="str">
        <f t="shared" ca="1" si="9"/>
        <v>135-3_257</v>
      </c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>
        <f t="shared" ca="1" si="10"/>
        <v>0</v>
      </c>
      <c r="R147" s="3">
        <f t="shared" si="11"/>
        <v>552</v>
      </c>
      <c r="S147" s="3" t="str">
        <f t="shared" ca="1" si="9"/>
        <v>136-3_267</v>
      </c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>
        <f t="shared" ca="1" si="10"/>
        <v>0</v>
      </c>
      <c r="R148" s="3">
        <f t="shared" si="11"/>
        <v>556</v>
      </c>
      <c r="S148" s="3" t="str">
        <f t="shared" ca="1" si="9"/>
        <v>137-3_456</v>
      </c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>
        <f t="shared" ca="1" si="10"/>
        <v>1</v>
      </c>
      <c r="R149" s="3">
        <f t="shared" si="11"/>
        <v>560</v>
      </c>
      <c r="S149" s="3" t="str">
        <f t="shared" ca="1" si="9"/>
        <v>138-3_457</v>
      </c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>
        <f t="shared" ca="1" si="10"/>
        <v>0</v>
      </c>
      <c r="R150" s="3">
        <f t="shared" si="11"/>
        <v>564</v>
      </c>
      <c r="S150" s="3" t="str">
        <f t="shared" ca="1" si="9"/>
        <v>139-3_467</v>
      </c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>
        <f t="shared" ca="1" si="10"/>
        <v>0</v>
      </c>
      <c r="R151" s="3">
        <f t="shared" si="11"/>
        <v>568</v>
      </c>
      <c r="S151" s="3" t="str">
        <f t="shared" ref="S151:S214" ca="1" si="12">OFFSET($A$13,(ROW(Q140)-1)*4,0)</f>
        <v>140-3_567</v>
      </c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>
        <f t="shared" ca="1" si="10"/>
        <v>0</v>
      </c>
      <c r="R152" s="3">
        <f t="shared" si="11"/>
        <v>572</v>
      </c>
      <c r="S152" s="3" t="str">
        <f t="shared" ca="1" si="12"/>
        <v>141-4_012</v>
      </c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>
        <f t="shared" ca="1" si="10"/>
        <v>0</v>
      </c>
      <c r="R153" s="3">
        <f t="shared" si="11"/>
        <v>576</v>
      </c>
      <c r="S153" s="3" t="str">
        <f t="shared" ca="1" si="12"/>
        <v>142-4_013</v>
      </c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>
        <f t="shared" ca="1" si="10"/>
        <v>0</v>
      </c>
      <c r="R154" s="3">
        <f t="shared" si="11"/>
        <v>580</v>
      </c>
      <c r="S154" s="3" t="str">
        <f t="shared" ca="1" si="12"/>
        <v>143-4_015</v>
      </c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>
        <f t="shared" ca="1" si="10"/>
        <v>0</v>
      </c>
      <c r="R155" s="3">
        <f t="shared" si="11"/>
        <v>584</v>
      </c>
      <c r="S155" s="3" t="str">
        <f t="shared" ca="1" si="12"/>
        <v>144-4_016</v>
      </c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>
        <f t="shared" ca="1" si="10"/>
        <v>0</v>
      </c>
      <c r="R156" s="3">
        <f t="shared" si="11"/>
        <v>588</v>
      </c>
      <c r="S156" s="3" t="str">
        <f t="shared" ca="1" si="12"/>
        <v>145-4_017</v>
      </c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>
        <f t="shared" ca="1" si="10"/>
        <v>1</v>
      </c>
      <c r="R157" s="3">
        <f t="shared" si="11"/>
        <v>592</v>
      </c>
      <c r="S157" s="3" t="str">
        <f t="shared" ca="1" si="12"/>
        <v>146-4_023</v>
      </c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>
        <f t="shared" ca="1" si="10"/>
        <v>1</v>
      </c>
      <c r="R158" s="3">
        <f t="shared" si="11"/>
        <v>596</v>
      </c>
      <c r="S158" s="3" t="str">
        <f t="shared" ca="1" si="12"/>
        <v>147-4_025</v>
      </c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>
        <f t="shared" ca="1" si="10"/>
        <v>0</v>
      </c>
      <c r="R159" s="3">
        <f t="shared" si="11"/>
        <v>600</v>
      </c>
      <c r="S159" s="3" t="str">
        <f t="shared" ca="1" si="12"/>
        <v>148-4_026</v>
      </c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>
        <f t="shared" ca="1" si="10"/>
        <v>1</v>
      </c>
      <c r="R160" s="3">
        <f t="shared" si="11"/>
        <v>604</v>
      </c>
      <c r="S160" s="3" t="str">
        <f t="shared" ca="1" si="12"/>
        <v>149-4_027</v>
      </c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>
        <f t="shared" ca="1" si="10"/>
        <v>1</v>
      </c>
      <c r="R161" s="3">
        <f t="shared" si="11"/>
        <v>608</v>
      </c>
      <c r="S161" s="3" t="str">
        <f t="shared" ca="1" si="12"/>
        <v>150-4_035</v>
      </c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>
        <f t="shared" ca="1" si="10"/>
        <v>0</v>
      </c>
      <c r="R162" s="3">
        <f t="shared" si="11"/>
        <v>612</v>
      </c>
      <c r="S162" s="3" t="str">
        <f t="shared" ca="1" si="12"/>
        <v>151-4_036</v>
      </c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>
        <f t="shared" ca="1" si="10"/>
        <v>1</v>
      </c>
      <c r="R163" s="3">
        <f t="shared" si="11"/>
        <v>616</v>
      </c>
      <c r="S163" s="3" t="str">
        <f t="shared" ca="1" si="12"/>
        <v>152-4_037</v>
      </c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>
        <f t="shared" ca="1" si="10"/>
        <v>0</v>
      </c>
      <c r="R164" s="3">
        <f t="shared" si="11"/>
        <v>620</v>
      </c>
      <c r="S164" s="3" t="str">
        <f t="shared" ca="1" si="12"/>
        <v>153-4_056</v>
      </c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>
        <f t="shared" ca="1" si="10"/>
        <v>1</v>
      </c>
      <c r="R165" s="3">
        <f t="shared" si="11"/>
        <v>624</v>
      </c>
      <c r="S165" s="3" t="str">
        <f t="shared" ca="1" si="12"/>
        <v>154-4_057</v>
      </c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>
        <f t="shared" ca="1" si="10"/>
        <v>0</v>
      </c>
      <c r="R166" s="3">
        <f t="shared" si="11"/>
        <v>628</v>
      </c>
      <c r="S166" s="3" t="str">
        <f t="shared" ca="1" si="12"/>
        <v>155-4_067</v>
      </c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>
        <f t="shared" ca="1" si="10"/>
        <v>0</v>
      </c>
      <c r="R167" s="3">
        <f t="shared" si="11"/>
        <v>632</v>
      </c>
      <c r="S167" s="3" t="str">
        <f t="shared" ca="1" si="12"/>
        <v>156-4_123</v>
      </c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>
        <f t="shared" ca="1" si="10"/>
        <v>0</v>
      </c>
      <c r="R168" s="3">
        <f t="shared" si="11"/>
        <v>636</v>
      </c>
      <c r="S168" s="3" t="str">
        <f t="shared" ca="1" si="12"/>
        <v>157-4_125</v>
      </c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>
        <f t="shared" ca="1" si="10"/>
        <v>0</v>
      </c>
      <c r="R169" s="3">
        <f t="shared" si="11"/>
        <v>640</v>
      </c>
      <c r="S169" s="3" t="str">
        <f t="shared" ca="1" si="12"/>
        <v>158-4_126</v>
      </c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>
        <f t="shared" ca="1" si="10"/>
        <v>0</v>
      </c>
      <c r="R170" s="3">
        <f t="shared" si="11"/>
        <v>644</v>
      </c>
      <c r="S170" s="3" t="str">
        <f t="shared" ca="1" si="12"/>
        <v>159-4_127</v>
      </c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>
        <f t="shared" ca="1" si="10"/>
        <v>0</v>
      </c>
      <c r="R171" s="3">
        <f t="shared" si="11"/>
        <v>648</v>
      </c>
      <c r="S171" s="3" t="str">
        <f t="shared" ca="1" si="12"/>
        <v>160-4_135</v>
      </c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>
        <f t="shared" ca="1" si="10"/>
        <v>0</v>
      </c>
      <c r="R172" s="3">
        <f t="shared" si="11"/>
        <v>652</v>
      </c>
      <c r="S172" s="3" t="str">
        <f t="shared" ca="1" si="12"/>
        <v>161-4_136</v>
      </c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>
        <f t="shared" ca="1" si="10"/>
        <v>0</v>
      </c>
      <c r="R173" s="3">
        <f t="shared" si="11"/>
        <v>656</v>
      </c>
      <c r="S173" s="3" t="str">
        <f t="shared" ca="1" si="12"/>
        <v>162-4_137</v>
      </c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>
        <f t="shared" ca="1" si="10"/>
        <v>0</v>
      </c>
      <c r="R174" s="3">
        <f t="shared" si="11"/>
        <v>660</v>
      </c>
      <c r="S174" s="3" t="str">
        <f t="shared" ca="1" si="12"/>
        <v>163-4_156</v>
      </c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>
        <f t="shared" ca="1" si="10"/>
        <v>0</v>
      </c>
      <c r="R175" s="3">
        <f t="shared" si="11"/>
        <v>664</v>
      </c>
      <c r="S175" s="3" t="str">
        <f t="shared" ca="1" si="12"/>
        <v>164-4_157</v>
      </c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>
        <f t="shared" ca="1" si="10"/>
        <v>0</v>
      </c>
      <c r="R176" s="3">
        <f t="shared" si="11"/>
        <v>668</v>
      </c>
      <c r="S176" s="3" t="str">
        <f t="shared" ca="1" si="12"/>
        <v>165-4_167</v>
      </c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>
        <f t="shared" ca="1" si="10"/>
        <v>1</v>
      </c>
      <c r="R177" s="3">
        <f t="shared" si="11"/>
        <v>672</v>
      </c>
      <c r="S177" s="3" t="str">
        <f t="shared" ca="1" si="12"/>
        <v>166-4_235</v>
      </c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>
        <f t="shared" ca="1" si="10"/>
        <v>0</v>
      </c>
      <c r="R178" s="3">
        <f t="shared" si="11"/>
        <v>676</v>
      </c>
      <c r="S178" s="3" t="str">
        <f t="shared" ca="1" si="12"/>
        <v>167-4_236</v>
      </c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>
        <f t="shared" ca="1" si="10"/>
        <v>1</v>
      </c>
      <c r="R179" s="3">
        <f t="shared" si="11"/>
        <v>680</v>
      </c>
      <c r="S179" s="3" t="str">
        <f t="shared" ca="1" si="12"/>
        <v>168-4_237</v>
      </c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>
        <f t="shared" ca="1" si="10"/>
        <v>0</v>
      </c>
      <c r="R180" s="3">
        <f t="shared" si="11"/>
        <v>684</v>
      </c>
      <c r="S180" s="3" t="str">
        <f t="shared" ca="1" si="12"/>
        <v>169-4_256</v>
      </c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>
        <f t="shared" ca="1" si="10"/>
        <v>1</v>
      </c>
      <c r="R181" s="3">
        <f t="shared" si="11"/>
        <v>688</v>
      </c>
      <c r="S181" s="3" t="str">
        <f t="shared" ca="1" si="12"/>
        <v>170-4_257</v>
      </c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>
        <f t="shared" ca="1" si="10"/>
        <v>0</v>
      </c>
      <c r="R182" s="3">
        <f t="shared" si="11"/>
        <v>692</v>
      </c>
      <c r="S182" s="3" t="str">
        <f t="shared" ca="1" si="12"/>
        <v>171-4_267</v>
      </c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>
        <f t="shared" ca="1" si="10"/>
        <v>0</v>
      </c>
      <c r="R183" s="3">
        <f t="shared" si="11"/>
        <v>696</v>
      </c>
      <c r="S183" s="3" t="str">
        <f t="shared" ca="1" si="12"/>
        <v>172-4_356</v>
      </c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>
        <f t="shared" ca="1" si="10"/>
        <v>1</v>
      </c>
      <c r="R184" s="3">
        <f t="shared" si="11"/>
        <v>700</v>
      </c>
      <c r="S184" s="3" t="str">
        <f t="shared" ca="1" si="12"/>
        <v>173-4_357</v>
      </c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>
        <f t="shared" ca="1" si="10"/>
        <v>0</v>
      </c>
      <c r="R185" s="3">
        <f t="shared" si="11"/>
        <v>704</v>
      </c>
      <c r="S185" s="3" t="str">
        <f t="shared" ca="1" si="12"/>
        <v>174-4_367</v>
      </c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>
        <f t="shared" ca="1" si="10"/>
        <v>0</v>
      </c>
      <c r="R186" s="3">
        <f t="shared" si="11"/>
        <v>708</v>
      </c>
      <c r="S186" s="3" t="str">
        <f t="shared" ca="1" si="12"/>
        <v>175-4_567</v>
      </c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>
        <f t="shared" ca="1" si="10"/>
        <v>0</v>
      </c>
      <c r="R187" s="3">
        <f t="shared" si="11"/>
        <v>712</v>
      </c>
      <c r="S187" s="3" t="str">
        <f t="shared" ca="1" si="12"/>
        <v>176-5_012</v>
      </c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>
        <f t="shared" ca="1" si="10"/>
        <v>0</v>
      </c>
      <c r="R188" s="3">
        <f t="shared" si="11"/>
        <v>716</v>
      </c>
      <c r="S188" s="3" t="str">
        <f t="shared" ca="1" si="12"/>
        <v>177-5_013</v>
      </c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>
        <f t="shared" ca="1" si="10"/>
        <v>0</v>
      </c>
      <c r="R189" s="3">
        <f t="shared" si="11"/>
        <v>720</v>
      </c>
      <c r="S189" s="3" t="str">
        <f t="shared" ca="1" si="12"/>
        <v>178-5_014</v>
      </c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>
        <f t="shared" ca="1" si="10"/>
        <v>0</v>
      </c>
      <c r="R190" s="3">
        <f t="shared" si="11"/>
        <v>724</v>
      </c>
      <c r="S190" s="3" t="str">
        <f t="shared" ca="1" si="12"/>
        <v>179-5_016</v>
      </c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>
        <f t="shared" ca="1" si="10"/>
        <v>0</v>
      </c>
      <c r="R191" s="3">
        <f t="shared" si="11"/>
        <v>728</v>
      </c>
      <c r="S191" s="3" t="str">
        <f t="shared" ca="1" si="12"/>
        <v>180-5_017</v>
      </c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>
        <f t="shared" ca="1" si="10"/>
        <v>1</v>
      </c>
      <c r="R192" s="3">
        <f t="shared" si="11"/>
        <v>732</v>
      </c>
      <c r="S192" s="3" t="str">
        <f t="shared" ca="1" si="12"/>
        <v>181-5_023</v>
      </c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>
        <f t="shared" ca="1" si="10"/>
        <v>1</v>
      </c>
      <c r="R193" s="3">
        <f t="shared" si="11"/>
        <v>736</v>
      </c>
      <c r="S193" s="3" t="str">
        <f t="shared" ca="1" si="12"/>
        <v>182-5_024</v>
      </c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>
        <f t="shared" ca="1" si="10"/>
        <v>0</v>
      </c>
      <c r="R194" s="3">
        <f t="shared" si="11"/>
        <v>740</v>
      </c>
      <c r="S194" s="3" t="str">
        <f t="shared" ca="1" si="12"/>
        <v>183-5_026</v>
      </c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>
        <f t="shared" ca="1" si="10"/>
        <v>1</v>
      </c>
      <c r="R195" s="3">
        <f t="shared" si="11"/>
        <v>744</v>
      </c>
      <c r="S195" s="3" t="str">
        <f t="shared" ca="1" si="12"/>
        <v>184-5_027</v>
      </c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>
        <f t="shared" ca="1" si="10"/>
        <v>1</v>
      </c>
      <c r="R196" s="3">
        <f t="shared" si="11"/>
        <v>748</v>
      </c>
      <c r="S196" s="3" t="str">
        <f t="shared" ca="1" si="12"/>
        <v>185-5_034</v>
      </c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>
        <f t="shared" ca="1" si="10"/>
        <v>0</v>
      </c>
      <c r="R197" s="3">
        <f t="shared" si="11"/>
        <v>752</v>
      </c>
      <c r="S197" s="3" t="str">
        <f t="shared" ca="1" si="12"/>
        <v>186-5_036</v>
      </c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>
        <f t="shared" ca="1" si="10"/>
        <v>1</v>
      </c>
      <c r="R198" s="3">
        <f t="shared" si="11"/>
        <v>756</v>
      </c>
      <c r="S198" s="3" t="str">
        <f t="shared" ca="1" si="12"/>
        <v>187-5_037</v>
      </c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>
        <f t="shared" ca="1" si="10"/>
        <v>0</v>
      </c>
      <c r="R199" s="3">
        <f t="shared" si="11"/>
        <v>760</v>
      </c>
      <c r="S199" s="3" t="str">
        <f t="shared" ca="1" si="12"/>
        <v>188-5_046</v>
      </c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>
        <f t="shared" ca="1" si="10"/>
        <v>1</v>
      </c>
      <c r="R200" s="3">
        <f t="shared" si="11"/>
        <v>764</v>
      </c>
      <c r="S200" s="3" t="str">
        <f t="shared" ca="1" si="12"/>
        <v>189-5_047</v>
      </c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>
        <f t="shared" ca="1" si="10"/>
        <v>0</v>
      </c>
      <c r="R201" s="3">
        <f t="shared" si="11"/>
        <v>768</v>
      </c>
      <c r="S201" s="3" t="str">
        <f t="shared" ca="1" si="12"/>
        <v>190-5_067</v>
      </c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>
        <f t="shared" ca="1" si="10"/>
        <v>0</v>
      </c>
      <c r="R202" s="3">
        <f t="shared" si="11"/>
        <v>772</v>
      </c>
      <c r="S202" s="3" t="str">
        <f t="shared" ca="1" si="12"/>
        <v>191-5_123</v>
      </c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>
        <f t="shared" ca="1" si="10"/>
        <v>0</v>
      </c>
      <c r="R203" s="3">
        <f t="shared" si="11"/>
        <v>776</v>
      </c>
      <c r="S203" s="3" t="str">
        <f t="shared" ca="1" si="12"/>
        <v>192-5_124</v>
      </c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>
        <f t="shared" ca="1" si="10"/>
        <v>0</v>
      </c>
      <c r="R204" s="3">
        <f t="shared" si="11"/>
        <v>780</v>
      </c>
      <c r="S204" s="3" t="str">
        <f t="shared" ca="1" si="12"/>
        <v>193-5_126</v>
      </c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>
        <f t="shared" ref="Q205:Q268" ca="1" si="13">IF(OFFSET(M205,(ROW(O194)-1)*3,0)=0,0,1)</f>
        <v>0</v>
      </c>
      <c r="R205" s="3">
        <f t="shared" ref="R205:R268" si="14">(ROW(Q194)-1)*4+12</f>
        <v>784</v>
      </c>
      <c r="S205" s="3" t="str">
        <f t="shared" ca="1" si="12"/>
        <v>194-5_127</v>
      </c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>
        <f t="shared" ca="1" si="13"/>
        <v>0</v>
      </c>
      <c r="R206" s="3">
        <f t="shared" si="14"/>
        <v>788</v>
      </c>
      <c r="S206" s="3" t="str">
        <f t="shared" ca="1" si="12"/>
        <v>195-5_134</v>
      </c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>
        <f t="shared" ca="1" si="13"/>
        <v>0</v>
      </c>
      <c r="R207" s="3">
        <f t="shared" si="14"/>
        <v>792</v>
      </c>
      <c r="S207" s="3" t="str">
        <f t="shared" ca="1" si="12"/>
        <v>196-5_136</v>
      </c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>
        <f t="shared" ca="1" si="13"/>
        <v>0</v>
      </c>
      <c r="R208" s="3">
        <f t="shared" si="14"/>
        <v>796</v>
      </c>
      <c r="S208" s="3" t="str">
        <f t="shared" ca="1" si="12"/>
        <v>197-5_137</v>
      </c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>
        <f t="shared" ca="1" si="13"/>
        <v>0</v>
      </c>
      <c r="R209" s="3">
        <f t="shared" si="14"/>
        <v>800</v>
      </c>
      <c r="S209" s="3" t="str">
        <f t="shared" ca="1" si="12"/>
        <v>198-5_146</v>
      </c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>
        <f t="shared" ca="1" si="13"/>
        <v>0</v>
      </c>
      <c r="R210" s="3">
        <f t="shared" si="14"/>
        <v>804</v>
      </c>
      <c r="S210" s="3" t="str">
        <f t="shared" ca="1" si="12"/>
        <v>199-5_147</v>
      </c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>
        <f t="shared" ca="1" si="13"/>
        <v>0</v>
      </c>
      <c r="R211" s="3">
        <f t="shared" si="14"/>
        <v>808</v>
      </c>
      <c r="S211" s="3" t="str">
        <f t="shared" ca="1" si="12"/>
        <v>200-5_167</v>
      </c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>
        <f t="shared" ca="1" si="13"/>
        <v>1</v>
      </c>
      <c r="R212" s="3">
        <f t="shared" si="14"/>
        <v>812</v>
      </c>
      <c r="S212" s="3" t="str">
        <f t="shared" ca="1" si="12"/>
        <v>201-5_234</v>
      </c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>
        <f t="shared" ca="1" si="13"/>
        <v>0</v>
      </c>
      <c r="R213" s="3">
        <f t="shared" si="14"/>
        <v>816</v>
      </c>
      <c r="S213" s="3" t="str">
        <f t="shared" ca="1" si="12"/>
        <v>202-5_236</v>
      </c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>
        <f t="shared" ca="1" si="13"/>
        <v>1</v>
      </c>
      <c r="R214" s="3">
        <f t="shared" si="14"/>
        <v>820</v>
      </c>
      <c r="S214" s="3" t="str">
        <f t="shared" ca="1" si="12"/>
        <v>203-5_237</v>
      </c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>
        <f t="shared" ca="1" si="13"/>
        <v>0</v>
      </c>
      <c r="R215" s="3">
        <f t="shared" si="14"/>
        <v>824</v>
      </c>
      <c r="S215" s="3" t="str">
        <f t="shared" ref="S215:S278" ca="1" si="15">OFFSET($A$13,(ROW(Q204)-1)*4,0)</f>
        <v>204-5_246</v>
      </c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>
        <f t="shared" ca="1" si="13"/>
        <v>1</v>
      </c>
      <c r="R216" s="3">
        <f t="shared" si="14"/>
        <v>828</v>
      </c>
      <c r="S216" s="3" t="str">
        <f t="shared" ca="1" si="15"/>
        <v>205-5_247</v>
      </c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>
        <f t="shared" ca="1" si="13"/>
        <v>0</v>
      </c>
      <c r="R217" s="3">
        <f t="shared" si="14"/>
        <v>832</v>
      </c>
      <c r="S217" s="3" t="str">
        <f t="shared" ca="1" si="15"/>
        <v>206-5_267</v>
      </c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>
        <f t="shared" ca="1" si="13"/>
        <v>0</v>
      </c>
      <c r="R218" s="3">
        <f t="shared" si="14"/>
        <v>836</v>
      </c>
      <c r="S218" s="3" t="str">
        <f t="shared" ca="1" si="15"/>
        <v>207-5_346</v>
      </c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>
        <f t="shared" ca="1" si="13"/>
        <v>1</v>
      </c>
      <c r="R219" s="3">
        <f t="shared" si="14"/>
        <v>840</v>
      </c>
      <c r="S219" s="3" t="str">
        <f t="shared" ca="1" si="15"/>
        <v>208-5_347</v>
      </c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>
        <f t="shared" ca="1" si="13"/>
        <v>0</v>
      </c>
      <c r="R220" s="3">
        <f t="shared" si="14"/>
        <v>844</v>
      </c>
      <c r="S220" s="3" t="str">
        <f t="shared" ca="1" si="15"/>
        <v>209-5_367</v>
      </c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>
        <f t="shared" ca="1" si="13"/>
        <v>0</v>
      </c>
      <c r="R221" s="3">
        <f t="shared" si="14"/>
        <v>848</v>
      </c>
      <c r="S221" s="3" t="str">
        <f t="shared" ca="1" si="15"/>
        <v>210-5_467</v>
      </c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>
        <f t="shared" ca="1" si="13"/>
        <v>0</v>
      </c>
      <c r="R222" s="3">
        <f t="shared" si="14"/>
        <v>852</v>
      </c>
      <c r="S222" s="3" t="str">
        <f t="shared" ca="1" si="15"/>
        <v>211-6_012</v>
      </c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>
        <f t="shared" ca="1" si="13"/>
        <v>0</v>
      </c>
      <c r="R223" s="3">
        <f t="shared" si="14"/>
        <v>856</v>
      </c>
      <c r="S223" s="3" t="str">
        <f t="shared" ca="1" si="15"/>
        <v>212-6_013</v>
      </c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>
        <f t="shared" ca="1" si="13"/>
        <v>0</v>
      </c>
      <c r="R224" s="3">
        <f t="shared" si="14"/>
        <v>860</v>
      </c>
      <c r="S224" s="3" t="str">
        <f t="shared" ca="1" si="15"/>
        <v>213-6_014</v>
      </c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>
        <f t="shared" ca="1" si="13"/>
        <v>0</v>
      </c>
      <c r="R225" s="3">
        <f t="shared" si="14"/>
        <v>864</v>
      </c>
      <c r="S225" s="3" t="str">
        <f t="shared" ca="1" si="15"/>
        <v>214-6_015</v>
      </c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>
        <f t="shared" ca="1" si="13"/>
        <v>0</v>
      </c>
      <c r="R226" s="3">
        <f t="shared" si="14"/>
        <v>868</v>
      </c>
      <c r="S226" s="3" t="str">
        <f t="shared" ca="1" si="15"/>
        <v>215-6_017</v>
      </c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>
        <f t="shared" ca="1" si="13"/>
        <v>0</v>
      </c>
      <c r="R227" s="3">
        <f t="shared" si="14"/>
        <v>872</v>
      </c>
      <c r="S227" s="3" t="str">
        <f t="shared" ca="1" si="15"/>
        <v>216-6_023</v>
      </c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>
        <f t="shared" ca="1" si="13"/>
        <v>0</v>
      </c>
      <c r="R228" s="3">
        <f t="shared" si="14"/>
        <v>876</v>
      </c>
      <c r="S228" s="3" t="str">
        <f t="shared" ca="1" si="15"/>
        <v>217-6_024</v>
      </c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>
        <f t="shared" ca="1" si="13"/>
        <v>0</v>
      </c>
      <c r="R229" s="3">
        <f t="shared" si="14"/>
        <v>880</v>
      </c>
      <c r="S229" s="3" t="str">
        <f t="shared" ca="1" si="15"/>
        <v>218-6_025</v>
      </c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>
        <f t="shared" ca="1" si="13"/>
        <v>0</v>
      </c>
      <c r="R230" s="3">
        <f t="shared" si="14"/>
        <v>884</v>
      </c>
      <c r="S230" s="3" t="str">
        <f t="shared" ca="1" si="15"/>
        <v>219-6_027</v>
      </c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>
        <f t="shared" ca="1" si="13"/>
        <v>0</v>
      </c>
      <c r="R231" s="3">
        <f t="shared" si="14"/>
        <v>888</v>
      </c>
      <c r="S231" s="3" t="str">
        <f t="shared" ca="1" si="15"/>
        <v>220-6_034</v>
      </c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>
        <f t="shared" ca="1" si="13"/>
        <v>0</v>
      </c>
      <c r="R232" s="3">
        <f t="shared" si="14"/>
        <v>892</v>
      </c>
      <c r="S232" s="3" t="str">
        <f t="shared" ca="1" si="15"/>
        <v>221-6_035</v>
      </c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>
        <f t="shared" ca="1" si="13"/>
        <v>0</v>
      </c>
      <c r="R233" s="3">
        <f t="shared" si="14"/>
        <v>896</v>
      </c>
      <c r="S233" s="3" t="str">
        <f t="shared" ca="1" si="15"/>
        <v>222-6_037</v>
      </c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>
        <f t="shared" ca="1" si="13"/>
        <v>0</v>
      </c>
      <c r="R234" s="3">
        <f t="shared" si="14"/>
        <v>900</v>
      </c>
      <c r="S234" s="3" t="str">
        <f t="shared" ca="1" si="15"/>
        <v>223-6_045</v>
      </c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>
        <f t="shared" ca="1" si="13"/>
        <v>0</v>
      </c>
      <c r="R235" s="3">
        <f t="shared" si="14"/>
        <v>904</v>
      </c>
      <c r="S235" s="3" t="str">
        <f t="shared" ca="1" si="15"/>
        <v>224-6_047</v>
      </c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>
        <f t="shared" ca="1" si="13"/>
        <v>0</v>
      </c>
      <c r="R236" s="3">
        <f t="shared" si="14"/>
        <v>908</v>
      </c>
      <c r="S236" s="3" t="str">
        <f t="shared" ca="1" si="15"/>
        <v>225-6_057</v>
      </c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>
        <f t="shared" ca="1" si="13"/>
        <v>0</v>
      </c>
      <c r="R237" s="3">
        <f t="shared" si="14"/>
        <v>912</v>
      </c>
      <c r="S237" s="3" t="str">
        <f t="shared" ca="1" si="15"/>
        <v>226-6_123</v>
      </c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>
        <f t="shared" ca="1" si="13"/>
        <v>0</v>
      </c>
      <c r="R238" s="3">
        <f t="shared" si="14"/>
        <v>916</v>
      </c>
      <c r="S238" s="3" t="str">
        <f t="shared" ca="1" si="15"/>
        <v>227-6_124</v>
      </c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>
        <f t="shared" ca="1" si="13"/>
        <v>0</v>
      </c>
      <c r="R239" s="3">
        <f t="shared" si="14"/>
        <v>920</v>
      </c>
      <c r="S239" s="3" t="str">
        <f t="shared" ca="1" si="15"/>
        <v>228-6_125</v>
      </c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>
        <f t="shared" ca="1" si="13"/>
        <v>0</v>
      </c>
      <c r="R240" s="3">
        <f t="shared" si="14"/>
        <v>924</v>
      </c>
      <c r="S240" s="3" t="str">
        <f t="shared" ca="1" si="15"/>
        <v>229-6_127</v>
      </c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>
        <f t="shared" ca="1" si="13"/>
        <v>0</v>
      </c>
      <c r="R241" s="3">
        <f t="shared" si="14"/>
        <v>928</v>
      </c>
      <c r="S241" s="3" t="str">
        <f t="shared" ca="1" si="15"/>
        <v>230-6_134</v>
      </c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>
        <f t="shared" ca="1" si="13"/>
        <v>0</v>
      </c>
      <c r="R242" s="3">
        <f t="shared" si="14"/>
        <v>932</v>
      </c>
      <c r="S242" s="3" t="str">
        <f t="shared" ca="1" si="15"/>
        <v>231-6_135</v>
      </c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>
        <f t="shared" ca="1" si="13"/>
        <v>0</v>
      </c>
      <c r="R243" s="3">
        <f t="shared" si="14"/>
        <v>936</v>
      </c>
      <c r="S243" s="3" t="str">
        <f t="shared" ca="1" si="15"/>
        <v>232-6_137</v>
      </c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>
        <f t="shared" ca="1" si="13"/>
        <v>0</v>
      </c>
      <c r="R244" s="3">
        <f t="shared" si="14"/>
        <v>940</v>
      </c>
      <c r="S244" s="3" t="str">
        <f t="shared" ca="1" si="15"/>
        <v>233-6_145</v>
      </c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>
        <f t="shared" ca="1" si="13"/>
        <v>0</v>
      </c>
      <c r="R245" s="3">
        <f t="shared" si="14"/>
        <v>944</v>
      </c>
      <c r="S245" s="3" t="str">
        <f t="shared" ca="1" si="15"/>
        <v>234-6_147</v>
      </c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>
        <f t="shared" ca="1" si="13"/>
        <v>0</v>
      </c>
      <c r="R246" s="3">
        <f t="shared" si="14"/>
        <v>948</v>
      </c>
      <c r="S246" s="3" t="str">
        <f t="shared" ca="1" si="15"/>
        <v>235-6_157</v>
      </c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>
        <f t="shared" ca="1" si="13"/>
        <v>0</v>
      </c>
      <c r="R247" s="3">
        <f t="shared" si="14"/>
        <v>952</v>
      </c>
      <c r="S247" s="3" t="str">
        <f t="shared" ca="1" si="15"/>
        <v>236-6_234</v>
      </c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>
        <f t="shared" ca="1" si="13"/>
        <v>0</v>
      </c>
      <c r="R248" s="3">
        <f t="shared" si="14"/>
        <v>956</v>
      </c>
      <c r="S248" s="3" t="str">
        <f t="shared" ca="1" si="15"/>
        <v>237-6_235</v>
      </c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>
        <f t="shared" ca="1" si="13"/>
        <v>0</v>
      </c>
      <c r="R249" s="3">
        <f t="shared" si="14"/>
        <v>960</v>
      </c>
      <c r="S249" s="3" t="str">
        <f t="shared" ca="1" si="15"/>
        <v>238-6_237</v>
      </c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>
        <f t="shared" ca="1" si="13"/>
        <v>0</v>
      </c>
      <c r="R250" s="3">
        <f t="shared" si="14"/>
        <v>964</v>
      </c>
      <c r="S250" s="3" t="str">
        <f t="shared" ca="1" si="15"/>
        <v>239-6_245</v>
      </c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>
        <f t="shared" ca="1" si="13"/>
        <v>0</v>
      </c>
      <c r="R251" s="3">
        <f t="shared" si="14"/>
        <v>968</v>
      </c>
      <c r="S251" s="3" t="str">
        <f t="shared" ca="1" si="15"/>
        <v>240-6_247</v>
      </c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>
        <f t="shared" ca="1" si="13"/>
        <v>0</v>
      </c>
      <c r="R252" s="3">
        <f t="shared" si="14"/>
        <v>972</v>
      </c>
      <c r="S252" s="3" t="str">
        <f t="shared" ca="1" si="15"/>
        <v>241-6_257</v>
      </c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>
        <f t="shared" ca="1" si="13"/>
        <v>0</v>
      </c>
      <c r="R253" s="3">
        <f t="shared" si="14"/>
        <v>976</v>
      </c>
      <c r="S253" s="3" t="str">
        <f t="shared" ca="1" si="15"/>
        <v>242-6_345</v>
      </c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>
        <f t="shared" ca="1" si="13"/>
        <v>0</v>
      </c>
      <c r="R254" s="3">
        <f t="shared" si="14"/>
        <v>980</v>
      </c>
      <c r="S254" s="3" t="str">
        <f t="shared" ca="1" si="15"/>
        <v>243-6_347</v>
      </c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>
        <f t="shared" ca="1" si="13"/>
        <v>0</v>
      </c>
      <c r="R255" s="3">
        <f t="shared" si="14"/>
        <v>984</v>
      </c>
      <c r="S255" s="3" t="str">
        <f t="shared" ca="1" si="15"/>
        <v>244-6_357</v>
      </c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>
        <f t="shared" ca="1" si="13"/>
        <v>0</v>
      </c>
      <c r="R256" s="3">
        <f t="shared" si="14"/>
        <v>988</v>
      </c>
      <c r="S256" s="3" t="str">
        <f t="shared" ca="1" si="15"/>
        <v>245-6_457</v>
      </c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>
        <f t="shared" ca="1" si="13"/>
        <v>0</v>
      </c>
      <c r="R257" s="3">
        <f t="shared" si="14"/>
        <v>992</v>
      </c>
      <c r="S257" s="3" t="str">
        <f t="shared" ca="1" si="15"/>
        <v>246-7_012</v>
      </c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>
        <f t="shared" ca="1" si="13"/>
        <v>0</v>
      </c>
      <c r="R258" s="3">
        <f t="shared" si="14"/>
        <v>996</v>
      </c>
      <c r="S258" s="3" t="str">
        <f t="shared" ca="1" si="15"/>
        <v>247-7_013</v>
      </c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>
        <f t="shared" ca="1" si="13"/>
        <v>0</v>
      </c>
      <c r="R259" s="3">
        <f t="shared" si="14"/>
        <v>1000</v>
      </c>
      <c r="S259" s="3" t="str">
        <f t="shared" ca="1" si="15"/>
        <v>248-7_014</v>
      </c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>
        <f t="shared" ca="1" si="13"/>
        <v>0</v>
      </c>
      <c r="R260" s="3">
        <f t="shared" si="14"/>
        <v>1004</v>
      </c>
      <c r="S260" s="3" t="str">
        <f t="shared" ca="1" si="15"/>
        <v>249-7_015</v>
      </c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>
        <f t="shared" ca="1" si="13"/>
        <v>0</v>
      </c>
      <c r="R261" s="3">
        <f t="shared" si="14"/>
        <v>1008</v>
      </c>
      <c r="S261" s="3" t="str">
        <f t="shared" ca="1" si="15"/>
        <v>250-7_016</v>
      </c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>
        <f t="shared" ca="1" si="13"/>
        <v>1</v>
      </c>
      <c r="R262" s="3">
        <f t="shared" si="14"/>
        <v>1012</v>
      </c>
      <c r="S262" s="3" t="str">
        <f t="shared" ca="1" si="15"/>
        <v>251-7_023</v>
      </c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>
        <f t="shared" ca="1" si="13"/>
        <v>1</v>
      </c>
      <c r="R263" s="3">
        <f t="shared" si="14"/>
        <v>1016</v>
      </c>
      <c r="S263" s="3" t="str">
        <f t="shared" ca="1" si="15"/>
        <v>252-7_024</v>
      </c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>
        <f t="shared" ca="1" si="13"/>
        <v>1</v>
      </c>
      <c r="R264" s="3">
        <f t="shared" si="14"/>
        <v>1020</v>
      </c>
      <c r="S264" s="3" t="str">
        <f t="shared" ca="1" si="15"/>
        <v>253-7_025</v>
      </c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>
        <f t="shared" ca="1" si="13"/>
        <v>0</v>
      </c>
      <c r="R265" s="3">
        <f t="shared" si="14"/>
        <v>1024</v>
      </c>
      <c r="S265" s="3" t="str">
        <f t="shared" ca="1" si="15"/>
        <v>254-7_026</v>
      </c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>
        <f t="shared" ca="1" si="13"/>
        <v>1</v>
      </c>
      <c r="R266" s="3">
        <f t="shared" si="14"/>
        <v>1028</v>
      </c>
      <c r="S266" s="3" t="str">
        <f t="shared" ca="1" si="15"/>
        <v>255-7_034</v>
      </c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>
        <f t="shared" ca="1" si="13"/>
        <v>1</v>
      </c>
      <c r="R267" s="3">
        <f t="shared" si="14"/>
        <v>1032</v>
      </c>
      <c r="S267" s="3" t="str">
        <f t="shared" ca="1" si="15"/>
        <v>256-7_035</v>
      </c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>
        <f t="shared" ca="1" si="13"/>
        <v>0</v>
      </c>
      <c r="R268" s="3">
        <f t="shared" si="14"/>
        <v>1036</v>
      </c>
      <c r="S268" s="3" t="str">
        <f t="shared" ca="1" si="15"/>
        <v>257-7_036</v>
      </c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>
        <f t="shared" ref="Q269:Q290" ca="1" si="16">IF(OFFSET(M269,(ROW(O258)-1)*3,0)=0,0,1)</f>
        <v>1</v>
      </c>
      <c r="R269" s="3">
        <f t="shared" ref="R269:R290" si="17">(ROW(Q258)-1)*4+12</f>
        <v>1040</v>
      </c>
      <c r="S269" s="3" t="str">
        <f t="shared" ca="1" si="15"/>
        <v>258-7_045</v>
      </c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>
        <f t="shared" ca="1" si="16"/>
        <v>0</v>
      </c>
      <c r="R270" s="3">
        <f t="shared" si="17"/>
        <v>1044</v>
      </c>
      <c r="S270" s="3" t="str">
        <f t="shared" ca="1" si="15"/>
        <v>259-7_046</v>
      </c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>
        <f t="shared" ca="1" si="16"/>
        <v>0</v>
      </c>
      <c r="R271" s="3">
        <f t="shared" si="17"/>
        <v>1048</v>
      </c>
      <c r="S271" s="3" t="str">
        <f t="shared" ca="1" si="15"/>
        <v>260-7_056</v>
      </c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>
        <f t="shared" ca="1" si="16"/>
        <v>0</v>
      </c>
      <c r="R272" s="3">
        <f t="shared" si="17"/>
        <v>1052</v>
      </c>
      <c r="S272" s="3" t="str">
        <f t="shared" ca="1" si="15"/>
        <v>261-7_123</v>
      </c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>
        <f t="shared" ca="1" si="16"/>
        <v>0</v>
      </c>
      <c r="R273" s="3">
        <f t="shared" si="17"/>
        <v>1056</v>
      </c>
      <c r="S273" s="3" t="str">
        <f t="shared" ca="1" si="15"/>
        <v>262-7_124</v>
      </c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>
        <f t="shared" ca="1" si="16"/>
        <v>0</v>
      </c>
      <c r="R274" s="3">
        <f t="shared" si="17"/>
        <v>1060</v>
      </c>
      <c r="S274" s="3" t="str">
        <f t="shared" ca="1" si="15"/>
        <v>263-7_125</v>
      </c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>
        <f t="shared" ca="1" si="16"/>
        <v>0</v>
      </c>
      <c r="R275" s="3">
        <f t="shared" si="17"/>
        <v>1064</v>
      </c>
      <c r="S275" s="3" t="str">
        <f t="shared" ca="1" si="15"/>
        <v>264-7_126</v>
      </c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>
        <f t="shared" ca="1" si="16"/>
        <v>0</v>
      </c>
      <c r="R276" s="3">
        <f t="shared" si="17"/>
        <v>1068</v>
      </c>
      <c r="S276" s="3" t="str">
        <f t="shared" ca="1" si="15"/>
        <v>265-7_134</v>
      </c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>
        <f t="shared" ca="1" si="16"/>
        <v>0</v>
      </c>
      <c r="R277" s="3">
        <f t="shared" si="17"/>
        <v>1072</v>
      </c>
      <c r="S277" s="3" t="str">
        <f t="shared" ca="1" si="15"/>
        <v>266-7_135</v>
      </c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>
        <f t="shared" ca="1" si="16"/>
        <v>0</v>
      </c>
      <c r="R278" s="3">
        <f t="shared" si="17"/>
        <v>1076</v>
      </c>
      <c r="S278" s="3" t="str">
        <f t="shared" ca="1" si="15"/>
        <v>267-7_136</v>
      </c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>
        <f t="shared" ca="1" si="16"/>
        <v>0</v>
      </c>
      <c r="R279" s="3">
        <f t="shared" si="17"/>
        <v>1080</v>
      </c>
      <c r="S279" s="3" t="str">
        <f t="shared" ref="S279:S290" ca="1" si="18">OFFSET($A$13,(ROW(Q268)-1)*4,0)</f>
        <v>268-7_145</v>
      </c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>
        <f t="shared" ca="1" si="16"/>
        <v>0</v>
      </c>
      <c r="R280" s="3">
        <f t="shared" si="17"/>
        <v>1084</v>
      </c>
      <c r="S280" s="3" t="str">
        <f t="shared" ca="1" si="18"/>
        <v>269-7_146</v>
      </c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>
        <f t="shared" ca="1" si="16"/>
        <v>0</v>
      </c>
      <c r="R281" s="3">
        <f t="shared" si="17"/>
        <v>1088</v>
      </c>
      <c r="S281" s="3" t="str">
        <f t="shared" ca="1" si="18"/>
        <v>270-7_156</v>
      </c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>
        <f t="shared" ca="1" si="16"/>
        <v>1</v>
      </c>
      <c r="R282" s="3">
        <f t="shared" si="17"/>
        <v>1092</v>
      </c>
      <c r="S282" s="3" t="str">
        <f t="shared" ca="1" si="18"/>
        <v>271-7_234</v>
      </c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>
        <f t="shared" ca="1" si="16"/>
        <v>1</v>
      </c>
      <c r="R283" s="3">
        <f t="shared" si="17"/>
        <v>1096</v>
      </c>
      <c r="S283" s="3" t="str">
        <f t="shared" ca="1" si="18"/>
        <v>272-7_235</v>
      </c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>
        <f t="shared" ca="1" si="16"/>
        <v>0</v>
      </c>
      <c r="R284" s="3">
        <f t="shared" si="17"/>
        <v>1100</v>
      </c>
      <c r="S284" s="3" t="str">
        <f t="shared" ca="1" si="18"/>
        <v>273-7_236</v>
      </c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>
        <f t="shared" ca="1" si="16"/>
        <v>1</v>
      </c>
      <c r="R285" s="3">
        <f t="shared" si="17"/>
        <v>1104</v>
      </c>
      <c r="S285" s="3" t="str">
        <f t="shared" ca="1" si="18"/>
        <v>274-7_245</v>
      </c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>
        <f t="shared" ca="1" si="16"/>
        <v>0</v>
      </c>
      <c r="R286" s="3">
        <f t="shared" si="17"/>
        <v>1108</v>
      </c>
      <c r="S286" s="3" t="str">
        <f t="shared" ca="1" si="18"/>
        <v>275-7_246</v>
      </c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>
        <f t="shared" ca="1" si="16"/>
        <v>0</v>
      </c>
      <c r="R287" s="3">
        <f t="shared" si="17"/>
        <v>1112</v>
      </c>
      <c r="S287" s="3" t="str">
        <f t="shared" ca="1" si="18"/>
        <v>276-7_256</v>
      </c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>
        <f t="shared" ca="1" si="16"/>
        <v>1</v>
      </c>
      <c r="R288" s="3">
        <f t="shared" si="17"/>
        <v>1116</v>
      </c>
      <c r="S288" s="3" t="str">
        <f t="shared" ca="1" si="18"/>
        <v>277-7_345</v>
      </c>
    </row>
    <row r="289" spans="1:19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>
        <f t="shared" ca="1" si="16"/>
        <v>0</v>
      </c>
      <c r="R289" s="3">
        <f t="shared" si="17"/>
        <v>1120</v>
      </c>
      <c r="S289" s="3" t="str">
        <f t="shared" ca="1" si="18"/>
        <v>278-7_346</v>
      </c>
    </row>
    <row r="290" spans="1:19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>
        <f t="shared" ca="1" si="16"/>
        <v>0</v>
      </c>
      <c r="R290" s="3">
        <f t="shared" si="17"/>
        <v>1124</v>
      </c>
      <c r="S290" s="3" t="str">
        <f t="shared" ca="1" si="18"/>
        <v>279-7_356</v>
      </c>
    </row>
    <row r="291" spans="1:19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  <c r="R291" s="3"/>
    </row>
    <row r="292" spans="1:19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  <c r="R292" s="3"/>
    </row>
    <row r="293" spans="1:19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  <c r="Q293" s="3"/>
      <c r="R293" s="3"/>
    </row>
    <row r="294" spans="1:19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  <c r="Q294" s="3"/>
      <c r="R294" s="3"/>
    </row>
    <row r="295" spans="1:19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  <c r="Q295" s="3"/>
      <c r="R295" s="3"/>
    </row>
    <row r="296" spans="1:19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  <c r="Q296" s="3"/>
      <c r="R296" s="3"/>
    </row>
    <row r="297" spans="1:19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  <c r="Q297" s="3"/>
      <c r="R297" s="3"/>
    </row>
    <row r="298" spans="1:19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  <c r="Q298" s="3"/>
      <c r="R298" s="3"/>
    </row>
    <row r="299" spans="1:19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  <c r="Q299" s="3"/>
      <c r="R299" s="3"/>
    </row>
    <row r="300" spans="1:19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  <c r="Q300" s="3"/>
      <c r="R300" s="3"/>
    </row>
    <row r="301" spans="1:19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  <c r="Q301" s="3"/>
      <c r="R301" s="3"/>
    </row>
    <row r="302" spans="1:19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  <c r="Q302" s="3"/>
      <c r="R302" s="3"/>
    </row>
    <row r="303" spans="1:19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  <c r="Q303" s="3"/>
      <c r="R303" s="3"/>
    </row>
    <row r="304" spans="1:19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  <c r="Q304" s="3"/>
      <c r="R304" s="3"/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  <c r="Q305" s="3"/>
      <c r="R305" s="3"/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  <c r="Q306" s="3"/>
      <c r="R306" s="3"/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  <c r="Q307" s="3"/>
      <c r="R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  <c r="Q308" s="3"/>
      <c r="R308" s="3"/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Q309" s="3"/>
      <c r="R309" s="3"/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Q310" s="3"/>
      <c r="R310" s="3"/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Q311" s="3"/>
      <c r="R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-1.1740304363337662E-2</v>
      </c>
      <c r="I312" s="7">
        <v>-1.0371747308879334E-2</v>
      </c>
      <c r="J312" s="7">
        <v>0</v>
      </c>
      <c r="K312" s="7">
        <v>0</v>
      </c>
      <c r="L312">
        <v>0.8419894247146269</v>
      </c>
      <c r="M312">
        <v>5.0486962857952417E-4</v>
      </c>
      <c r="N312" s="9"/>
      <c r="O312" s="3">
        <f>L312-M312</f>
        <v>0.84148455508604736</v>
      </c>
      <c r="Q312" s="3"/>
      <c r="R312" s="3"/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-1.1740304363337662E-2</v>
      </c>
      <c r="I313" s="7">
        <v>0</v>
      </c>
      <c r="J313" s="7">
        <v>-1.4006688703909184E-2</v>
      </c>
      <c r="K313" s="7">
        <v>0</v>
      </c>
      <c r="L313">
        <v>3.3557501239318595</v>
      </c>
      <c r="M313">
        <v>-9.7352559554477142E-4</v>
      </c>
      <c r="N313" s="9"/>
      <c r="O313" s="3">
        <f>L313-M313</f>
        <v>3.3567236495274044</v>
      </c>
      <c r="Q313" s="3"/>
      <c r="R313" s="3"/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-1.1740304363337662E-2</v>
      </c>
      <c r="I314" s="7">
        <v>0</v>
      </c>
      <c r="J314" s="7">
        <v>0</v>
      </c>
      <c r="K314" s="7">
        <v>-5.7848877771903059E-3</v>
      </c>
      <c r="L314">
        <v>0.66775267347450074</v>
      </c>
      <c r="M314">
        <v>1.741254419372746E-3</v>
      </c>
      <c r="N314" s="9"/>
      <c r="O314" s="3">
        <f>L314-M314</f>
        <v>0.66601141905512795</v>
      </c>
      <c r="Q314" s="3"/>
      <c r="R314" s="3"/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Q315" s="3"/>
      <c r="R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-1.1740304363337662E-2</v>
      </c>
      <c r="I316" s="7">
        <v>-1.0371747308879334E-2</v>
      </c>
      <c r="J316" s="7">
        <v>0</v>
      </c>
      <c r="K316" s="7">
        <v>0</v>
      </c>
      <c r="L316">
        <v>0.8419894247146269</v>
      </c>
      <c r="M316">
        <v>5.0486962857952417E-4</v>
      </c>
      <c r="N316" s="9"/>
      <c r="O316" s="3">
        <f>L316-M316</f>
        <v>0.84148455508604736</v>
      </c>
      <c r="Q316" s="3"/>
      <c r="R316" s="3"/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-1.1740304363337662E-2</v>
      </c>
      <c r="I317" s="7">
        <v>0</v>
      </c>
      <c r="J317" s="7">
        <v>-1.4006688703909184E-2</v>
      </c>
      <c r="K317" s="7">
        <v>0</v>
      </c>
      <c r="L317">
        <v>3.3557501239318595</v>
      </c>
      <c r="M317">
        <v>-9.7352559554477142E-4</v>
      </c>
      <c r="N317" s="9"/>
      <c r="O317" s="3">
        <f>L317-M317</f>
        <v>3.3567236495274044</v>
      </c>
      <c r="Q317" s="3"/>
      <c r="R317" s="3"/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-1.1740304363337662E-2</v>
      </c>
      <c r="I318" s="7">
        <v>0</v>
      </c>
      <c r="J318" s="7">
        <v>0</v>
      </c>
      <c r="K318" s="7">
        <v>-5.3579739925191721E-3</v>
      </c>
      <c r="L318">
        <v>4.4582929032762966</v>
      </c>
      <c r="M318">
        <v>1.8206185418143878E-3</v>
      </c>
      <c r="N318" s="9"/>
      <c r="O318" s="3">
        <f>L318-M318</f>
        <v>4.456472284734482</v>
      </c>
      <c r="Q318" s="3"/>
      <c r="R318" s="3"/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Q319" s="3"/>
      <c r="R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Q320" s="3"/>
      <c r="R320" s="3"/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Q321" s="3"/>
      <c r="R321" s="3"/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Q322" s="3"/>
      <c r="R322" s="3"/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Q323" s="3"/>
      <c r="R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-1.1740304363337662E-2</v>
      </c>
      <c r="I324" s="7">
        <v>-1.0371747308879334E-2</v>
      </c>
      <c r="J324" s="7">
        <v>0</v>
      </c>
      <c r="K324" s="7">
        <v>0</v>
      </c>
      <c r="L324">
        <v>0.8419894247146269</v>
      </c>
      <c r="M324">
        <v>5.0486962857952417E-4</v>
      </c>
      <c r="N324" s="9"/>
      <c r="O324" s="3">
        <f>L324-M324</f>
        <v>0.84148455508604736</v>
      </c>
      <c r="Q324" s="3"/>
      <c r="R324" s="3"/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-1.1740304363337662E-2</v>
      </c>
      <c r="I325" s="7">
        <v>0</v>
      </c>
      <c r="J325" s="7">
        <v>-1.4006688703909184E-2</v>
      </c>
      <c r="K325" s="7">
        <v>0</v>
      </c>
      <c r="L325">
        <v>3.3557501239318595</v>
      </c>
      <c r="M325">
        <v>-9.7352559554477142E-4</v>
      </c>
      <c r="N325" s="9"/>
      <c r="O325" s="3">
        <f>L325-M325</f>
        <v>3.3567236495274044</v>
      </c>
      <c r="Q325" s="3"/>
      <c r="R325" s="3"/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-1.1740304363337662E-2</v>
      </c>
      <c r="I326" s="7">
        <v>0</v>
      </c>
      <c r="J326" s="7">
        <v>0</v>
      </c>
      <c r="K326" s="7">
        <v>-8.5708119146997823E-3</v>
      </c>
      <c r="L326">
        <v>3.7190693025902282</v>
      </c>
      <c r="M326">
        <v>1.0740161484222371E-3</v>
      </c>
      <c r="N326" s="9"/>
      <c r="O326" s="3">
        <f>L326-M326</f>
        <v>3.717995286441806</v>
      </c>
      <c r="Q326" s="3"/>
      <c r="R326" s="3"/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-1.1740304363337662E-2</v>
      </c>
      <c r="I328" s="7">
        <v>-1.0371747308879334E-2</v>
      </c>
      <c r="J328" s="7">
        <v>0</v>
      </c>
      <c r="K328" s="7">
        <v>0</v>
      </c>
      <c r="L328">
        <v>0.8419894247146269</v>
      </c>
      <c r="M328">
        <v>5.0486962857952417E-4</v>
      </c>
      <c r="N328" s="9"/>
      <c r="O328" s="3">
        <f>L328-M328</f>
        <v>0.84148455508604736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-1.1740304363337662E-2</v>
      </c>
      <c r="I329" s="7">
        <v>0</v>
      </c>
      <c r="J329" s="7">
        <v>-5.7848877771903059E-3</v>
      </c>
      <c r="K329" s="7">
        <v>0</v>
      </c>
      <c r="L329">
        <v>0.66775267347450074</v>
      </c>
      <c r="M329">
        <v>1.741254419372746E-3</v>
      </c>
      <c r="N329" s="9"/>
      <c r="O329" s="3">
        <f>L329-M329</f>
        <v>0.66601141905512795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-1.1740304363337662E-2</v>
      </c>
      <c r="I330" s="7">
        <v>0</v>
      </c>
      <c r="J330" s="7">
        <v>0</v>
      </c>
      <c r="K330" s="7">
        <v>-5.3579739925191721E-3</v>
      </c>
      <c r="L330">
        <v>4.4582929032762966</v>
      </c>
      <c r="M330">
        <v>1.8206185418143878E-3</v>
      </c>
      <c r="N330" s="9"/>
      <c r="O330" s="3">
        <f>L330-M330</f>
        <v>4.456472284734482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-1.1740304363337662E-2</v>
      </c>
      <c r="I336" s="7">
        <v>-1.0371747308879334E-2</v>
      </c>
      <c r="J336" s="7">
        <v>0</v>
      </c>
      <c r="K336" s="7">
        <v>0</v>
      </c>
      <c r="L336">
        <v>0.8419894247146269</v>
      </c>
      <c r="M336">
        <v>5.0486962857952417E-4</v>
      </c>
      <c r="N336" s="9"/>
      <c r="O336" s="3">
        <f>L336-M336</f>
        <v>0.84148455508604736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-1.1740304363337662E-2</v>
      </c>
      <c r="I337" s="7">
        <v>0</v>
      </c>
      <c r="J337" s="7">
        <v>-5.7848877771903059E-3</v>
      </c>
      <c r="K337" s="7">
        <v>0</v>
      </c>
      <c r="L337">
        <v>0.66775267347450074</v>
      </c>
      <c r="M337">
        <v>1.741254419372746E-3</v>
      </c>
      <c r="N337" s="9"/>
      <c r="O337" s="3">
        <f>L337-M337</f>
        <v>0.66601141905512795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-1.1740304363337662E-2</v>
      </c>
      <c r="I338" s="7">
        <v>0</v>
      </c>
      <c r="J338" s="7">
        <v>0</v>
      </c>
      <c r="K338" s="7">
        <v>-8.5708119146997823E-3</v>
      </c>
      <c r="L338">
        <v>3.7190693025902282</v>
      </c>
      <c r="M338">
        <v>1.0740161484222371E-3</v>
      </c>
      <c r="N338" s="9"/>
      <c r="O338" s="3">
        <f>L338-M338</f>
        <v>3.717995286441806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-1.1740304363337662E-2</v>
      </c>
      <c r="I344" s="7">
        <v>-1.0371747308879334E-2</v>
      </c>
      <c r="J344" s="7">
        <v>0</v>
      </c>
      <c r="K344" s="7">
        <v>0</v>
      </c>
      <c r="L344">
        <v>0.8419894247146269</v>
      </c>
      <c r="M344">
        <v>5.0486962857952417E-4</v>
      </c>
      <c r="N344" s="9"/>
      <c r="O344" s="3">
        <f>L344-M344</f>
        <v>0.84148455508604736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-1.1740304363337662E-2</v>
      </c>
      <c r="I345" s="7">
        <v>0</v>
      </c>
      <c r="J345" s="7">
        <v>-5.3579739925191721E-3</v>
      </c>
      <c r="K345" s="7">
        <v>0</v>
      </c>
      <c r="L345">
        <v>4.4582929032762966</v>
      </c>
      <c r="M345">
        <v>1.8206185418143878E-3</v>
      </c>
      <c r="N345" s="9"/>
      <c r="O345" s="3">
        <f>L345-M345</f>
        <v>4.456472284734482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-1.1740304363337662E-2</v>
      </c>
      <c r="I346" s="7">
        <v>0</v>
      </c>
      <c r="J346" s="7">
        <v>0</v>
      </c>
      <c r="K346" s="7">
        <v>-8.5708119146997823E-3</v>
      </c>
      <c r="L346">
        <v>3.7190693025902282</v>
      </c>
      <c r="M346">
        <v>1.0740161484222371E-3</v>
      </c>
      <c r="N346" s="9"/>
      <c r="O346" s="3">
        <f>L346-M346</f>
        <v>3.717995286441806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-1.1740304363337662E-2</v>
      </c>
      <c r="I392" s="7">
        <v>-1.4006688703909184E-2</v>
      </c>
      <c r="J392" s="7">
        <v>0</v>
      </c>
      <c r="K392" s="7">
        <v>0</v>
      </c>
      <c r="L392">
        <v>3.3557501239318595</v>
      </c>
      <c r="M392">
        <v>-9.7352559554477142E-4</v>
      </c>
      <c r="N392" s="9"/>
      <c r="O392" s="3">
        <f>L392-M392</f>
        <v>3.3567236495274044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-1.1740304363337662E-2</v>
      </c>
      <c r="I393" s="7">
        <v>0</v>
      </c>
      <c r="J393" s="7">
        <v>-5.7848877771903059E-3</v>
      </c>
      <c r="K393" s="7">
        <v>0</v>
      </c>
      <c r="L393">
        <v>0.66775267347450074</v>
      </c>
      <c r="M393">
        <v>1.741254419372746E-3</v>
      </c>
      <c r="N393" s="9"/>
      <c r="O393" s="3">
        <f>L393-M393</f>
        <v>0.66601141905512795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-1.1740304363337662E-2</v>
      </c>
      <c r="I394" s="7">
        <v>0</v>
      </c>
      <c r="J394" s="7">
        <v>0</v>
      </c>
      <c r="K394" s="7">
        <v>-5.3579739925191721E-3</v>
      </c>
      <c r="L394">
        <v>4.4582929032762966</v>
      </c>
      <c r="M394">
        <v>1.8206185418143878E-3</v>
      </c>
      <c r="N394" s="9"/>
      <c r="O394" s="3">
        <f>L394-M394</f>
        <v>4.456472284734482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-1.1740304363337662E-2</v>
      </c>
      <c r="I400" s="7">
        <v>-1.4006688703909184E-2</v>
      </c>
      <c r="J400" s="7">
        <v>0</v>
      </c>
      <c r="K400" s="7">
        <v>0</v>
      </c>
      <c r="L400">
        <v>3.3557501239318595</v>
      </c>
      <c r="M400">
        <v>-9.7352559554477142E-4</v>
      </c>
      <c r="N400" s="9"/>
      <c r="O400" s="3">
        <f>L400-M400</f>
        <v>3.3567236495274044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-1.1740304363337662E-2</v>
      </c>
      <c r="I401" s="7">
        <v>0</v>
      </c>
      <c r="J401" s="7">
        <v>-5.7848877771903059E-3</v>
      </c>
      <c r="K401" s="7">
        <v>0</v>
      </c>
      <c r="L401">
        <v>0.66775267347450074</v>
      </c>
      <c r="M401">
        <v>1.741254419372746E-3</v>
      </c>
      <c r="N401" s="9"/>
      <c r="O401" s="3">
        <f>L401-M401</f>
        <v>0.66601141905512795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-1.1740304363337662E-2</v>
      </c>
      <c r="I402" s="7">
        <v>0</v>
      </c>
      <c r="J402" s="7">
        <v>0</v>
      </c>
      <c r="K402" s="7">
        <v>-8.5708119146997823E-3</v>
      </c>
      <c r="L402">
        <v>3.7190693025902282</v>
      </c>
      <c r="M402">
        <v>1.0740161484222371E-3</v>
      </c>
      <c r="N402" s="9"/>
      <c r="O402" s="3">
        <f>L402-M402</f>
        <v>3.717995286441806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-1.1740304363337662E-2</v>
      </c>
      <c r="I408" s="7">
        <v>-1.4006688703909184E-2</v>
      </c>
      <c r="J408" s="7">
        <v>0</v>
      </c>
      <c r="K408" s="7">
        <v>0</v>
      </c>
      <c r="L408">
        <v>3.3557501239318595</v>
      </c>
      <c r="M408">
        <v>-9.7352559554477142E-4</v>
      </c>
      <c r="N408" s="9"/>
      <c r="O408" s="3">
        <f>L408-M408</f>
        <v>3.3567236495274044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-1.1740304363337662E-2</v>
      </c>
      <c r="I409" s="7">
        <v>0</v>
      </c>
      <c r="J409" s="7">
        <v>-5.3579739925191721E-3</v>
      </c>
      <c r="K409" s="7">
        <v>0</v>
      </c>
      <c r="L409">
        <v>4.4582929032762966</v>
      </c>
      <c r="M409">
        <v>1.8206185418143878E-3</v>
      </c>
      <c r="N409" s="9"/>
      <c r="O409" s="3">
        <f>L409-M409</f>
        <v>4.456472284734482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-1.1740304363337662E-2</v>
      </c>
      <c r="I410" s="7">
        <v>0</v>
      </c>
      <c r="J410" s="7">
        <v>0</v>
      </c>
      <c r="K410" s="7">
        <v>-8.5708119146997823E-3</v>
      </c>
      <c r="L410">
        <v>3.7190693025902282</v>
      </c>
      <c r="M410">
        <v>1.0740161484222371E-3</v>
      </c>
      <c r="N410" s="9"/>
      <c r="O410" s="3">
        <f>L410-M410</f>
        <v>3.717995286441806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-1.1740304363337662E-2</v>
      </c>
      <c r="I420" s="7">
        <v>-5.7848877771903059E-3</v>
      </c>
      <c r="J420" s="7">
        <v>0</v>
      </c>
      <c r="K420" s="7">
        <v>0</v>
      </c>
      <c r="L420">
        <v>0.66775267347450074</v>
      </c>
      <c r="M420">
        <v>1.741254419372746E-3</v>
      </c>
      <c r="N420" s="9"/>
      <c r="O420" s="3">
        <f>L420-M420</f>
        <v>0.66601141905512795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-1.1740304363337662E-2</v>
      </c>
      <c r="I421" s="7">
        <v>0</v>
      </c>
      <c r="J421" s="7">
        <v>-5.3579739925191721E-3</v>
      </c>
      <c r="K421" s="7">
        <v>0</v>
      </c>
      <c r="L421">
        <v>4.4582929032762966</v>
      </c>
      <c r="M421">
        <v>1.8206185418143878E-3</v>
      </c>
      <c r="N421" s="9"/>
      <c r="O421" s="3">
        <f>L421-M421</f>
        <v>4.456472284734482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-1.1740304363337662E-2</v>
      </c>
      <c r="I422" s="7">
        <v>0</v>
      </c>
      <c r="J422" s="7">
        <v>0</v>
      </c>
      <c r="K422" s="7">
        <v>-8.5708119146997823E-3</v>
      </c>
      <c r="L422">
        <v>3.7190693025902282</v>
      </c>
      <c r="M422">
        <v>1.0740161484222371E-3</v>
      </c>
      <c r="N422" s="9"/>
      <c r="O422" s="3">
        <f>L422-M422</f>
        <v>3.717995286441806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1.4006688703909184E-2</v>
      </c>
      <c r="I452" s="7">
        <v>-1.0371747308879334E-2</v>
      </c>
      <c r="J452" s="7">
        <v>0</v>
      </c>
      <c r="K452" s="7">
        <v>0</v>
      </c>
      <c r="L452">
        <v>1.5747328563547551</v>
      </c>
      <c r="M452">
        <v>1.4783952241242957E-3</v>
      </c>
      <c r="N452" s="9"/>
      <c r="O452" s="3">
        <f>L452-M452</f>
        <v>1.5732544611306309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1.4006688703909184E-2</v>
      </c>
      <c r="I453" s="7">
        <v>0</v>
      </c>
      <c r="J453" s="7">
        <v>1.1740304363337662E-2</v>
      </c>
      <c r="K453" s="7">
        <v>0</v>
      </c>
      <c r="L453">
        <v>3.3557501239318595</v>
      </c>
      <c r="M453">
        <v>9.7352559554477142E-4</v>
      </c>
      <c r="N453" s="9"/>
      <c r="O453" s="3">
        <f>L453-M453</f>
        <v>3.3547765983363145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1.4006688703909184E-2</v>
      </c>
      <c r="I454" s="7">
        <v>0</v>
      </c>
      <c r="J454" s="7">
        <v>0</v>
      </c>
      <c r="K454" s="7">
        <v>-5.7848877771903059E-3</v>
      </c>
      <c r="L454">
        <v>4.0754124436814498</v>
      </c>
      <c r="M454">
        <v>2.7147800149175173E-3</v>
      </c>
      <c r="N454" s="9"/>
      <c r="O454" s="3">
        <f>L454-M454</f>
        <v>4.0726976636665322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1.4006688703909184E-2</v>
      </c>
      <c r="I456" s="7">
        <v>-1.0371747308879334E-2</v>
      </c>
      <c r="J456" s="7">
        <v>0</v>
      </c>
      <c r="K456" s="7">
        <v>0</v>
      </c>
      <c r="L456">
        <v>1.5747328563547551</v>
      </c>
      <c r="M456">
        <v>1.4783952241242957E-3</v>
      </c>
      <c r="N456" s="9"/>
      <c r="O456" s="3">
        <f>L456-M456</f>
        <v>1.5732544611306309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1.4006688703909184E-2</v>
      </c>
      <c r="I457" s="7">
        <v>0</v>
      </c>
      <c r="J457" s="7">
        <v>1.1740304363337662E-2</v>
      </c>
      <c r="K457" s="7">
        <v>0</v>
      </c>
      <c r="L457">
        <v>3.3557501239318595</v>
      </c>
      <c r="M457">
        <v>9.7352559554477142E-4</v>
      </c>
      <c r="N457" s="9"/>
      <c r="O457" s="3">
        <f>L457-M457</f>
        <v>3.3547765983363145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1.4006688703909184E-2</v>
      </c>
      <c r="I458" s="7">
        <v>0</v>
      </c>
      <c r="J458" s="7">
        <v>0</v>
      </c>
      <c r="K458" s="7">
        <v>-5.3579739925191721E-3</v>
      </c>
      <c r="L458">
        <v>0.90446106922389957</v>
      </c>
      <c r="M458">
        <v>2.7941441373591593E-3</v>
      </c>
      <c r="N458" s="9"/>
      <c r="O458" s="3">
        <f>L458-M458</f>
        <v>0.90166692508654045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1.4006688703909184E-2</v>
      </c>
      <c r="I464" s="7">
        <v>-1.0371747308879334E-2</v>
      </c>
      <c r="J464" s="7">
        <v>0</v>
      </c>
      <c r="K464" s="7">
        <v>0</v>
      </c>
      <c r="L464">
        <v>1.5747328563547551</v>
      </c>
      <c r="M464">
        <v>1.4783952241242957E-3</v>
      </c>
      <c r="N464" s="9"/>
      <c r="O464" s="3">
        <f>L464-M464</f>
        <v>1.5732544611306309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1.4006688703909184E-2</v>
      </c>
      <c r="I465" s="7">
        <v>0</v>
      </c>
      <c r="J465" s="7">
        <v>1.1740304363337662E-2</v>
      </c>
      <c r="K465" s="7">
        <v>0</v>
      </c>
      <c r="L465">
        <v>3.3557501239318595</v>
      </c>
      <c r="M465">
        <v>9.7352559554477142E-4</v>
      </c>
      <c r="N465" s="9"/>
      <c r="O465" s="3">
        <f>L465-M465</f>
        <v>3.3547765983363145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1.4006688703909184E-2</v>
      </c>
      <c r="I466" s="7">
        <v>0</v>
      </c>
      <c r="J466" s="7">
        <v>0</v>
      </c>
      <c r="K466" s="7">
        <v>-8.5708119146997823E-3</v>
      </c>
      <c r="L466">
        <v>2.3682128123525694</v>
      </c>
      <c r="M466">
        <v>2.0475417439670082E-3</v>
      </c>
      <c r="N466" s="9"/>
      <c r="O466" s="3">
        <f>L466-M466</f>
        <v>2.3661652706086023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1.4006688703909184E-2</v>
      </c>
      <c r="I468" s="7">
        <v>-1.0371747308879334E-2</v>
      </c>
      <c r="J468" s="7">
        <v>0</v>
      </c>
      <c r="K468" s="7">
        <v>0</v>
      </c>
      <c r="L468">
        <v>1.5747328563547551</v>
      </c>
      <c r="M468">
        <v>1.4783952241242957E-3</v>
      </c>
      <c r="N468" s="9"/>
      <c r="O468" s="3">
        <f>L468-M468</f>
        <v>1.5732544611306309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1.4006688703909184E-2</v>
      </c>
      <c r="I469" s="7">
        <v>0</v>
      </c>
      <c r="J469" s="7">
        <v>-5.7848877771903059E-3</v>
      </c>
      <c r="K469" s="7">
        <v>0</v>
      </c>
      <c r="L469">
        <v>4.0754124436814498</v>
      </c>
      <c r="M469">
        <v>2.7147800149175173E-3</v>
      </c>
      <c r="N469" s="9"/>
      <c r="O469" s="3">
        <f>L469-M469</f>
        <v>4.0726976636665322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1.4006688703909184E-2</v>
      </c>
      <c r="I470" s="7">
        <v>0</v>
      </c>
      <c r="J470" s="7">
        <v>0</v>
      </c>
      <c r="K470" s="7">
        <v>-5.3579739925191721E-3</v>
      </c>
      <c r="L470">
        <v>0.90446106922389957</v>
      </c>
      <c r="M470">
        <v>2.7941441373591593E-3</v>
      </c>
      <c r="N470" s="9"/>
      <c r="O470" s="3">
        <f>L470-M470</f>
        <v>0.90166692508654045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1.4006688703909184E-2</v>
      </c>
      <c r="I476" s="7">
        <v>-1.0371747308879334E-2</v>
      </c>
      <c r="J476" s="7">
        <v>0</v>
      </c>
      <c r="K476" s="7">
        <v>0</v>
      </c>
      <c r="L476">
        <v>1.5747328563547551</v>
      </c>
      <c r="M476">
        <v>1.4783952241242957E-3</v>
      </c>
      <c r="N476" s="9"/>
      <c r="O476" s="3">
        <f>L476-M476</f>
        <v>1.5732544611306309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1.4006688703909184E-2</v>
      </c>
      <c r="I477" s="7">
        <v>0</v>
      </c>
      <c r="J477" s="7">
        <v>-5.7848877771903059E-3</v>
      </c>
      <c r="K477" s="7">
        <v>0</v>
      </c>
      <c r="L477">
        <v>4.0754124436814498</v>
      </c>
      <c r="M477">
        <v>2.7147800149175173E-3</v>
      </c>
      <c r="N477" s="9"/>
      <c r="O477" s="3">
        <f>L477-M477</f>
        <v>4.0726976636665322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1.4006688703909184E-2</v>
      </c>
      <c r="I478" s="7">
        <v>0</v>
      </c>
      <c r="J478" s="7">
        <v>0</v>
      </c>
      <c r="K478" s="7">
        <v>-8.5708119146997823E-3</v>
      </c>
      <c r="L478">
        <v>2.3682128123525694</v>
      </c>
      <c r="M478">
        <v>2.0475417439670082E-3</v>
      </c>
      <c r="N478" s="9"/>
      <c r="O478" s="3">
        <f>L478-M478</f>
        <v>2.3661652706086023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1.4006688703909184E-2</v>
      </c>
      <c r="I484" s="7">
        <v>-1.0371747308879334E-2</v>
      </c>
      <c r="J484" s="7">
        <v>0</v>
      </c>
      <c r="K484" s="7">
        <v>0</v>
      </c>
      <c r="L484">
        <v>1.5747328563547551</v>
      </c>
      <c r="M484">
        <v>1.4783952241242957E-3</v>
      </c>
      <c r="N484" s="9"/>
      <c r="O484" s="3">
        <f>L484-M484</f>
        <v>1.5732544611306309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1.4006688703909184E-2</v>
      </c>
      <c r="I485" s="7">
        <v>0</v>
      </c>
      <c r="J485" s="7">
        <v>-5.3579739925191721E-3</v>
      </c>
      <c r="K485" s="7">
        <v>0</v>
      </c>
      <c r="L485">
        <v>0.90446106922389957</v>
      </c>
      <c r="M485">
        <v>2.7941441373591593E-3</v>
      </c>
      <c r="N485" s="9"/>
      <c r="O485" s="3">
        <f>L485-M485</f>
        <v>0.90166692508654045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1.4006688703909184E-2</v>
      </c>
      <c r="I486" s="7">
        <v>0</v>
      </c>
      <c r="J486" s="7">
        <v>0</v>
      </c>
      <c r="K486" s="7">
        <v>-8.5708119146997823E-3</v>
      </c>
      <c r="L486">
        <v>2.3682128123525694</v>
      </c>
      <c r="M486">
        <v>2.0475417439670082E-3</v>
      </c>
      <c r="N486" s="9"/>
      <c r="O486" s="3">
        <f>L486-M486</f>
        <v>2.3661652706086023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1.4006688703909184E-2</v>
      </c>
      <c r="I532" s="7">
        <v>1.1740304363337662E-2</v>
      </c>
      <c r="J532" s="7">
        <v>0</v>
      </c>
      <c r="K532" s="7">
        <v>0</v>
      </c>
      <c r="L532">
        <v>3.3557501239318595</v>
      </c>
      <c r="M532">
        <v>9.7352559554477142E-4</v>
      </c>
      <c r="N532" s="9"/>
      <c r="O532" s="3">
        <f>L532-M532</f>
        <v>3.3547765983363145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1.4006688703909184E-2</v>
      </c>
      <c r="I533" s="7">
        <v>0</v>
      </c>
      <c r="J533" s="7">
        <v>-5.7848877771903059E-3</v>
      </c>
      <c r="K533" s="7">
        <v>0</v>
      </c>
      <c r="L533">
        <v>4.0754124436814498</v>
      </c>
      <c r="M533">
        <v>2.7147800149175173E-3</v>
      </c>
      <c r="N533" s="9"/>
      <c r="O533" s="3">
        <f>L533-M533</f>
        <v>4.0726976636665322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1.4006688703909184E-2</v>
      </c>
      <c r="I534" s="7">
        <v>0</v>
      </c>
      <c r="J534" s="7">
        <v>0</v>
      </c>
      <c r="K534" s="7">
        <v>-5.3579739925191721E-3</v>
      </c>
      <c r="L534">
        <v>0.90446106922389957</v>
      </c>
      <c r="M534">
        <v>2.7941441373591593E-3</v>
      </c>
      <c r="N534" s="9"/>
      <c r="O534" s="3">
        <f>L534-M534</f>
        <v>0.90166692508654045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1.4006688703909184E-2</v>
      </c>
      <c r="I540" s="7">
        <v>1.1740304363337662E-2</v>
      </c>
      <c r="J540" s="7">
        <v>0</v>
      </c>
      <c r="K540" s="7">
        <v>0</v>
      </c>
      <c r="L540">
        <v>3.3557501239318595</v>
      </c>
      <c r="M540">
        <v>9.7352559554477142E-4</v>
      </c>
      <c r="N540" s="9"/>
      <c r="O540" s="3">
        <f>L540-M540</f>
        <v>3.3547765983363145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1.4006688703909184E-2</v>
      </c>
      <c r="I541" s="7">
        <v>0</v>
      </c>
      <c r="J541" s="7">
        <v>-5.7848877771903059E-3</v>
      </c>
      <c r="K541" s="7">
        <v>0</v>
      </c>
      <c r="L541">
        <v>4.0754124436814498</v>
      </c>
      <c r="M541">
        <v>2.7147800149175173E-3</v>
      </c>
      <c r="N541" s="9"/>
      <c r="O541" s="3">
        <f>L541-M541</f>
        <v>4.0726976636665322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1.4006688703909184E-2</v>
      </c>
      <c r="I542" s="7">
        <v>0</v>
      </c>
      <c r="J542" s="7">
        <v>0</v>
      </c>
      <c r="K542" s="7">
        <v>-8.5708119146997823E-3</v>
      </c>
      <c r="L542">
        <v>2.3682128123525694</v>
      </c>
      <c r="M542">
        <v>2.0475417439670082E-3</v>
      </c>
      <c r="N542" s="9"/>
      <c r="O542" s="3">
        <f>L542-M542</f>
        <v>2.3661652706086023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1.4006688703909184E-2</v>
      </c>
      <c r="I548" s="7">
        <v>1.1740304363337662E-2</v>
      </c>
      <c r="J548" s="7">
        <v>0</v>
      </c>
      <c r="K548" s="7">
        <v>0</v>
      </c>
      <c r="L548">
        <v>3.3557501239318595</v>
      </c>
      <c r="M548">
        <v>9.7352559554477142E-4</v>
      </c>
      <c r="N548" s="9"/>
      <c r="O548" s="3">
        <f>L548-M548</f>
        <v>3.3547765983363145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1.4006688703909184E-2</v>
      </c>
      <c r="I549" s="7">
        <v>0</v>
      </c>
      <c r="J549" s="7">
        <v>-5.3579739925191721E-3</v>
      </c>
      <c r="K549" s="7">
        <v>0</v>
      </c>
      <c r="L549">
        <v>0.90446106922389957</v>
      </c>
      <c r="M549">
        <v>2.7941441373591593E-3</v>
      </c>
      <c r="N549" s="9"/>
      <c r="O549" s="3">
        <f>L549-M549</f>
        <v>0.90166692508654045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1.4006688703909184E-2</v>
      </c>
      <c r="I550" s="7">
        <v>0</v>
      </c>
      <c r="J550" s="7">
        <v>0</v>
      </c>
      <c r="K550" s="7">
        <v>-8.5708119146997823E-3</v>
      </c>
      <c r="L550">
        <v>2.3682128123525694</v>
      </c>
      <c r="M550">
        <v>2.0475417439670082E-3</v>
      </c>
      <c r="N550" s="9"/>
      <c r="O550" s="3">
        <f>L550-M550</f>
        <v>2.3661652706086023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1.4006688703909184E-2</v>
      </c>
      <c r="I560" s="7">
        <v>-5.7848877771903059E-3</v>
      </c>
      <c r="J560" s="7">
        <v>0</v>
      </c>
      <c r="K560" s="7">
        <v>0</v>
      </c>
      <c r="L560">
        <v>4.0754124436814498</v>
      </c>
      <c r="M560">
        <v>2.7147800149175173E-3</v>
      </c>
      <c r="N560" s="9"/>
      <c r="O560" s="3">
        <f>L560-M560</f>
        <v>4.0726976636665322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1.4006688703909184E-2</v>
      </c>
      <c r="I561" s="7">
        <v>0</v>
      </c>
      <c r="J561" s="7">
        <v>-5.3579739925191721E-3</v>
      </c>
      <c r="K561" s="7">
        <v>0</v>
      </c>
      <c r="L561">
        <v>0.90446106922389957</v>
      </c>
      <c r="M561">
        <v>2.7941441373591593E-3</v>
      </c>
      <c r="N561" s="9"/>
      <c r="O561" s="3">
        <f>L561-M561</f>
        <v>0.90166692508654045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1.4006688703909184E-2</v>
      </c>
      <c r="I562" s="7">
        <v>0</v>
      </c>
      <c r="J562" s="7">
        <v>0</v>
      </c>
      <c r="K562" s="7">
        <v>-8.5708119146997823E-3</v>
      </c>
      <c r="L562">
        <v>2.3682128123525694</v>
      </c>
      <c r="M562">
        <v>2.0475417439670082E-3</v>
      </c>
      <c r="N562" s="9"/>
      <c r="O562" s="3">
        <f>L562-M562</f>
        <v>2.3661652706086023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5.7848877771903059E-3</v>
      </c>
      <c r="I592" s="7">
        <v>-1.0371747308879334E-2</v>
      </c>
      <c r="J592" s="7">
        <v>0</v>
      </c>
      <c r="K592" s="7">
        <v>0</v>
      </c>
      <c r="L592">
        <v>1.8954667052703302</v>
      </c>
      <c r="M592">
        <v>-1.2363847907932218E-3</v>
      </c>
      <c r="N592" s="9"/>
      <c r="O592" s="3">
        <f>L592-M592</f>
        <v>1.8967030900611235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5.7848877771903059E-3</v>
      </c>
      <c r="I593" s="7">
        <v>0</v>
      </c>
      <c r="J593" s="7">
        <v>1.1740304363337662E-2</v>
      </c>
      <c r="K593" s="7">
        <v>0</v>
      </c>
      <c r="L593">
        <v>0.66775267347450074</v>
      </c>
      <c r="M593">
        <v>-1.741254419372746E-3</v>
      </c>
      <c r="N593" s="9"/>
      <c r="O593" s="3">
        <f>L593-M593</f>
        <v>0.66949392789387352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5.7848877771903059E-3</v>
      </c>
      <c r="I594" s="7">
        <v>0</v>
      </c>
      <c r="J594" s="7">
        <v>0</v>
      </c>
      <c r="K594" s="7">
        <v>-1.4006688703909184E-2</v>
      </c>
      <c r="L594">
        <v>4.0754124436814498</v>
      </c>
      <c r="M594">
        <v>-2.7147800149175173E-3</v>
      </c>
      <c r="N594" s="9"/>
      <c r="O594" s="3">
        <f>L594-M594</f>
        <v>4.0781272236963675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5.7848877771903059E-3</v>
      </c>
      <c r="I596" s="7">
        <v>-1.0371747308879334E-2</v>
      </c>
      <c r="J596" s="7">
        <v>0</v>
      </c>
      <c r="K596" s="7">
        <v>0</v>
      </c>
      <c r="L596">
        <v>1.8954667052703302</v>
      </c>
      <c r="M596">
        <v>-1.2363847907932218E-3</v>
      </c>
      <c r="N596" s="9"/>
      <c r="O596" s="3">
        <f>L596-M596</f>
        <v>1.8967030900611235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5.7848877771903059E-3</v>
      </c>
      <c r="I597" s="7">
        <v>0</v>
      </c>
      <c r="J597" s="7">
        <v>1.1740304363337662E-2</v>
      </c>
      <c r="K597" s="7">
        <v>0</v>
      </c>
      <c r="L597">
        <v>0.66775267347450074</v>
      </c>
      <c r="M597">
        <v>-1.741254419372746E-3</v>
      </c>
      <c r="N597" s="9"/>
      <c r="O597" s="3">
        <f>L597-M597</f>
        <v>0.66949392789387352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5.7848877771903059E-3</v>
      </c>
      <c r="I598" s="7">
        <v>0</v>
      </c>
      <c r="J598" s="7">
        <v>0</v>
      </c>
      <c r="K598" s="7">
        <v>-5.3579739925191721E-3</v>
      </c>
      <c r="L598">
        <v>3.6315946901900351</v>
      </c>
      <c r="M598">
        <v>7.9364122441641754E-5</v>
      </c>
      <c r="N598" s="9"/>
      <c r="O598" s="3">
        <f>L598-M598</f>
        <v>3.6315153260675936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5.7848877771903059E-3</v>
      </c>
      <c r="I604" s="7">
        <v>-1.0371747308879334E-2</v>
      </c>
      <c r="J604" s="7">
        <v>0</v>
      </c>
      <c r="K604" s="7">
        <v>0</v>
      </c>
      <c r="L604">
        <v>1.8954667052703302</v>
      </c>
      <c r="M604">
        <v>-1.2363847907932218E-3</v>
      </c>
      <c r="N604" s="9"/>
      <c r="O604" s="3">
        <f>L604-M604</f>
        <v>1.8967030900611235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5.7848877771903059E-3</v>
      </c>
      <c r="I605" s="7">
        <v>0</v>
      </c>
      <c r="J605" s="7">
        <v>1.1740304363337662E-2</v>
      </c>
      <c r="K605" s="7">
        <v>0</v>
      </c>
      <c r="L605">
        <v>0.66775267347450074</v>
      </c>
      <c r="M605">
        <v>-1.741254419372746E-3</v>
      </c>
      <c r="N605" s="9"/>
      <c r="O605" s="3">
        <f>L605-M605</f>
        <v>0.66949392789387352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5.7848877771903059E-3</v>
      </c>
      <c r="I606" s="7">
        <v>0</v>
      </c>
      <c r="J606" s="7">
        <v>0</v>
      </c>
      <c r="K606" s="7">
        <v>-8.5708119146997823E-3</v>
      </c>
      <c r="L606">
        <v>2.216073124166746</v>
      </c>
      <c r="M606">
        <v>-6.6723827095050889E-4</v>
      </c>
      <c r="N606" s="9"/>
      <c r="O606" s="3">
        <f>L606-M606</f>
        <v>2.2167403624376965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5.7848877771903059E-3</v>
      </c>
      <c r="I608" s="7">
        <v>-1.0371747308879334E-2</v>
      </c>
      <c r="J608" s="7">
        <v>0</v>
      </c>
      <c r="K608" s="7">
        <v>0</v>
      </c>
      <c r="L608">
        <v>1.8954667052703302</v>
      </c>
      <c r="M608">
        <v>-1.2363847907932218E-3</v>
      </c>
      <c r="N608" s="9"/>
      <c r="O608" s="3">
        <f>L608-M608</f>
        <v>1.8967030900611235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5.7848877771903059E-3</v>
      </c>
      <c r="I609" s="7">
        <v>0</v>
      </c>
      <c r="J609" s="7">
        <v>-1.4006688703909184E-2</v>
      </c>
      <c r="K609" s="7">
        <v>0</v>
      </c>
      <c r="L609">
        <v>4.0754124436814498</v>
      </c>
      <c r="M609">
        <v>-2.7147800149175173E-3</v>
      </c>
      <c r="N609" s="9"/>
      <c r="O609" s="3">
        <f>L609-M609</f>
        <v>4.0781272236963675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5.7848877771903059E-3</v>
      </c>
      <c r="I610" s="7">
        <v>0</v>
      </c>
      <c r="J610" s="7">
        <v>0</v>
      </c>
      <c r="K610" s="7">
        <v>-5.3579739925191721E-3</v>
      </c>
      <c r="L610">
        <v>3.6315946901900351</v>
      </c>
      <c r="M610">
        <v>7.9364122441641754E-5</v>
      </c>
      <c r="N610" s="9"/>
      <c r="O610" s="3">
        <f>L610-M610</f>
        <v>3.6315153260675936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5.7848877771903059E-3</v>
      </c>
      <c r="I616" s="7">
        <v>-1.0371747308879334E-2</v>
      </c>
      <c r="J616" s="7">
        <v>0</v>
      </c>
      <c r="K616" s="7">
        <v>0</v>
      </c>
      <c r="L616">
        <v>1.8954667052703302</v>
      </c>
      <c r="M616">
        <v>-1.2363847907932218E-3</v>
      </c>
      <c r="N616" s="9"/>
      <c r="O616" s="3">
        <f>L616-M616</f>
        <v>1.8967030900611235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5.7848877771903059E-3</v>
      </c>
      <c r="I617" s="7">
        <v>0</v>
      </c>
      <c r="J617" s="7">
        <v>-1.4006688703909184E-2</v>
      </c>
      <c r="K617" s="7">
        <v>0</v>
      </c>
      <c r="L617">
        <v>4.0754124436814498</v>
      </c>
      <c r="M617">
        <v>-2.7147800149175173E-3</v>
      </c>
      <c r="N617" s="9"/>
      <c r="O617" s="3">
        <f>L617-M617</f>
        <v>4.0781272236963675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5.7848877771903059E-3</v>
      </c>
      <c r="I618" s="7">
        <v>0</v>
      </c>
      <c r="J618" s="7">
        <v>0</v>
      </c>
      <c r="K618" s="7">
        <v>-8.5708119146997823E-3</v>
      </c>
      <c r="L618">
        <v>2.216073124166746</v>
      </c>
      <c r="M618">
        <v>-6.6723827095050889E-4</v>
      </c>
      <c r="N618" s="9"/>
      <c r="O618" s="3">
        <f>L618-M618</f>
        <v>2.2167403624376965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5.7848877771903059E-3</v>
      </c>
      <c r="I624" s="7">
        <v>-1.0371747308879334E-2</v>
      </c>
      <c r="J624" s="7">
        <v>0</v>
      </c>
      <c r="K624" s="7">
        <v>0</v>
      </c>
      <c r="L624">
        <v>1.8954667052703302</v>
      </c>
      <c r="M624">
        <v>-1.2363847907932218E-3</v>
      </c>
      <c r="N624" s="9"/>
      <c r="O624" s="3">
        <f>L624-M624</f>
        <v>1.8967030900611235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5.7848877771903059E-3</v>
      </c>
      <c r="I625" s="7">
        <v>0</v>
      </c>
      <c r="J625" s="7">
        <v>-5.3579739925191721E-3</v>
      </c>
      <c r="K625" s="7">
        <v>0</v>
      </c>
      <c r="L625">
        <v>3.6315946901900351</v>
      </c>
      <c r="M625">
        <v>7.9364122441641754E-5</v>
      </c>
      <c r="N625" s="9"/>
      <c r="O625" s="3">
        <f>L625-M625</f>
        <v>3.6315153260675936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5.7848877771903059E-3</v>
      </c>
      <c r="I626" s="7">
        <v>0</v>
      </c>
      <c r="J626" s="7">
        <v>0</v>
      </c>
      <c r="K626" s="7">
        <v>-8.5708119146997823E-3</v>
      </c>
      <c r="L626">
        <v>2.216073124166746</v>
      </c>
      <c r="M626">
        <v>-6.6723827095050889E-4</v>
      </c>
      <c r="N626" s="9"/>
      <c r="O626" s="3">
        <f>L626-M626</f>
        <v>2.2167403624376965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5.7848877771903059E-3</v>
      </c>
      <c r="I672" s="7">
        <v>1.1740304363337662E-2</v>
      </c>
      <c r="J672" s="7">
        <v>0</v>
      </c>
      <c r="K672" s="7">
        <v>0</v>
      </c>
      <c r="L672">
        <v>0.66775267347450074</v>
      </c>
      <c r="M672">
        <v>-1.741254419372746E-3</v>
      </c>
      <c r="N672" s="9"/>
      <c r="O672" s="3">
        <f>L672-M672</f>
        <v>0.66949392789387352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5.7848877771903059E-3</v>
      </c>
      <c r="I673" s="7">
        <v>0</v>
      </c>
      <c r="J673" s="7">
        <v>-1.4006688703909184E-2</v>
      </c>
      <c r="K673" s="7">
        <v>0</v>
      </c>
      <c r="L673">
        <v>4.0754124436814498</v>
      </c>
      <c r="M673">
        <v>-2.7147800149175173E-3</v>
      </c>
      <c r="N673" s="9"/>
      <c r="O673" s="3">
        <f>L673-M673</f>
        <v>4.0781272236963675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5.7848877771903059E-3</v>
      </c>
      <c r="I674" s="7">
        <v>0</v>
      </c>
      <c r="J674" s="7">
        <v>0</v>
      </c>
      <c r="K674" s="7">
        <v>-5.3579739925191721E-3</v>
      </c>
      <c r="L674">
        <v>3.6315946901900351</v>
      </c>
      <c r="M674">
        <v>7.9364122441641754E-5</v>
      </c>
      <c r="N674" s="9"/>
      <c r="O674" s="3">
        <f>L674-M674</f>
        <v>3.6315153260675936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5.7848877771903059E-3</v>
      </c>
      <c r="I680" s="7">
        <v>1.1740304363337662E-2</v>
      </c>
      <c r="J680" s="7">
        <v>0</v>
      </c>
      <c r="K680" s="7">
        <v>0</v>
      </c>
      <c r="L680">
        <v>0.66775267347450074</v>
      </c>
      <c r="M680">
        <v>-1.741254419372746E-3</v>
      </c>
      <c r="N680" s="9"/>
      <c r="O680" s="3">
        <f>L680-M680</f>
        <v>0.66949392789387352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5.7848877771903059E-3</v>
      </c>
      <c r="I681" s="7">
        <v>0</v>
      </c>
      <c r="J681" s="7">
        <v>-1.4006688703909184E-2</v>
      </c>
      <c r="K681" s="7">
        <v>0</v>
      </c>
      <c r="L681">
        <v>4.0754124436814498</v>
      </c>
      <c r="M681">
        <v>-2.7147800149175173E-3</v>
      </c>
      <c r="N681" s="9"/>
      <c r="O681" s="3">
        <f>L681-M681</f>
        <v>4.0781272236963675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5.7848877771903059E-3</v>
      </c>
      <c r="I682" s="7">
        <v>0</v>
      </c>
      <c r="J682" s="7">
        <v>0</v>
      </c>
      <c r="K682" s="7">
        <v>-8.5708119146997823E-3</v>
      </c>
      <c r="L682">
        <v>2.216073124166746</v>
      </c>
      <c r="M682">
        <v>-6.6723827095050889E-4</v>
      </c>
      <c r="N682" s="9"/>
      <c r="O682" s="3">
        <f>L682-M682</f>
        <v>2.2167403624376965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5.7848877771903059E-3</v>
      </c>
      <c r="I688" s="7">
        <v>1.1740304363337662E-2</v>
      </c>
      <c r="J688" s="7">
        <v>0</v>
      </c>
      <c r="K688" s="7">
        <v>0</v>
      </c>
      <c r="L688">
        <v>0.66775267347450074</v>
      </c>
      <c r="M688">
        <v>-1.741254419372746E-3</v>
      </c>
      <c r="N688" s="9"/>
      <c r="O688" s="3">
        <f>L688-M688</f>
        <v>0.66949392789387352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5.7848877771903059E-3</v>
      </c>
      <c r="I689" s="7">
        <v>0</v>
      </c>
      <c r="J689" s="7">
        <v>-5.3579739925191721E-3</v>
      </c>
      <c r="K689" s="7">
        <v>0</v>
      </c>
      <c r="L689">
        <v>3.6315946901900351</v>
      </c>
      <c r="M689">
        <v>7.9364122441641754E-5</v>
      </c>
      <c r="N689" s="9"/>
      <c r="O689" s="3">
        <f>L689-M689</f>
        <v>3.6315153260675936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5.7848877771903059E-3</v>
      </c>
      <c r="I690" s="7">
        <v>0</v>
      </c>
      <c r="J690" s="7">
        <v>0</v>
      </c>
      <c r="K690" s="7">
        <v>-8.5708119146997823E-3</v>
      </c>
      <c r="L690">
        <v>2.216073124166746</v>
      </c>
      <c r="M690">
        <v>-6.6723827095050889E-4</v>
      </c>
      <c r="N690" s="9"/>
      <c r="O690" s="3">
        <f>L690-M690</f>
        <v>2.2167403624376965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5.7848877771903059E-3</v>
      </c>
      <c r="I700" s="7">
        <v>-1.4006688703909184E-2</v>
      </c>
      <c r="J700" s="7">
        <v>0</v>
      </c>
      <c r="K700" s="7">
        <v>0</v>
      </c>
      <c r="L700">
        <v>4.0754124436814498</v>
      </c>
      <c r="M700">
        <v>-2.7147800149175173E-3</v>
      </c>
      <c r="N700" s="9"/>
      <c r="O700" s="3">
        <f>L700-M700</f>
        <v>4.0781272236963675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5.7848877771903059E-3</v>
      </c>
      <c r="I701" s="7">
        <v>0</v>
      </c>
      <c r="J701" s="7">
        <v>-5.3579739925191721E-3</v>
      </c>
      <c r="K701" s="7">
        <v>0</v>
      </c>
      <c r="L701">
        <v>3.6315946901900351</v>
      </c>
      <c r="M701">
        <v>7.9364122441641754E-5</v>
      </c>
      <c r="N701" s="9"/>
      <c r="O701" s="3">
        <f>L701-M701</f>
        <v>3.6315153260675936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5.7848877771903059E-3</v>
      </c>
      <c r="I702" s="7">
        <v>0</v>
      </c>
      <c r="J702" s="7">
        <v>0</v>
      </c>
      <c r="K702" s="7">
        <v>-8.5708119146997823E-3</v>
      </c>
      <c r="L702">
        <v>2.216073124166746</v>
      </c>
      <c r="M702">
        <v>-6.6723827095050889E-4</v>
      </c>
      <c r="N702" s="9"/>
      <c r="O702" s="3">
        <f>L702-M702</f>
        <v>2.2167403624376965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5.3579739925191721E-3</v>
      </c>
      <c r="I732" s="7">
        <v>-1.0371747308879334E-2</v>
      </c>
      <c r="J732" s="7">
        <v>0</v>
      </c>
      <c r="K732" s="7">
        <v>0</v>
      </c>
      <c r="L732">
        <v>3.0923821493075776</v>
      </c>
      <c r="M732">
        <v>-1.3157489132348636E-3</v>
      </c>
      <c r="N732" s="9"/>
      <c r="O732" s="3">
        <f>L732-M732</f>
        <v>3.0936978982208125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5.3579739925191721E-3</v>
      </c>
      <c r="I733" s="7">
        <v>0</v>
      </c>
      <c r="J733" s="7">
        <v>1.1740304363337662E-2</v>
      </c>
      <c r="K733" s="7">
        <v>0</v>
      </c>
      <c r="L733">
        <v>4.4582929032762966</v>
      </c>
      <c r="M733">
        <v>-1.8206185418143878E-3</v>
      </c>
      <c r="N733" s="9"/>
      <c r="O733" s="3">
        <f>L733-M733</f>
        <v>4.4601135218181112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5.3579739925191721E-3</v>
      </c>
      <c r="I734" s="7">
        <v>0</v>
      </c>
      <c r="J734" s="7">
        <v>0</v>
      </c>
      <c r="K734" s="7">
        <v>-1.4006688703909184E-2</v>
      </c>
      <c r="L734">
        <v>0.90446106922389957</v>
      </c>
      <c r="M734">
        <v>-2.7941441373591593E-3</v>
      </c>
      <c r="N734" s="9"/>
      <c r="O734" s="3">
        <f>L734-M734</f>
        <v>0.90725521336125869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5.3579739925191721E-3</v>
      </c>
      <c r="I736" s="7">
        <v>-1.0371747308879334E-2</v>
      </c>
      <c r="J736" s="7">
        <v>0</v>
      </c>
      <c r="K736" s="7">
        <v>0</v>
      </c>
      <c r="L736">
        <v>3.0923821493075776</v>
      </c>
      <c r="M736">
        <v>-1.3157489132348636E-3</v>
      </c>
      <c r="N736" s="9"/>
      <c r="O736" s="3">
        <f>L736-M736</f>
        <v>3.0936978982208125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5.3579739925191721E-3</v>
      </c>
      <c r="I737" s="7">
        <v>0</v>
      </c>
      <c r="J737" s="7">
        <v>1.1740304363337662E-2</v>
      </c>
      <c r="K737" s="7">
        <v>0</v>
      </c>
      <c r="L737">
        <v>4.4582929032762966</v>
      </c>
      <c r="M737">
        <v>-1.8206185418143878E-3</v>
      </c>
      <c r="N737" s="9"/>
      <c r="O737" s="3">
        <f>L737-M737</f>
        <v>4.4601135218181112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5.3579739925191721E-3</v>
      </c>
      <c r="I738" s="7">
        <v>0</v>
      </c>
      <c r="J738" s="7">
        <v>0</v>
      </c>
      <c r="K738" s="7">
        <v>-5.7848877771903059E-3</v>
      </c>
      <c r="L738">
        <v>3.6315946901900351</v>
      </c>
      <c r="M738">
        <v>-7.9364122441641754E-5</v>
      </c>
      <c r="N738" s="9"/>
      <c r="O738" s="3">
        <f>L738-M738</f>
        <v>3.6316740543124766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5.3579739925191721E-3</v>
      </c>
      <c r="I744" s="7">
        <v>-1.0371747308879334E-2</v>
      </c>
      <c r="J744" s="7">
        <v>0</v>
      </c>
      <c r="K744" s="7">
        <v>0</v>
      </c>
      <c r="L744">
        <v>3.0923821493075776</v>
      </c>
      <c r="M744">
        <v>-1.3157489132348636E-3</v>
      </c>
      <c r="N744" s="9"/>
      <c r="O744" s="3">
        <f>L744-M744</f>
        <v>3.0936978982208125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5.3579739925191721E-3</v>
      </c>
      <c r="I745" s="7">
        <v>0</v>
      </c>
      <c r="J745" s="7">
        <v>1.1740304363337662E-2</v>
      </c>
      <c r="K745" s="7">
        <v>0</v>
      </c>
      <c r="L745">
        <v>4.4582929032762966</v>
      </c>
      <c r="M745">
        <v>-1.8206185418143878E-3</v>
      </c>
      <c r="N745" s="9"/>
      <c r="O745" s="3">
        <f>L745-M745</f>
        <v>4.4601135218181112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5.3579739925191721E-3</v>
      </c>
      <c r="I746" s="7">
        <v>0</v>
      </c>
      <c r="J746" s="7">
        <v>0</v>
      </c>
      <c r="K746" s="7">
        <v>-8.5708119146997823E-3</v>
      </c>
      <c r="L746">
        <v>0.83729667312269707</v>
      </c>
      <c r="M746">
        <v>-7.4660239339215063E-4</v>
      </c>
      <c r="N746" s="9"/>
      <c r="O746" s="3">
        <f>L746-M746</f>
        <v>0.83804327551608926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5.3579739925191721E-3</v>
      </c>
      <c r="I748" s="7">
        <v>-1.0371747308879334E-2</v>
      </c>
      <c r="J748" s="7">
        <v>0</v>
      </c>
      <c r="K748" s="7">
        <v>0</v>
      </c>
      <c r="L748">
        <v>3.0923821493075776</v>
      </c>
      <c r="M748">
        <v>-1.3157489132348636E-3</v>
      </c>
      <c r="N748" s="9"/>
      <c r="O748" s="3">
        <f>L748-M748</f>
        <v>3.0936978982208125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5.3579739925191721E-3</v>
      </c>
      <c r="I749" s="7">
        <v>0</v>
      </c>
      <c r="J749" s="7">
        <v>-1.4006688703909184E-2</v>
      </c>
      <c r="K749" s="7">
        <v>0</v>
      </c>
      <c r="L749">
        <v>0.90446106922389957</v>
      </c>
      <c r="M749">
        <v>-2.7941441373591593E-3</v>
      </c>
      <c r="N749" s="9"/>
      <c r="O749" s="3">
        <f>L749-M749</f>
        <v>0.90725521336125869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5.3579739925191721E-3</v>
      </c>
      <c r="I750" s="7">
        <v>0</v>
      </c>
      <c r="J750" s="7">
        <v>0</v>
      </c>
      <c r="K750" s="7">
        <v>-5.7848877771903059E-3</v>
      </c>
      <c r="L750">
        <v>3.6315946901900351</v>
      </c>
      <c r="M750">
        <v>-7.9364122441641754E-5</v>
      </c>
      <c r="N750" s="9"/>
      <c r="O750" s="3">
        <f>L750-M750</f>
        <v>3.6316740543124766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5.3579739925191721E-3</v>
      </c>
      <c r="I756" s="7">
        <v>-1.0371747308879334E-2</v>
      </c>
      <c r="J756" s="7">
        <v>0</v>
      </c>
      <c r="K756" s="7">
        <v>0</v>
      </c>
      <c r="L756">
        <v>3.0923821493075776</v>
      </c>
      <c r="M756">
        <v>-1.3157489132348636E-3</v>
      </c>
      <c r="N756" s="9"/>
      <c r="O756" s="3">
        <f>L756-M756</f>
        <v>3.0936978982208125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5.3579739925191721E-3</v>
      </c>
      <c r="I757" s="7">
        <v>0</v>
      </c>
      <c r="J757" s="7">
        <v>-1.4006688703909184E-2</v>
      </c>
      <c r="K757" s="7">
        <v>0</v>
      </c>
      <c r="L757">
        <v>0.90446106922389957</v>
      </c>
      <c r="M757">
        <v>-2.7941441373591593E-3</v>
      </c>
      <c r="N757" s="9"/>
      <c r="O757" s="3">
        <f>L757-M757</f>
        <v>0.90725521336125869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5.3579739925191721E-3</v>
      </c>
      <c r="I758" s="7">
        <v>0</v>
      </c>
      <c r="J758" s="7">
        <v>0</v>
      </c>
      <c r="K758" s="7">
        <v>-8.5708119146997823E-3</v>
      </c>
      <c r="L758">
        <v>0.83729667312269707</v>
      </c>
      <c r="M758">
        <v>-7.4660239339215063E-4</v>
      </c>
      <c r="N758" s="9"/>
      <c r="O758" s="3">
        <f>L758-M758</f>
        <v>0.83804327551608926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5.3579739925191721E-3</v>
      </c>
      <c r="I764" s="7">
        <v>-1.0371747308879334E-2</v>
      </c>
      <c r="J764" s="7">
        <v>0</v>
      </c>
      <c r="K764" s="7">
        <v>0</v>
      </c>
      <c r="L764">
        <v>3.0923821493075776</v>
      </c>
      <c r="M764">
        <v>-1.3157489132348636E-3</v>
      </c>
      <c r="N764" s="9"/>
      <c r="O764" s="3">
        <f>L764-M764</f>
        <v>3.0936978982208125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5.3579739925191721E-3</v>
      </c>
      <c r="I765" s="7">
        <v>0</v>
      </c>
      <c r="J765" s="7">
        <v>-5.7848877771903059E-3</v>
      </c>
      <c r="K765" s="7">
        <v>0</v>
      </c>
      <c r="L765">
        <v>3.6315946901900351</v>
      </c>
      <c r="M765">
        <v>-7.9364122441641754E-5</v>
      </c>
      <c r="N765" s="9"/>
      <c r="O765" s="3">
        <f>L765-M765</f>
        <v>3.6316740543124766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5.3579739925191721E-3</v>
      </c>
      <c r="I766" s="7">
        <v>0</v>
      </c>
      <c r="J766" s="7">
        <v>0</v>
      </c>
      <c r="K766" s="7">
        <v>-8.5708119146997823E-3</v>
      </c>
      <c r="L766">
        <v>0.83729667312269707</v>
      </c>
      <c r="M766">
        <v>-7.4660239339215063E-4</v>
      </c>
      <c r="N766" s="9"/>
      <c r="O766" s="3">
        <f>L766-M766</f>
        <v>0.83804327551608926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5.3579739925191721E-3</v>
      </c>
      <c r="I812" s="7">
        <v>1.1740304363337662E-2</v>
      </c>
      <c r="J812" s="7">
        <v>0</v>
      </c>
      <c r="K812" s="7">
        <v>0</v>
      </c>
      <c r="L812">
        <v>4.4582929032762966</v>
      </c>
      <c r="M812">
        <v>-1.8206185418143878E-3</v>
      </c>
      <c r="N812" s="9"/>
      <c r="O812" s="3">
        <f>L812-M812</f>
        <v>4.4601135218181112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5.3579739925191721E-3</v>
      </c>
      <c r="I813" s="7">
        <v>0</v>
      </c>
      <c r="J813" s="7">
        <v>-1.4006688703909184E-2</v>
      </c>
      <c r="K813" s="7">
        <v>0</v>
      </c>
      <c r="L813">
        <v>0.90446106922389957</v>
      </c>
      <c r="M813">
        <v>-2.7941441373591593E-3</v>
      </c>
      <c r="N813" s="9"/>
      <c r="O813" s="3">
        <f>L813-M813</f>
        <v>0.90725521336125869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5.3579739925191721E-3</v>
      </c>
      <c r="I814" s="7">
        <v>0</v>
      </c>
      <c r="J814" s="7">
        <v>0</v>
      </c>
      <c r="K814" s="7">
        <v>-5.7848877771903059E-3</v>
      </c>
      <c r="L814">
        <v>3.6315946901900351</v>
      </c>
      <c r="M814">
        <v>-7.9364122441641754E-5</v>
      </c>
      <c r="N814" s="9"/>
      <c r="O814" s="3">
        <f>L814-M814</f>
        <v>3.6316740543124766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5.3579739925191721E-3</v>
      </c>
      <c r="I820" s="7">
        <v>1.1740304363337662E-2</v>
      </c>
      <c r="J820" s="7">
        <v>0</v>
      </c>
      <c r="K820" s="7">
        <v>0</v>
      </c>
      <c r="L820">
        <v>4.4582929032762966</v>
      </c>
      <c r="M820">
        <v>-1.8206185418143878E-3</v>
      </c>
      <c r="N820" s="9"/>
      <c r="O820" s="3">
        <f>L820-M820</f>
        <v>4.4601135218181112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5.3579739925191721E-3</v>
      </c>
      <c r="I821" s="7">
        <v>0</v>
      </c>
      <c r="J821" s="7">
        <v>-1.4006688703909184E-2</v>
      </c>
      <c r="K821" s="7">
        <v>0</v>
      </c>
      <c r="L821">
        <v>0.90446106922389957</v>
      </c>
      <c r="M821">
        <v>-2.7941441373591593E-3</v>
      </c>
      <c r="N821" s="9"/>
      <c r="O821" s="3">
        <f>L821-M821</f>
        <v>0.90725521336125869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5.3579739925191721E-3</v>
      </c>
      <c r="I822" s="7">
        <v>0</v>
      </c>
      <c r="J822" s="7">
        <v>0</v>
      </c>
      <c r="K822" s="7">
        <v>-8.5708119146997823E-3</v>
      </c>
      <c r="L822">
        <v>0.83729667312269707</v>
      </c>
      <c r="M822">
        <v>-7.4660239339215063E-4</v>
      </c>
      <c r="N822" s="9"/>
      <c r="O822" s="3">
        <f>L822-M822</f>
        <v>0.83804327551608926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5.3579739925191721E-3</v>
      </c>
      <c r="I828" s="7">
        <v>1.1740304363337662E-2</v>
      </c>
      <c r="J828" s="7">
        <v>0</v>
      </c>
      <c r="K828" s="7">
        <v>0</v>
      </c>
      <c r="L828">
        <v>4.4582929032762966</v>
      </c>
      <c r="M828">
        <v>-1.8206185418143878E-3</v>
      </c>
      <c r="N828" s="9"/>
      <c r="O828" s="3">
        <f>L828-M828</f>
        <v>4.4601135218181112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5.3579739925191721E-3</v>
      </c>
      <c r="I829" s="7">
        <v>0</v>
      </c>
      <c r="J829" s="7">
        <v>-5.7848877771903059E-3</v>
      </c>
      <c r="K829" s="7">
        <v>0</v>
      </c>
      <c r="L829">
        <v>3.6315946901900351</v>
      </c>
      <c r="M829">
        <v>-7.9364122441641754E-5</v>
      </c>
      <c r="N829" s="9"/>
      <c r="O829" s="3">
        <f>L829-M829</f>
        <v>3.6316740543124766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5.3579739925191721E-3</v>
      </c>
      <c r="I830" s="7">
        <v>0</v>
      </c>
      <c r="J830" s="7">
        <v>0</v>
      </c>
      <c r="K830" s="7">
        <v>-8.5708119146997823E-3</v>
      </c>
      <c r="L830">
        <v>0.83729667312269707</v>
      </c>
      <c r="M830">
        <v>-7.4660239339215063E-4</v>
      </c>
      <c r="N830" s="9"/>
      <c r="O830" s="3">
        <f>L830-M830</f>
        <v>0.83804327551608926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5.3579739925191721E-3</v>
      </c>
      <c r="I840" s="7">
        <v>-1.4006688703909184E-2</v>
      </c>
      <c r="J840" s="7">
        <v>0</v>
      </c>
      <c r="K840" s="7">
        <v>0</v>
      </c>
      <c r="L840">
        <v>0.90446106922389957</v>
      </c>
      <c r="M840">
        <v>-2.7941441373591593E-3</v>
      </c>
      <c r="N840" s="9"/>
      <c r="O840" s="3">
        <f>L840-M840</f>
        <v>0.90725521336125869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5.3579739925191721E-3</v>
      </c>
      <c r="I841" s="7">
        <v>0</v>
      </c>
      <c r="J841" s="7">
        <v>-5.7848877771903059E-3</v>
      </c>
      <c r="K841" s="7">
        <v>0</v>
      </c>
      <c r="L841">
        <v>3.6315946901900351</v>
      </c>
      <c r="M841">
        <v>-7.9364122441641754E-5</v>
      </c>
      <c r="N841" s="9"/>
      <c r="O841" s="3">
        <f>L841-M841</f>
        <v>3.6316740543124766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5.3579739925191721E-3</v>
      </c>
      <c r="I842" s="7">
        <v>0</v>
      </c>
      <c r="J842" s="7">
        <v>0</v>
      </c>
      <c r="K842" s="7">
        <v>-8.5708119146997823E-3</v>
      </c>
      <c r="L842">
        <v>0.83729667312269707</v>
      </c>
      <c r="M842">
        <v>-7.4660239339215063E-4</v>
      </c>
      <c r="N842" s="9"/>
      <c r="O842" s="3">
        <f>L842-M842</f>
        <v>0.83804327551608926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8.5708119146997823E-3</v>
      </c>
      <c r="I1012" s="7">
        <v>-1.0371747308879334E-2</v>
      </c>
      <c r="J1012" s="7">
        <v>0</v>
      </c>
      <c r="K1012" s="7">
        <v>0</v>
      </c>
      <c r="L1012">
        <v>2.803142180904064</v>
      </c>
      <c r="M1012">
        <v>-5.691465198427129E-4</v>
      </c>
      <c r="N1012" s="9"/>
      <c r="O1012" s="3">
        <f>L1012-M1012</f>
        <v>2.8037113274239065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8.5708119146997823E-3</v>
      </c>
      <c r="I1013" s="7">
        <v>0</v>
      </c>
      <c r="J1013" s="7">
        <v>1.1740304363337662E-2</v>
      </c>
      <c r="K1013" s="7">
        <v>0</v>
      </c>
      <c r="L1013">
        <v>3.7190693025902282</v>
      </c>
      <c r="M1013">
        <v>-1.0740161484222371E-3</v>
      </c>
      <c r="N1013" s="9"/>
      <c r="O1013" s="3">
        <f>L1013-M1013</f>
        <v>3.7201433187386503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8.5708119146997823E-3</v>
      </c>
      <c r="I1014" s="7">
        <v>0</v>
      </c>
      <c r="J1014" s="7">
        <v>0</v>
      </c>
      <c r="K1014" s="7">
        <v>-1.4006688703909184E-2</v>
      </c>
      <c r="L1014">
        <v>2.3682128123525694</v>
      </c>
      <c r="M1014">
        <v>-2.0475417439670082E-3</v>
      </c>
      <c r="N1014" s="9"/>
      <c r="O1014" s="3">
        <f>L1014-M1014</f>
        <v>2.3702603540965366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8.5708119146997823E-3</v>
      </c>
      <c r="I1016" s="7">
        <v>-1.0371747308879334E-2</v>
      </c>
      <c r="J1016" s="7">
        <v>0</v>
      </c>
      <c r="K1016" s="7">
        <v>0</v>
      </c>
      <c r="L1016">
        <v>2.803142180904064</v>
      </c>
      <c r="M1016">
        <v>-5.691465198427129E-4</v>
      </c>
      <c r="N1016" s="9"/>
      <c r="O1016" s="3">
        <f>L1016-M1016</f>
        <v>2.8037113274239065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8.5708119146997823E-3</v>
      </c>
      <c r="I1017" s="7">
        <v>0</v>
      </c>
      <c r="J1017" s="7">
        <v>1.1740304363337662E-2</v>
      </c>
      <c r="K1017" s="7">
        <v>0</v>
      </c>
      <c r="L1017">
        <v>3.7190693025902282</v>
      </c>
      <c r="M1017">
        <v>-1.0740161484222371E-3</v>
      </c>
      <c r="N1017" s="9"/>
      <c r="O1017" s="3">
        <f>L1017-M1017</f>
        <v>3.7201433187386503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8.5708119146997823E-3</v>
      </c>
      <c r="I1018" s="7">
        <v>0</v>
      </c>
      <c r="J1018" s="7">
        <v>0</v>
      </c>
      <c r="K1018" s="7">
        <v>-5.7848877771903059E-3</v>
      </c>
      <c r="L1018">
        <v>2.216073124166746</v>
      </c>
      <c r="M1018">
        <v>6.6723827095050889E-4</v>
      </c>
      <c r="N1018" s="9"/>
      <c r="O1018" s="3">
        <f>L1018-M1018</f>
        <v>2.2154058858957955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8.5708119146997823E-3</v>
      </c>
      <c r="I1020" s="7">
        <v>-1.0371747308879334E-2</v>
      </c>
      <c r="J1020" s="7">
        <v>0</v>
      </c>
      <c r="K1020" s="7">
        <v>0</v>
      </c>
      <c r="L1020">
        <v>2.803142180904064</v>
      </c>
      <c r="M1020">
        <v>-5.691465198427129E-4</v>
      </c>
      <c r="N1020" s="9"/>
      <c r="O1020" s="3">
        <f>L1020-M1020</f>
        <v>2.8037113274239065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8.5708119146997823E-3</v>
      </c>
      <c r="I1021" s="7">
        <v>0</v>
      </c>
      <c r="J1021" s="7">
        <v>1.1740304363337662E-2</v>
      </c>
      <c r="K1021" s="7">
        <v>0</v>
      </c>
      <c r="L1021">
        <v>3.7190693025902282</v>
      </c>
      <c r="M1021">
        <v>-1.0740161484222371E-3</v>
      </c>
      <c r="N1021" s="9"/>
      <c r="O1021" s="3">
        <f>L1021-M1021</f>
        <v>3.7201433187386503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8.5708119146997823E-3</v>
      </c>
      <c r="I1022" s="7">
        <v>0</v>
      </c>
      <c r="J1022" s="7">
        <v>0</v>
      </c>
      <c r="K1022" s="7">
        <v>-5.3579739925191721E-3</v>
      </c>
      <c r="L1022">
        <v>0.83729667312269707</v>
      </c>
      <c r="M1022">
        <v>7.4660239339215063E-4</v>
      </c>
      <c r="N1022" s="9"/>
      <c r="O1022" s="3">
        <f>L1022-M1022</f>
        <v>0.83655007072930487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8.5708119146997823E-3</v>
      </c>
      <c r="I1028" s="7">
        <v>-1.0371747308879334E-2</v>
      </c>
      <c r="J1028" s="7">
        <v>0</v>
      </c>
      <c r="K1028" s="7">
        <v>0</v>
      </c>
      <c r="L1028">
        <v>2.803142180904064</v>
      </c>
      <c r="M1028">
        <v>-5.691465198427129E-4</v>
      </c>
      <c r="N1028" s="9"/>
      <c r="O1028" s="3">
        <f>L1028-M1028</f>
        <v>2.8037113274239065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8.5708119146997823E-3</v>
      </c>
      <c r="I1029" s="7">
        <v>0</v>
      </c>
      <c r="J1029" s="7">
        <v>-1.4006688703909184E-2</v>
      </c>
      <c r="K1029" s="7">
        <v>0</v>
      </c>
      <c r="L1029">
        <v>2.3682128123525694</v>
      </c>
      <c r="M1029">
        <v>-2.0475417439670082E-3</v>
      </c>
      <c r="N1029" s="9"/>
      <c r="O1029" s="3">
        <f>L1029-M1029</f>
        <v>2.3702603540965366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8.5708119146997823E-3</v>
      </c>
      <c r="I1030" s="7">
        <v>0</v>
      </c>
      <c r="J1030" s="7">
        <v>0</v>
      </c>
      <c r="K1030" s="7">
        <v>-5.7848877771903059E-3</v>
      </c>
      <c r="L1030">
        <v>2.216073124166746</v>
      </c>
      <c r="M1030">
        <v>6.6723827095050889E-4</v>
      </c>
      <c r="N1030" s="9"/>
      <c r="O1030" s="3">
        <f>L1030-M1030</f>
        <v>2.2154058858957955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8.5708119146997823E-3</v>
      </c>
      <c r="I1032" s="7">
        <v>-1.0371747308879334E-2</v>
      </c>
      <c r="J1032" s="7">
        <v>0</v>
      </c>
      <c r="K1032" s="7">
        <v>0</v>
      </c>
      <c r="L1032">
        <v>2.803142180904064</v>
      </c>
      <c r="M1032">
        <v>-5.691465198427129E-4</v>
      </c>
      <c r="N1032" s="9"/>
      <c r="O1032" s="3">
        <f>L1032-M1032</f>
        <v>2.8037113274239065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8.5708119146997823E-3</v>
      </c>
      <c r="I1033" s="7">
        <v>0</v>
      </c>
      <c r="J1033" s="7">
        <v>-1.4006688703909184E-2</v>
      </c>
      <c r="K1033" s="7">
        <v>0</v>
      </c>
      <c r="L1033">
        <v>2.3682128123525694</v>
      </c>
      <c r="M1033">
        <v>-2.0475417439670082E-3</v>
      </c>
      <c r="N1033" s="9"/>
      <c r="O1033" s="3">
        <f>L1033-M1033</f>
        <v>2.3702603540965366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8.5708119146997823E-3</v>
      </c>
      <c r="I1034" s="7">
        <v>0</v>
      </c>
      <c r="J1034" s="7">
        <v>0</v>
      </c>
      <c r="K1034" s="7">
        <v>-5.3579739925191721E-3</v>
      </c>
      <c r="L1034">
        <v>0.83729667312269707</v>
      </c>
      <c r="M1034">
        <v>7.4660239339215063E-4</v>
      </c>
      <c r="N1034" s="9"/>
      <c r="O1034" s="3">
        <f>L1034-M1034</f>
        <v>0.83655007072930487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8.5708119146997823E-3</v>
      </c>
      <c r="I1040" s="7">
        <v>-1.0371747308879334E-2</v>
      </c>
      <c r="J1040" s="7">
        <v>0</v>
      </c>
      <c r="K1040" s="7">
        <v>0</v>
      </c>
      <c r="L1040">
        <v>2.803142180904064</v>
      </c>
      <c r="M1040">
        <v>-5.691465198427129E-4</v>
      </c>
      <c r="N1040" s="9"/>
      <c r="O1040" s="3">
        <f>L1040-M1040</f>
        <v>2.8037113274239065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8.5708119146997823E-3</v>
      </c>
      <c r="I1041" s="7">
        <v>0</v>
      </c>
      <c r="J1041" s="7">
        <v>-5.7848877771903059E-3</v>
      </c>
      <c r="K1041" s="7">
        <v>0</v>
      </c>
      <c r="L1041">
        <v>2.216073124166746</v>
      </c>
      <c r="M1041">
        <v>6.6723827095050889E-4</v>
      </c>
      <c r="N1041" s="9"/>
      <c r="O1041" s="3">
        <f>L1041-M1041</f>
        <v>2.2154058858957955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8.5708119146997823E-3</v>
      </c>
      <c r="I1042" s="7">
        <v>0</v>
      </c>
      <c r="J1042" s="7">
        <v>0</v>
      </c>
      <c r="K1042" s="7">
        <v>-5.3579739925191721E-3</v>
      </c>
      <c r="L1042">
        <v>0.83729667312269707</v>
      </c>
      <c r="M1042">
        <v>7.4660239339215063E-4</v>
      </c>
      <c r="N1042" s="9"/>
      <c r="O1042" s="3">
        <f>L1042-M1042</f>
        <v>0.83655007072930487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8.5708119146997823E-3</v>
      </c>
      <c r="I1092" s="7">
        <v>1.1740304363337662E-2</v>
      </c>
      <c r="J1092" s="7">
        <v>0</v>
      </c>
      <c r="K1092" s="7">
        <v>0</v>
      </c>
      <c r="L1092">
        <v>3.7190693025902282</v>
      </c>
      <c r="M1092">
        <v>-1.0740161484222371E-3</v>
      </c>
      <c r="N1092" s="9"/>
      <c r="O1092" s="3">
        <f>L1092-M1092</f>
        <v>3.7201433187386503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8.5708119146997823E-3</v>
      </c>
      <c r="I1093" s="7">
        <v>0</v>
      </c>
      <c r="J1093" s="7">
        <v>-1.4006688703909184E-2</v>
      </c>
      <c r="K1093" s="7">
        <v>0</v>
      </c>
      <c r="L1093">
        <v>2.3682128123525694</v>
      </c>
      <c r="M1093">
        <v>-2.0475417439670082E-3</v>
      </c>
      <c r="N1093" s="9"/>
      <c r="O1093" s="3">
        <f>L1093-M1093</f>
        <v>2.3702603540965366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8.5708119146997823E-3</v>
      </c>
      <c r="I1094" s="7">
        <v>0</v>
      </c>
      <c r="J1094" s="7">
        <v>0</v>
      </c>
      <c r="K1094" s="7">
        <v>-5.7848877771903059E-3</v>
      </c>
      <c r="L1094">
        <v>2.216073124166746</v>
      </c>
      <c r="M1094">
        <v>6.6723827095050889E-4</v>
      </c>
      <c r="N1094" s="9"/>
      <c r="O1094" s="3">
        <f>L1094-M1094</f>
        <v>2.2154058858957955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8.5708119146997823E-3</v>
      </c>
      <c r="I1096" s="7">
        <v>1.1740304363337662E-2</v>
      </c>
      <c r="J1096" s="7">
        <v>0</v>
      </c>
      <c r="K1096" s="7">
        <v>0</v>
      </c>
      <c r="L1096">
        <v>3.7190693025902282</v>
      </c>
      <c r="M1096">
        <v>-1.0740161484222371E-3</v>
      </c>
      <c r="N1096" s="9"/>
      <c r="O1096" s="3">
        <f>L1096-M1096</f>
        <v>3.7201433187386503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8.5708119146997823E-3</v>
      </c>
      <c r="I1097" s="7">
        <v>0</v>
      </c>
      <c r="J1097" s="7">
        <v>-1.4006688703909184E-2</v>
      </c>
      <c r="K1097" s="7">
        <v>0</v>
      </c>
      <c r="L1097">
        <v>2.3682128123525694</v>
      </c>
      <c r="M1097">
        <v>-2.0475417439670082E-3</v>
      </c>
      <c r="N1097" s="9"/>
      <c r="O1097" s="3">
        <f>L1097-M1097</f>
        <v>2.3702603540965366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8.5708119146997823E-3</v>
      </c>
      <c r="I1098" s="7">
        <v>0</v>
      </c>
      <c r="J1098" s="7">
        <v>0</v>
      </c>
      <c r="K1098" s="7">
        <v>-5.3579739925191721E-3</v>
      </c>
      <c r="L1098">
        <v>0.83729667312269707</v>
      </c>
      <c r="M1098">
        <v>7.4660239339215063E-4</v>
      </c>
      <c r="N1098" s="9"/>
      <c r="O1098" s="3">
        <f>L1098-M1098</f>
        <v>0.83655007072930487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8.5708119146997823E-3</v>
      </c>
      <c r="I1104" s="7">
        <v>1.1740304363337662E-2</v>
      </c>
      <c r="J1104" s="7">
        <v>0</v>
      </c>
      <c r="K1104" s="7">
        <v>0</v>
      </c>
      <c r="L1104">
        <v>3.7190693025902282</v>
      </c>
      <c r="M1104">
        <v>-1.0740161484222371E-3</v>
      </c>
      <c r="N1104" s="9"/>
      <c r="O1104" s="3">
        <f>L1104-M1104</f>
        <v>3.7201433187386503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8.5708119146997823E-3</v>
      </c>
      <c r="I1105" s="7">
        <v>0</v>
      </c>
      <c r="J1105" s="7">
        <v>-5.7848877771903059E-3</v>
      </c>
      <c r="K1105" s="7">
        <v>0</v>
      </c>
      <c r="L1105">
        <v>2.216073124166746</v>
      </c>
      <c r="M1105">
        <v>6.6723827095050889E-4</v>
      </c>
      <c r="N1105" s="9"/>
      <c r="O1105" s="3">
        <f>L1105-M1105</f>
        <v>2.2154058858957955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8.5708119146997823E-3</v>
      </c>
      <c r="I1106" s="7">
        <v>0</v>
      </c>
      <c r="J1106" s="7">
        <v>0</v>
      </c>
      <c r="K1106" s="7">
        <v>-5.3579739925191721E-3</v>
      </c>
      <c r="L1106">
        <v>0.83729667312269707</v>
      </c>
      <c r="M1106">
        <v>7.4660239339215063E-4</v>
      </c>
      <c r="N1106" s="9"/>
      <c r="O1106" s="3">
        <f>L1106-M1106</f>
        <v>0.83655007072930487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8.5708119146997823E-3</v>
      </c>
      <c r="I1116" s="7">
        <v>-1.4006688703909184E-2</v>
      </c>
      <c r="J1116" s="7">
        <v>0</v>
      </c>
      <c r="K1116" s="7">
        <v>0</v>
      </c>
      <c r="L1116">
        <v>2.3682128123525694</v>
      </c>
      <c r="M1116">
        <v>-2.0475417439670082E-3</v>
      </c>
      <c r="N1116" s="9"/>
      <c r="O1116" s="3">
        <f>L1116-M1116</f>
        <v>2.3702603540965366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8.5708119146997823E-3</v>
      </c>
      <c r="I1117" s="7">
        <v>0</v>
      </c>
      <c r="J1117" s="7">
        <v>-5.7848877771903059E-3</v>
      </c>
      <c r="K1117" s="7">
        <v>0</v>
      </c>
      <c r="L1117">
        <v>2.216073124166746</v>
      </c>
      <c r="M1117">
        <v>6.6723827095050889E-4</v>
      </c>
      <c r="N1117" s="9"/>
      <c r="O1117" s="3">
        <f>L1117-M1117</f>
        <v>2.2154058858957955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8.5708119146997823E-3</v>
      </c>
      <c r="I1118" s="7">
        <v>0</v>
      </c>
      <c r="J1118" s="7">
        <v>0</v>
      </c>
      <c r="K1118" s="7">
        <v>-5.3579739925191721E-3</v>
      </c>
      <c r="L1118">
        <v>0.83729667312269707</v>
      </c>
      <c r="M1118">
        <v>7.4660239339215063E-4</v>
      </c>
      <c r="N1118" s="9"/>
      <c r="O1118" s="3">
        <f>L1118-M1118</f>
        <v>0.83655007072930487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N1810"/>
  <sheetViews>
    <sheetView tabSelected="1" zoomScale="70" zoomScaleNormal="70" workbookViewId="0">
      <selection activeCell="W11" sqref="W11"/>
    </sheetView>
  </sheetViews>
  <sheetFormatPr baseColWidth="10" defaultRowHeight="15"/>
  <cols>
    <col min="29" max="29" width="12.140625" customWidth="1"/>
  </cols>
  <sheetData>
    <row r="2" spans="1:4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4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4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40">
      <c r="A5">
        <v>-0.94868275099113508</v>
      </c>
      <c r="B5">
        <v>-0.21765943642614816</v>
      </c>
      <c r="C5">
        <v>-0.70600588920548457</v>
      </c>
      <c r="D5">
        <v>0.86269017458101716</v>
      </c>
      <c r="E5">
        <v>0.31343012109142965</v>
      </c>
      <c r="F5">
        <v>-0.71675598359175785</v>
      </c>
      <c r="G5">
        <v>0.94137689680430992</v>
      </c>
      <c r="H5">
        <v>0.31973377908710998</v>
      </c>
      <c r="I5">
        <v>0.50319353160141511</v>
      </c>
      <c r="J5">
        <v>0.64877228208115967</v>
      </c>
    </row>
    <row r="6" spans="1:4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6" t="s">
        <v>306</v>
      </c>
      <c r="M6" s="36"/>
      <c r="N6" s="36"/>
      <c r="P6" s="13" t="s">
        <v>311</v>
      </c>
      <c r="Q6" s="13"/>
      <c r="R6" s="13" t="s">
        <v>310</v>
      </c>
      <c r="W6" t="s">
        <v>315</v>
      </c>
    </row>
    <row r="7" spans="1:40">
      <c r="A7">
        <v>-0.94868275099113508</v>
      </c>
      <c r="B7">
        <v>-0.21765943642614816</v>
      </c>
      <c r="C7">
        <v>-0.70600588920548457</v>
      </c>
      <c r="D7">
        <v>0.86269017458101716</v>
      </c>
      <c r="E7">
        <v>0.31343012109142965</v>
      </c>
      <c r="F7">
        <v>-0.71675598359175785</v>
      </c>
      <c r="G7">
        <v>0.94137689680430992</v>
      </c>
      <c r="H7">
        <v>0.31973377908710998</v>
      </c>
      <c r="I7">
        <v>0.50319353160141511</v>
      </c>
      <c r="J7">
        <v>0.64877228208115967</v>
      </c>
      <c r="L7">
        <f t="array" ref="L7:N7">TRANSPOSE(MMULT(A2:J4,TRANSPOSE(A7:J7)))</f>
        <v>-1.6293983486453105</v>
      </c>
      <c r="M7">
        <v>0.47002194803509945</v>
      </c>
      <c r="N7">
        <v>-0.99136560874491619</v>
      </c>
      <c r="P7">
        <f>(L7-(K2-L2))^2+(M7-(K3-L3))^2+(N7-(K4-L4))^2</f>
        <v>17.035242902705761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40">
      <c r="A8" s="12">
        <f t="shared" ref="A8:F8" ca="1" si="0">RAND()-RAND()</f>
        <v>-0.19552049543788552</v>
      </c>
      <c r="B8" s="12">
        <f t="shared" ca="1" si="0"/>
        <v>-7.342181226071709E-2</v>
      </c>
      <c r="C8" s="12">
        <f t="shared" ca="1" si="0"/>
        <v>-0.25484738024871167</v>
      </c>
      <c r="D8" s="12">
        <f t="shared" ca="1" si="0"/>
        <v>-0.74733751243548685</v>
      </c>
      <c r="E8" s="12">
        <f t="shared" ca="1" si="0"/>
        <v>-0.31790286644265375</v>
      </c>
      <c r="F8" s="12">
        <f t="shared" ca="1" si="0"/>
        <v>-0.11595497437726632</v>
      </c>
      <c r="G8" s="12">
        <f ca="1">RAND()</f>
        <v>1.4185883678727862E-3</v>
      </c>
      <c r="H8" s="12">
        <f ca="1">RAND()</f>
        <v>0.62526149374493878</v>
      </c>
      <c r="I8" s="12">
        <f ca="1">RAND()</f>
        <v>0.89536281639648596</v>
      </c>
      <c r="J8" s="12">
        <f ca="1">RAND()</f>
        <v>0.10010850782464464</v>
      </c>
      <c r="L8" s="12">
        <f ca="1">RANDBETWEEN(-4,4)*RAND()</f>
        <v>-0.65359400828922176</v>
      </c>
      <c r="M8" s="12">
        <f ca="1">RANDBETWEEN(-4,4)*RAND()</f>
        <v>1.8588205481886857</v>
      </c>
      <c r="N8" s="12">
        <f ca="1">RANDBETWEEN(-4,4)*RAND()</f>
        <v>-0.5904559787391026</v>
      </c>
      <c r="O8" s="12">
        <f ca="1">RANDBETWEEN(-10,10)</f>
        <v>7</v>
      </c>
      <c r="P8" s="12">
        <f ca="1">RANDBETWEEN(-10,10)</f>
        <v>-8</v>
      </c>
      <c r="Q8" s="12">
        <f ca="1">RANDBETWEEN(-10,10)</f>
        <v>-6</v>
      </c>
      <c r="R8" s="12">
        <f ca="1">RANDBETWEEN(1,10)</f>
        <v>8</v>
      </c>
      <c r="S8" s="12">
        <f ca="1">RANDBETWEEN(1,10)</f>
        <v>1</v>
      </c>
      <c r="T8" s="12">
        <f ca="1">RANDBETWEEN(1,10)</f>
        <v>4</v>
      </c>
      <c r="U8" s="12">
        <f ca="1">RANDBETWEEN(1,10)</f>
        <v>8</v>
      </c>
    </row>
    <row r="9" spans="1:4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4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6" t="s">
        <v>306</v>
      </c>
      <c r="M10" s="36"/>
      <c r="N10" s="36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40">
      <c r="A11">
        <v>1.1496973219244994E-2</v>
      </c>
      <c r="B11">
        <v>0.96164028759807929</v>
      </c>
      <c r="C11">
        <v>1.1004293047575711</v>
      </c>
      <c r="D11">
        <v>-0.62053091429267371</v>
      </c>
      <c r="E11">
        <v>-0.24167307728269619</v>
      </c>
      <c r="F11">
        <v>-0.23952455834939057</v>
      </c>
      <c r="G11">
        <v>0.18970771367731856</v>
      </c>
      <c r="H11">
        <v>0.69531423621833699</v>
      </c>
      <c r="I11">
        <v>0.84702031902417207</v>
      </c>
      <c r="J11">
        <v>0.43814821806897647</v>
      </c>
      <c r="L11">
        <v>0.84174674599997834</v>
      </c>
      <c r="M11">
        <v>1.572574809941568</v>
      </c>
      <c r="N11">
        <v>1.8988188432927151</v>
      </c>
      <c r="P11">
        <v>2.5254863856396565E-13</v>
      </c>
      <c r="R11">
        <v>4.1077299473399771</v>
      </c>
      <c r="S11">
        <v>4.1121618081555962</v>
      </c>
      <c r="T11">
        <v>1</v>
      </c>
      <c r="U11">
        <v>2.2799826303688588</v>
      </c>
      <c r="W11">
        <f ca="1">MEDIAN(OFFSET(A$11,(ROW(A1)-1)*$W$7,0,$W$7,1))</f>
        <v>1.0237637445365461E-2</v>
      </c>
      <c r="X11">
        <f ca="1">MEDIAN(OFFSET(B$11,(ROW(B1)-1)*$W$7,0,$W$7,1))</f>
        <v>0.95572558190180201</v>
      </c>
      <c r="Y11">
        <f ca="1">MEDIAN(OFFSET(C$11,(ROW(C1)-1)*$W$7,0,$W$7,1))</f>
        <v>1.1210714166221798</v>
      </c>
      <c r="AA11">
        <v>1.1299999999999999</v>
      </c>
      <c r="AB11">
        <f ca="1">(W11^2+X11^2+Y11^2)</f>
        <v>2.1703173182892619</v>
      </c>
      <c r="AC11" s="14">
        <f ca="1">ABS(1-AB11/AA11)</f>
        <v>0.92063479494624967</v>
      </c>
      <c r="AD11">
        <f ca="1">ABS(AA11-AB11)</f>
        <v>1.040317318289262</v>
      </c>
      <c r="AE11" s="14">
        <f ca="1">1-AC11</f>
        <v>7.9365205053750332E-2</v>
      </c>
      <c r="AG11" s="3">
        <f ca="1">OFFSET($AE11,(COLUMN(A1)-1)*10,0,1,1)</f>
        <v>7.9365205053750332E-2</v>
      </c>
      <c r="AH11" s="3">
        <f t="shared" ref="AH11:AL20" ca="1" si="1">OFFSET($AE11,(COLUMN(B1)-1)*10,0,1,1)</f>
        <v>0.85650196002849777</v>
      </c>
      <c r="AI11" s="3">
        <f t="shared" ca="1" si="1"/>
        <v>0.94122516729175509</v>
      </c>
      <c r="AJ11" s="3">
        <f t="shared" ca="1" si="1"/>
        <v>0.83301935127615678</v>
      </c>
      <c r="AK11" s="3">
        <f t="shared" ca="1" si="1"/>
        <v>0.68981075770901623</v>
      </c>
      <c r="AL11" s="3">
        <f t="shared" ca="1" si="1"/>
        <v>0.38422410938518836</v>
      </c>
      <c r="AN11" s="7"/>
    </row>
    <row r="12" spans="1:40">
      <c r="A12">
        <v>9.9549321898332287E-3</v>
      </c>
      <c r="B12">
        <v>0.94940071504116175</v>
      </c>
      <c r="C12">
        <v>1.1383000718312299</v>
      </c>
      <c r="D12">
        <v>0.45403868394871699</v>
      </c>
      <c r="E12">
        <v>-8.3900092967842912E-2</v>
      </c>
      <c r="F12">
        <v>-7.2114711419642347E-2</v>
      </c>
      <c r="G12">
        <v>0.37063890213456313</v>
      </c>
      <c r="H12">
        <v>0.25387921215635717</v>
      </c>
      <c r="I12">
        <v>0</v>
      </c>
      <c r="J12">
        <v>7.2682381031039425E-2</v>
      </c>
      <c r="L12">
        <v>0.84174669603805474</v>
      </c>
      <c r="M12">
        <v>1.572574596038298</v>
      </c>
      <c r="N12">
        <v>1.8988188530088115</v>
      </c>
      <c r="P12">
        <v>4.0258422278719962E-13</v>
      </c>
      <c r="R12">
        <v>4.1077299473399771</v>
      </c>
      <c r="S12">
        <v>4.1121618081555962</v>
      </c>
      <c r="T12">
        <v>1</v>
      </c>
      <c r="U12">
        <v>2.2799826303688588</v>
      </c>
      <c r="W12">
        <f t="shared" ref="W12:W20" ca="1" si="2">MEDIAN(OFFSET(A$11,(ROW(A2)-1)*$W$7,0,$W$7,1))</f>
        <v>5.1310032886634396E-2</v>
      </c>
      <c r="X12">
        <f t="shared" ref="X12:X20" ca="1" si="3">MEDIAN(OFFSET(B$11,(ROW(B2)-1)*$W$7,0,$W$7,1))</f>
        <v>1.0725398198828653</v>
      </c>
      <c r="Y12">
        <f t="shared" ref="Y12:Y20" ca="1" si="4">MEDIAN(OFFSET(C$11,(ROW(C2)-1)*$W$7,0,$W$7,1))</f>
        <v>1.0752739637572224</v>
      </c>
      <c r="AA12">
        <v>1.1299999999999999</v>
      </c>
      <c r="AB12">
        <f t="shared" ref="AB12:AB70" ca="1" si="5">(W12^2+X12^2+Y12^2)</f>
        <v>2.309188481843365</v>
      </c>
      <c r="AC12" s="14">
        <f t="shared" ref="AC12:AC70" ca="1" si="6">ABS(1-AB12/AA12)</f>
        <v>1.0435296299498806</v>
      </c>
      <c r="AD12">
        <f t="shared" ref="AD12:AD70" ca="1" si="7">ABS(AA12-AB12)</f>
        <v>1.1791884818433651</v>
      </c>
      <c r="AE12" s="14">
        <f t="shared" ref="AE12:AE70" ca="1" si="8">1-AC12</f>
        <v>-4.3529629949880633E-2</v>
      </c>
      <c r="AG12" s="3">
        <f t="shared" ref="AG12:AG20" ca="1" si="9">OFFSET($AE12,(COLUMN(A2)-1)*10,0,1,1)</f>
        <v>-4.3529629949880633E-2</v>
      </c>
      <c r="AH12" s="3">
        <f t="shared" ca="1" si="1"/>
        <v>0.79006009372564412</v>
      </c>
      <c r="AI12" s="3">
        <f t="shared" ca="1" si="1"/>
        <v>0.87299315920082954</v>
      </c>
      <c r="AJ12" s="3">
        <f t="shared" ca="1" si="1"/>
        <v>0.70488399960319481</v>
      </c>
      <c r="AK12" s="3">
        <f t="shared" ca="1" si="1"/>
        <v>0.63372687028322661</v>
      </c>
      <c r="AL12" s="3">
        <f t="shared" ca="1" si="1"/>
        <v>-1.0734720615769091</v>
      </c>
      <c r="AN12" s="7" t="s">
        <v>16</v>
      </c>
    </row>
    <row r="13" spans="1:40">
      <c r="A13">
        <v>1.0578137562846793E-2</v>
      </c>
      <c r="B13">
        <v>0.97126478181068354</v>
      </c>
      <c r="C13">
        <v>1.1254011079918997</v>
      </c>
      <c r="D13">
        <v>-0.85616339706577405</v>
      </c>
      <c r="E13">
        <v>-0.27896014184148316</v>
      </c>
      <c r="F13">
        <v>0.87218149835038139</v>
      </c>
      <c r="G13">
        <v>0.93694759668826777</v>
      </c>
      <c r="H13">
        <v>0.34078486827108478</v>
      </c>
      <c r="I13">
        <v>3.2876521516669248E-2</v>
      </c>
      <c r="J13">
        <v>0.55766741017041244</v>
      </c>
      <c r="L13">
        <v>0.84174669732893459</v>
      </c>
      <c r="M13">
        <v>1.5725746283523414</v>
      </c>
      <c r="N13">
        <v>1.8988188106467601</v>
      </c>
      <c r="P13">
        <v>3.8685230183168083E-13</v>
      </c>
      <c r="R13">
        <v>4.1077299473399771</v>
      </c>
      <c r="S13">
        <v>4.1121618081555962</v>
      </c>
      <c r="T13">
        <v>1</v>
      </c>
      <c r="U13">
        <v>2.2799826303688588</v>
      </c>
      <c r="W13">
        <f t="shared" ca="1" si="2"/>
        <v>8.1018338673868484E-2</v>
      </c>
      <c r="X13">
        <f t="shared" ca="1" si="3"/>
        <v>1.1583682433913398</v>
      </c>
      <c r="Y13">
        <f t="shared" ca="1" si="4"/>
        <v>1.0402130652840738</v>
      </c>
      <c r="AA13">
        <v>1.1299999999999999</v>
      </c>
      <c r="AB13">
        <f t="shared" ca="1" si="5"/>
        <v>2.4304241796867005</v>
      </c>
      <c r="AC13" s="14">
        <f t="shared" ca="1" si="6"/>
        <v>1.1508178581298236</v>
      </c>
      <c r="AD13">
        <f t="shared" ca="1" si="7"/>
        <v>1.3004241796867007</v>
      </c>
      <c r="AE13" s="14">
        <f t="shared" ca="1" si="8"/>
        <v>-0.15081785812982362</v>
      </c>
      <c r="AG13" s="3">
        <f t="shared" ca="1" si="9"/>
        <v>-0.15081785812982362</v>
      </c>
      <c r="AH13" s="3">
        <f t="shared" ca="1" si="1"/>
        <v>0.72905845243602774</v>
      </c>
      <c r="AI13" s="3">
        <f t="shared" ca="1" si="1"/>
        <v>0.81827459311651207</v>
      </c>
      <c r="AJ13" s="3">
        <f t="shared" ca="1" si="1"/>
        <v>-0.47170035799837162</v>
      </c>
      <c r="AK13" s="3">
        <f t="shared" ca="1" si="1"/>
        <v>0.71010376745792558</v>
      </c>
      <c r="AL13" s="3">
        <f t="shared" ca="1" si="1"/>
        <v>0.48255755584952453</v>
      </c>
      <c r="AN13" s="7"/>
    </row>
    <row r="14" spans="1:40">
      <c r="A14">
        <v>6.8010574391751122E-3</v>
      </c>
      <c r="B14">
        <v>0.94981087620552473</v>
      </c>
      <c r="C14">
        <v>1.1310464764812831</v>
      </c>
      <c r="D14">
        <v>-0.11014563011633494</v>
      </c>
      <c r="E14">
        <v>3.3280478368408334E-2</v>
      </c>
      <c r="F14">
        <v>-0.21666413400247878</v>
      </c>
      <c r="G14">
        <v>0.51375447804677532</v>
      </c>
      <c r="H14">
        <v>0.42309922175753628</v>
      </c>
      <c r="I14">
        <v>0.31450778955952374</v>
      </c>
      <c r="J14">
        <v>0.50602141057070937</v>
      </c>
      <c r="L14">
        <v>0.8417466695368202</v>
      </c>
      <c r="M14">
        <v>1.5725746143832553</v>
      </c>
      <c r="N14">
        <v>1.8988186878444302</v>
      </c>
      <c r="P14">
        <v>4.6568005224339513E-13</v>
      </c>
      <c r="R14">
        <v>4.1077299473399771</v>
      </c>
      <c r="S14">
        <v>4.1121618081555962</v>
      </c>
      <c r="T14">
        <v>1</v>
      </c>
      <c r="U14">
        <v>2.2799826303688588</v>
      </c>
      <c r="W14">
        <f t="shared" ca="1" si="2"/>
        <v>-4.8207712981260503E-2</v>
      </c>
      <c r="X14">
        <f t="shared" ca="1" si="3"/>
        <v>0.96975004190668757</v>
      </c>
      <c r="Y14">
        <f t="shared" ca="1" si="4"/>
        <v>1.2106320388609113</v>
      </c>
      <c r="AA14">
        <v>1.1299999999999999</v>
      </c>
      <c r="AB14">
        <f t="shared" ca="1" si="5"/>
        <v>2.4083690608854331</v>
      </c>
      <c r="AC14" s="14">
        <f t="shared" ca="1" si="6"/>
        <v>1.1313000538809144</v>
      </c>
      <c r="AD14">
        <f t="shared" ca="1" si="7"/>
        <v>1.2783690608854332</v>
      </c>
      <c r="AE14" s="14">
        <f t="shared" ca="1" si="8"/>
        <v>-0.13130005388091437</v>
      </c>
      <c r="AG14" s="3">
        <f t="shared" ca="1" si="9"/>
        <v>-0.13130005388091437</v>
      </c>
      <c r="AH14" s="3">
        <f t="shared" ca="1" si="1"/>
        <v>0.7385280172378399</v>
      </c>
      <c r="AI14" s="3">
        <f t="shared" ca="1" si="1"/>
        <v>0.96498991438208059</v>
      </c>
      <c r="AJ14" s="3">
        <f t="shared" ca="1" si="1"/>
        <v>0.86473985538628173</v>
      </c>
      <c r="AK14" s="3">
        <f t="shared" ca="1" si="1"/>
        <v>0.80242115993184626</v>
      </c>
      <c r="AL14" s="3">
        <f t="shared" ca="1" si="1"/>
        <v>0.60565003873326173</v>
      </c>
      <c r="AN14" s="7"/>
    </row>
    <row r="15" spans="1:40">
      <c r="A15">
        <v>5.4053374669687394E-3</v>
      </c>
      <c r="B15">
        <v>0.94661592172790243</v>
      </c>
      <c r="C15">
        <v>1.1386671519887102</v>
      </c>
      <c r="D15">
        <v>-0.34228690127406691</v>
      </c>
      <c r="E15">
        <v>-0.16481172261243329</v>
      </c>
      <c r="F15">
        <v>0.29873893699610848</v>
      </c>
      <c r="G15">
        <v>0.66586012217611046</v>
      </c>
      <c r="H15">
        <v>0.16003198212289965</v>
      </c>
      <c r="I15">
        <v>1.242014314037781E-2</v>
      </c>
      <c r="J15">
        <v>0.92094565049638755</v>
      </c>
      <c r="L15">
        <v>0.84174670183249967</v>
      </c>
      <c r="M15">
        <v>1.5725746871302668</v>
      </c>
      <c r="N15">
        <v>1.8988188897322564</v>
      </c>
      <c r="P15">
        <v>3.3947926830848343E-13</v>
      </c>
      <c r="R15">
        <v>4.1077299473399771</v>
      </c>
      <c r="S15">
        <v>4.1121618081555962</v>
      </c>
      <c r="T15">
        <v>1</v>
      </c>
      <c r="U15">
        <v>2.2799826303688588</v>
      </c>
      <c r="W15">
        <f t="shared" ca="1" si="2"/>
        <v>-0.48945208767080517</v>
      </c>
      <c r="X15">
        <f t="shared" ca="1" si="3"/>
        <v>1.1273577638340941</v>
      </c>
      <c r="Y15">
        <f t="shared" ca="1" si="4"/>
        <v>1.8189845457339024</v>
      </c>
      <c r="AA15">
        <v>1.1299999999999999</v>
      </c>
      <c r="AB15">
        <f t="shared" ca="1" si="5"/>
        <v>4.8192036514210894</v>
      </c>
      <c r="AC15" s="14">
        <f t="shared" ca="1" si="6"/>
        <v>3.2647819924080439</v>
      </c>
      <c r="AD15">
        <f t="shared" ca="1" si="7"/>
        <v>3.6892036514210895</v>
      </c>
      <c r="AE15" s="14">
        <f t="shared" ca="1" si="8"/>
        <v>-2.2647819924080439</v>
      </c>
      <c r="AG15" s="3">
        <f t="shared" ca="1" si="9"/>
        <v>-2.2647819924080439</v>
      </c>
      <c r="AH15" s="3">
        <f t="shared" ca="1" si="1"/>
        <v>-0.52674222197829446</v>
      </c>
      <c r="AI15" s="3">
        <f t="shared" ca="1" si="1"/>
        <v>0.97256206363081898</v>
      </c>
      <c r="AJ15" s="3">
        <f t="shared" ca="1" si="1"/>
        <v>0.86818138874630524</v>
      </c>
      <c r="AK15" s="3">
        <f t="shared" ca="1" si="1"/>
        <v>0.98541392180100429</v>
      </c>
      <c r="AL15" s="3">
        <f t="shared" ca="1" si="1"/>
        <v>0.86414524685445793</v>
      </c>
      <c r="AN15" s="7"/>
    </row>
    <row r="16" spans="1:40">
      <c r="A16">
        <v>1.2749944160573319E-2</v>
      </c>
      <c r="B16">
        <v>0.97665629682181221</v>
      </c>
      <c r="C16">
        <v>1.1063039083196711</v>
      </c>
      <c r="D16">
        <v>-0.55086096366112181</v>
      </c>
      <c r="E16">
        <v>0.27273895100642442</v>
      </c>
      <c r="F16">
        <v>0.3492159845027572</v>
      </c>
      <c r="G16">
        <v>0.46065098521952941</v>
      </c>
      <c r="H16">
        <v>0.75389350390728305</v>
      </c>
      <c r="I16">
        <v>0.74196029978459721</v>
      </c>
      <c r="J16">
        <v>0.10876175811726542</v>
      </c>
      <c r="L16">
        <v>0.84174674962693119</v>
      </c>
      <c r="M16">
        <v>1.572574826259316</v>
      </c>
      <c r="N16">
        <v>1.8988188291944301</v>
      </c>
      <c r="P16">
        <v>2.4725818398601545E-13</v>
      </c>
      <c r="R16">
        <v>4.1077299473399771</v>
      </c>
      <c r="S16">
        <v>4.1121618081555962</v>
      </c>
      <c r="T16">
        <v>1</v>
      </c>
      <c r="U16">
        <v>2.2799826303688588</v>
      </c>
      <c r="W16">
        <f t="shared" ca="1" si="2"/>
        <v>0.1385721119761178</v>
      </c>
      <c r="X16">
        <f t="shared" ca="1" si="3"/>
        <v>1.1604819702823663</v>
      </c>
      <c r="Y16">
        <f t="shared" ca="1" si="4"/>
        <v>0.96137963460231668</v>
      </c>
      <c r="AA16">
        <v>1.1299999999999999</v>
      </c>
      <c r="AB16">
        <f t="shared" ca="1" si="5"/>
        <v>2.2901714353960485</v>
      </c>
      <c r="AC16" s="14">
        <f t="shared" ca="1" si="6"/>
        <v>1.026700385306238</v>
      </c>
      <c r="AD16">
        <f t="shared" ca="1" si="7"/>
        <v>1.1601714353960486</v>
      </c>
      <c r="AE16" s="14">
        <f t="shared" ca="1" si="8"/>
        <v>-2.6700385306237973E-2</v>
      </c>
      <c r="AG16" s="3">
        <f t="shared" ca="1" si="9"/>
        <v>-2.6700385306237973E-2</v>
      </c>
      <c r="AH16" s="3">
        <f t="shared" ca="1" si="1"/>
        <v>0.79629505143154899</v>
      </c>
      <c r="AI16" s="3">
        <f t="shared" ca="1" si="1"/>
        <v>0.84048908355000052</v>
      </c>
      <c r="AJ16" s="3">
        <f t="shared" ca="1" si="1"/>
        <v>0.91424610467955381</v>
      </c>
      <c r="AK16" s="3">
        <f t="shared" ca="1" si="1"/>
        <v>0.85899694276134286</v>
      </c>
      <c r="AL16" s="3">
        <f t="shared" ca="1" si="1"/>
        <v>0.65348237831696609</v>
      </c>
      <c r="AN16" s="7" t="s">
        <v>17</v>
      </c>
    </row>
    <row r="17" spans="1:40">
      <c r="A17">
        <v>-1.4093471710500665E-3</v>
      </c>
      <c r="B17">
        <v>0.94382471102277077</v>
      </c>
      <c r="C17">
        <v>1.1467613862282271</v>
      </c>
      <c r="D17">
        <v>-0.46331974792867558</v>
      </c>
      <c r="E17">
        <v>0.48135563015645416</v>
      </c>
      <c r="F17">
        <v>-0.40069299495536198</v>
      </c>
      <c r="G17">
        <v>0.93361799799173106</v>
      </c>
      <c r="H17">
        <v>0.37681363386671785</v>
      </c>
      <c r="I17">
        <v>0.12675008376712021</v>
      </c>
      <c r="J17">
        <v>0.96706830364576624</v>
      </c>
      <c r="L17">
        <v>0.84174671706103876</v>
      </c>
      <c r="M17">
        <v>1.5725746756445456</v>
      </c>
      <c r="N17">
        <v>1.8988189302379008</v>
      </c>
      <c r="P17">
        <v>3.2952538994327835E-13</v>
      </c>
      <c r="R17">
        <v>4.1077299473399771</v>
      </c>
      <c r="S17">
        <v>4.1121618081555962</v>
      </c>
      <c r="T17">
        <v>1</v>
      </c>
      <c r="U17">
        <v>2.2799826303688588</v>
      </c>
      <c r="W17">
        <f t="shared" ca="1" si="2"/>
        <v>2.0125466860573191E-3</v>
      </c>
      <c r="X17">
        <f t="shared" ca="1" si="3"/>
        <v>1.0984382425409822</v>
      </c>
      <c r="Y17">
        <f t="shared" ca="1" si="4"/>
        <v>0.94166779472783202</v>
      </c>
      <c r="AA17">
        <v>1.1299999999999999</v>
      </c>
      <c r="AB17">
        <f t="shared" ca="1" si="5"/>
        <v>2.0933088586482635</v>
      </c>
      <c r="AC17" s="14">
        <f t="shared" ca="1" si="6"/>
        <v>0.85248571561793263</v>
      </c>
      <c r="AD17">
        <f t="shared" ca="1" si="7"/>
        <v>0.96330885864826366</v>
      </c>
      <c r="AE17" s="14">
        <f t="shared" ca="1" si="8"/>
        <v>0.14751428438206737</v>
      </c>
      <c r="AG17" s="3">
        <f t="shared" ca="1" si="9"/>
        <v>0.14751428438206737</v>
      </c>
      <c r="AH17" s="3">
        <f t="shared" ca="1" si="1"/>
        <v>-0.50139115672654766</v>
      </c>
      <c r="AI17" s="3">
        <f t="shared" ca="1" si="1"/>
        <v>-0.3719806834381556</v>
      </c>
      <c r="AJ17" s="3">
        <f t="shared" ca="1" si="1"/>
        <v>-0.5551037784531383</v>
      </c>
      <c r="AK17" s="3">
        <f t="shared" ca="1" si="1"/>
        <v>-0.75274703638427676</v>
      </c>
      <c r="AL17" s="3">
        <f t="shared" ca="1" si="1"/>
        <v>0.58482542375337898</v>
      </c>
      <c r="AN17" s="7"/>
    </row>
    <row r="18" spans="1:40">
      <c r="A18">
        <v>5.6270566130659002E-3</v>
      </c>
      <c r="B18">
        <v>0.9458068371057653</v>
      </c>
      <c r="C18">
        <v>1.1167417252524598</v>
      </c>
      <c r="D18">
        <v>0.42153066762040747</v>
      </c>
      <c r="E18">
        <v>7.9940963966491752E-2</v>
      </c>
      <c r="F18">
        <v>-0.11665766912222562</v>
      </c>
      <c r="G18">
        <v>0</v>
      </c>
      <c r="H18">
        <v>0.94326876490952272</v>
      </c>
      <c r="I18">
        <v>0.47313008523462569</v>
      </c>
      <c r="J18">
        <v>0.86086743930445431</v>
      </c>
      <c r="L18">
        <v>0.84174672298873288</v>
      </c>
      <c r="M18">
        <v>1.5725748703882763</v>
      </c>
      <c r="N18">
        <v>1.8988187205988616</v>
      </c>
      <c r="P18">
        <v>2.9504271840027524E-13</v>
      </c>
      <c r="R18">
        <v>4.1077299473399771</v>
      </c>
      <c r="S18">
        <v>4.1121618081555962</v>
      </c>
      <c r="T18">
        <v>1</v>
      </c>
      <c r="U18">
        <v>2.2799826303688588</v>
      </c>
      <c r="W18">
        <f t="shared" ca="1" si="2"/>
        <v>9.188560486057053E-4</v>
      </c>
      <c r="X18">
        <f t="shared" ca="1" si="3"/>
        <v>1.1604358685797407</v>
      </c>
      <c r="Y18">
        <f t="shared" ca="1" si="4"/>
        <v>0.86567753034766637</v>
      </c>
      <c r="AA18">
        <v>1.1299999999999999</v>
      </c>
      <c r="AB18">
        <f t="shared" ca="1" si="5"/>
        <v>2.0960098359316901</v>
      </c>
      <c r="AC18" s="14">
        <f t="shared" ca="1" si="6"/>
        <v>0.85487596100149577</v>
      </c>
      <c r="AD18">
        <f t="shared" ca="1" si="7"/>
        <v>0.96600983593169021</v>
      </c>
      <c r="AE18" s="14">
        <f t="shared" ca="1" si="8"/>
        <v>0.14512403899850423</v>
      </c>
      <c r="AG18" s="3">
        <f t="shared" ca="1" si="9"/>
        <v>0.14512403899850423</v>
      </c>
      <c r="AH18" s="3">
        <f t="shared" ca="1" si="1"/>
        <v>0.88006611037376059</v>
      </c>
      <c r="AI18" s="3">
        <f t="shared" ca="1" si="1"/>
        <v>0.95724888281810672</v>
      </c>
      <c r="AJ18" s="3">
        <f t="shared" ca="1" si="1"/>
        <v>0.84795270950237622</v>
      </c>
      <c r="AK18" s="3">
        <f t="shared" ca="1" si="1"/>
        <v>0.73556565261538132</v>
      </c>
      <c r="AL18" s="3">
        <f t="shared" ca="1" si="1"/>
        <v>0.52904102756694549</v>
      </c>
      <c r="AN18" s="7"/>
    </row>
    <row r="19" spans="1:40">
      <c r="A19">
        <v>1.0520342700897694E-2</v>
      </c>
      <c r="B19">
        <v>0.9714486364498226</v>
      </c>
      <c r="C19">
        <v>1.1163620481865981</v>
      </c>
      <c r="D19">
        <v>-0.57416123685471598</v>
      </c>
      <c r="E19">
        <v>0.26270650998596512</v>
      </c>
      <c r="F19">
        <v>0.3185145793119632</v>
      </c>
      <c r="G19">
        <v>0.64386445791231228</v>
      </c>
      <c r="H19">
        <v>0.62830238596025401</v>
      </c>
      <c r="I19">
        <v>0.574138935872748</v>
      </c>
      <c r="J19">
        <v>0.26752018330086019</v>
      </c>
      <c r="L19">
        <v>0.84174680189265361</v>
      </c>
      <c r="M19">
        <v>1.5725746940007501</v>
      </c>
      <c r="N19">
        <v>1.8988189689272301</v>
      </c>
      <c r="P19">
        <v>2.4385620250937074E-13</v>
      </c>
      <c r="R19">
        <v>4.1077299473399771</v>
      </c>
      <c r="S19">
        <v>4.1121618081555962</v>
      </c>
      <c r="T19">
        <v>1</v>
      </c>
      <c r="U19">
        <v>2.2799826303688588</v>
      </c>
      <c r="W19">
        <f t="shared" ca="1" si="2"/>
        <v>-0.15310719005007251</v>
      </c>
      <c r="X19">
        <f t="shared" ca="1" si="3"/>
        <v>1.1705146249607519</v>
      </c>
      <c r="Y19">
        <f t="shared" ca="1" si="4"/>
        <v>0.58398456989634662</v>
      </c>
      <c r="AA19">
        <v>1.1299999999999999</v>
      </c>
      <c r="AB19">
        <f t="shared" ca="1" si="5"/>
        <v>1.7345842767690596</v>
      </c>
      <c r="AC19" s="14">
        <f t="shared" ca="1" si="6"/>
        <v>0.53503033342394657</v>
      </c>
      <c r="AD19">
        <f t="shared" ca="1" si="7"/>
        <v>0.60458427676905968</v>
      </c>
      <c r="AE19" s="14">
        <f t="shared" ca="1" si="8"/>
        <v>0.46496966657605343</v>
      </c>
      <c r="AG19" s="3">
        <f t="shared" ca="1" si="9"/>
        <v>0.46496966657605343</v>
      </c>
      <c r="AH19" s="3">
        <f t="shared" ca="1" si="1"/>
        <v>0.8273208135326009</v>
      </c>
      <c r="AI19" s="3">
        <f t="shared" ca="1" si="1"/>
        <v>0.90931750813379875</v>
      </c>
      <c r="AJ19" s="3">
        <f t="shared" ca="1" si="1"/>
        <v>0.78550910288506626</v>
      </c>
      <c r="AK19" s="3">
        <f t="shared" ca="1" si="1"/>
        <v>0.71928683608958632</v>
      </c>
      <c r="AL19" s="3">
        <f t="shared" ca="1" si="1"/>
        <v>0.50309862842072417</v>
      </c>
      <c r="AN19" s="7"/>
    </row>
    <row r="20" spans="1:40">
      <c r="A20">
        <v>1.8576781496920367E-2</v>
      </c>
      <c r="B20">
        <v>0.96316981276677638</v>
      </c>
      <c r="C20">
        <v>1.1111030501461703</v>
      </c>
      <c r="D20">
        <v>0.44518852983263202</v>
      </c>
      <c r="E20">
        <v>-0.60939733615643354</v>
      </c>
      <c r="F20">
        <v>0.35537423582054889</v>
      </c>
      <c r="G20">
        <v>0.36699929590201225</v>
      </c>
      <c r="H20">
        <v>0.89769234700471667</v>
      </c>
      <c r="I20">
        <v>0.78249799722910651</v>
      </c>
      <c r="J20">
        <v>0.11429587906236702</v>
      </c>
      <c r="L20">
        <v>0.84174675993450365</v>
      </c>
      <c r="M20">
        <v>1.5725747760592339</v>
      </c>
      <c r="N20">
        <v>1.8988189030655653</v>
      </c>
      <c r="P20">
        <v>2.4465117334143183E-13</v>
      </c>
      <c r="R20">
        <v>4.1077299473399771</v>
      </c>
      <c r="S20">
        <v>4.1121618081555962</v>
      </c>
      <c r="T20">
        <v>1</v>
      </c>
      <c r="U20">
        <v>2.2799826303688588</v>
      </c>
      <c r="W20">
        <f t="shared" ca="1" si="2"/>
        <v>2.6456542530085815E-2</v>
      </c>
      <c r="X20">
        <f t="shared" ca="1" si="3"/>
        <v>1.1618132041551208</v>
      </c>
      <c r="Y20">
        <f t="shared" ca="1" si="4"/>
        <v>0.81794148629913466</v>
      </c>
      <c r="AA20">
        <v>1.1299999999999999</v>
      </c>
      <c r="AB20">
        <f t="shared" ca="1" si="5"/>
        <v>2.0195381450010719</v>
      </c>
      <c r="AC20" s="14">
        <f t="shared" ca="1" si="6"/>
        <v>0.78720189823103714</v>
      </c>
      <c r="AD20">
        <f t="shared" ca="1" si="7"/>
        <v>0.88953814500107198</v>
      </c>
      <c r="AE20" s="14">
        <f t="shared" ca="1" si="8"/>
        <v>0.21279810176896286</v>
      </c>
      <c r="AG20" s="3">
        <f t="shared" ca="1" si="9"/>
        <v>0.21279810176896286</v>
      </c>
      <c r="AH20" s="3">
        <f t="shared" ca="1" si="1"/>
        <v>0.81607104207192083</v>
      </c>
      <c r="AI20" s="3">
        <f t="shared" ca="1" si="1"/>
        <v>0.98570437160410385</v>
      </c>
      <c r="AJ20" s="3">
        <f t="shared" ca="1" si="1"/>
        <v>0.88689117555460428</v>
      </c>
      <c r="AK20" s="3">
        <f t="shared" ca="1" si="1"/>
        <v>0.82725188397494986</v>
      </c>
      <c r="AL20" s="3">
        <f t="shared" ca="1" si="1"/>
        <v>0.6299169982748003</v>
      </c>
      <c r="AN20" s="7" t="s">
        <v>18</v>
      </c>
    </row>
    <row r="21" spans="1:40">
      <c r="A21">
        <v>5.0855526716637782E-2</v>
      </c>
      <c r="B21">
        <v>1.0629444888646922</v>
      </c>
      <c r="C21">
        <v>1.0610731084958389</v>
      </c>
      <c r="D21">
        <v>-2.377757348896245E-2</v>
      </c>
      <c r="E21">
        <v>-0.70579781927557173</v>
      </c>
      <c r="F21">
        <v>-0.83270365523359502</v>
      </c>
      <c r="G21">
        <v>0.1772899255444709</v>
      </c>
      <c r="H21">
        <v>0.81127259923312844</v>
      </c>
      <c r="I21">
        <v>0.45917865679399661</v>
      </c>
      <c r="J21">
        <v>0.96572216750969253</v>
      </c>
      <c r="L21">
        <v>0.84174618411781721</v>
      </c>
      <c r="M21">
        <v>1.5725750513228849</v>
      </c>
      <c r="N21">
        <v>3.0960807545976148</v>
      </c>
      <c r="P21">
        <v>2.8201451520478256E-12</v>
      </c>
      <c r="R21">
        <v>4.6549162796151435</v>
      </c>
      <c r="S21">
        <v>4.6589206831506358</v>
      </c>
      <c r="T21">
        <v>1</v>
      </c>
      <c r="U21">
        <v>2.2854302231742509</v>
      </c>
      <c r="W21">
        <f t="shared" ref="W21:W46" ca="1" si="10">MEDIAN(OFFSET(A$11,(ROW(A11)-1)*$W$7,0,$W$7,1))</f>
        <v>-1.0332995891396144</v>
      </c>
      <c r="X21">
        <f t="shared" ref="X21:X46" ca="1" si="11">MEDIAN(OFFSET(B$11,(ROW(B11)-1)*$W$7,0,$W$7,1))</f>
        <v>0.99130439193442887</v>
      </c>
      <c r="Y21">
        <f t="shared" ref="Y21:Y46" ca="1" si="12">MEDIAN(OFFSET(C$11,(ROW(C11)-1)*$W$7,0,$W$7,1))</f>
        <v>0.35932551509891331</v>
      </c>
      <c r="AA21">
        <v>1.9059999999999999</v>
      </c>
      <c r="AB21">
        <f t="shared" ca="1" si="5"/>
        <v>2.1795072641856832</v>
      </c>
      <c r="AC21" s="14">
        <f t="shared" ca="1" si="6"/>
        <v>0.14349803997150223</v>
      </c>
      <c r="AD21">
        <f t="shared" ca="1" si="7"/>
        <v>0.27350726418568327</v>
      </c>
      <c r="AE21" s="14">
        <f t="shared" ca="1" si="8"/>
        <v>0.85650196002849777</v>
      </c>
      <c r="AN21" s="7"/>
    </row>
    <row r="22" spans="1:40">
      <c r="A22">
        <v>5.4854994718848617E-2</v>
      </c>
      <c r="B22">
        <v>1.0611384243622364</v>
      </c>
      <c r="C22">
        <v>1.0834556046505441</v>
      </c>
      <c r="D22">
        <v>0.48870758177812901</v>
      </c>
      <c r="E22">
        <v>-0.34337214065526289</v>
      </c>
      <c r="F22">
        <v>-0.64748572972475982</v>
      </c>
      <c r="G22">
        <v>0.12607122628910702</v>
      </c>
      <c r="H22">
        <v>3.9112346747219862E-2</v>
      </c>
      <c r="I22">
        <v>0.17149365187383442</v>
      </c>
      <c r="J22">
        <v>0.60645266684995391</v>
      </c>
      <c r="L22">
        <v>0.84174612507898272</v>
      </c>
      <c r="M22">
        <v>1.5725750627873847</v>
      </c>
      <c r="N22">
        <v>3.0960808640749988</v>
      </c>
      <c r="P22">
        <v>2.6743715103185778E-12</v>
      </c>
      <c r="R22">
        <v>4.6549162796151435</v>
      </c>
      <c r="S22">
        <v>4.6589206831506358</v>
      </c>
      <c r="T22">
        <v>1</v>
      </c>
      <c r="U22">
        <v>2.2854302231742509</v>
      </c>
      <c r="W22">
        <f t="shared" ca="1" si="10"/>
        <v>-0.98955362498991017</v>
      </c>
      <c r="X22">
        <f t="shared" ca="1" si="11"/>
        <v>1.1104685990251915</v>
      </c>
      <c r="Y22">
        <f t="shared" ca="1" si="12"/>
        <v>0.30624920441901321</v>
      </c>
      <c r="AA22">
        <v>1.9059999999999999</v>
      </c>
      <c r="AB22">
        <f t="shared" ca="1" si="5"/>
        <v>2.3061454613589221</v>
      </c>
      <c r="AC22" s="14">
        <f t="shared" ca="1" si="6"/>
        <v>0.20993990627435588</v>
      </c>
      <c r="AD22">
        <f t="shared" ca="1" si="7"/>
        <v>0.40014546135892215</v>
      </c>
      <c r="AE22" s="14">
        <f t="shared" ca="1" si="8"/>
        <v>0.79006009372564412</v>
      </c>
      <c r="AN22" s="7"/>
    </row>
    <row r="23" spans="1:40">
      <c r="A23">
        <v>5.0955325574969859E-2</v>
      </c>
      <c r="B23">
        <v>1.0709170400520334</v>
      </c>
      <c r="C23">
        <v>1.0810326600626163</v>
      </c>
      <c r="D23">
        <v>-0.13254951009117477</v>
      </c>
      <c r="E23">
        <v>-0.3722837281783688</v>
      </c>
      <c r="F23">
        <v>-0.13955853293806594</v>
      </c>
      <c r="G23">
        <v>0.91097470419079485</v>
      </c>
      <c r="H23">
        <v>0.68439643064069222</v>
      </c>
      <c r="I23">
        <v>0.3758580993368914</v>
      </c>
      <c r="J23">
        <v>0.6229355997213577</v>
      </c>
      <c r="L23">
        <v>0.84174614805067971</v>
      </c>
      <c r="M23">
        <v>1.5725750748683147</v>
      </c>
      <c r="N23">
        <v>3.0960807740528202</v>
      </c>
      <c r="P23">
        <v>2.8519099633187146E-12</v>
      </c>
      <c r="R23">
        <v>4.6549162796151435</v>
      </c>
      <c r="S23">
        <v>4.6589206831506358</v>
      </c>
      <c r="T23">
        <v>1</v>
      </c>
      <c r="U23">
        <v>2.2854302231742509</v>
      </c>
      <c r="W23">
        <f t="shared" ca="1" si="10"/>
        <v>-0.95844701815915923</v>
      </c>
      <c r="X23">
        <f t="shared" ca="1" si="11"/>
        <v>1.1976171533311408</v>
      </c>
      <c r="Y23">
        <f t="shared" ca="1" si="12"/>
        <v>0.26364191071558085</v>
      </c>
      <c r="AA23">
        <v>1.9059999999999999</v>
      </c>
      <c r="AB23">
        <f t="shared" ca="1" si="5"/>
        <v>2.4224145896569311</v>
      </c>
      <c r="AC23" s="14">
        <f t="shared" ca="1" si="6"/>
        <v>0.27094154756397226</v>
      </c>
      <c r="AD23">
        <f t="shared" ca="1" si="7"/>
        <v>0.51641458965693121</v>
      </c>
      <c r="AE23" s="14">
        <f t="shared" ca="1" si="8"/>
        <v>0.72905845243602774</v>
      </c>
      <c r="AN23" s="7"/>
    </row>
    <row r="24" spans="1:40">
      <c r="A24">
        <v>6.303072663342775E-2</v>
      </c>
      <c r="B24">
        <v>1.0809206447946487</v>
      </c>
      <c r="C24">
        <v>1.0728856637950943</v>
      </c>
      <c r="D24">
        <v>0.10891573905211634</v>
      </c>
      <c r="E24">
        <v>-0.86767504954381158</v>
      </c>
      <c r="F24">
        <v>0.7363618067340334</v>
      </c>
      <c r="G24">
        <v>0.67224283817840857</v>
      </c>
      <c r="H24">
        <v>0.32353171584939389</v>
      </c>
      <c r="I24">
        <v>0.53519353985920448</v>
      </c>
      <c r="J24">
        <v>0.89337492994841128</v>
      </c>
      <c r="L24">
        <v>0.84174613937798937</v>
      </c>
      <c r="M24">
        <v>1.5725750615659166</v>
      </c>
      <c r="N24">
        <v>3.0960807835401805</v>
      </c>
      <c r="P24">
        <v>2.8428239447139803E-12</v>
      </c>
      <c r="R24">
        <v>4.6549162796151435</v>
      </c>
      <c r="S24">
        <v>4.6589206831506358</v>
      </c>
      <c r="T24">
        <v>1</v>
      </c>
      <c r="U24">
        <v>2.2854302231742509</v>
      </c>
      <c r="W24">
        <f t="shared" ca="1" si="10"/>
        <v>-1.093534134371501</v>
      </c>
      <c r="X24">
        <f t="shared" ca="1" si="11"/>
        <v>1.0073541649613564</v>
      </c>
      <c r="Y24">
        <f t="shared" ca="1" si="12"/>
        <v>0.44021163369913008</v>
      </c>
      <c r="AA24">
        <v>1.9059999999999999</v>
      </c>
      <c r="AB24">
        <f t="shared" ca="1" si="5"/>
        <v>2.4043655991446768</v>
      </c>
      <c r="AC24" s="14">
        <f t="shared" ca="1" si="6"/>
        <v>0.2614719827621601</v>
      </c>
      <c r="AD24">
        <f t="shared" ca="1" si="7"/>
        <v>0.49836559914467693</v>
      </c>
      <c r="AE24" s="14">
        <f t="shared" ca="1" si="8"/>
        <v>0.7385280172378399</v>
      </c>
      <c r="AN24" s="7" t="s">
        <v>19</v>
      </c>
    </row>
    <row r="25" spans="1:40">
      <c r="A25">
        <v>4.1456572644966931E-2</v>
      </c>
      <c r="B25">
        <v>1.067337487683673</v>
      </c>
      <c r="C25">
        <v>1.0791389324388267</v>
      </c>
      <c r="D25">
        <v>-0.53265219342802828</v>
      </c>
      <c r="E25">
        <v>0.34567600753988192</v>
      </c>
      <c r="F25">
        <v>-0.19903485623067566</v>
      </c>
      <c r="G25">
        <v>0.64797972639183621</v>
      </c>
      <c r="H25">
        <v>0.68744859734714969</v>
      </c>
      <c r="I25">
        <v>0.16044766834418508</v>
      </c>
      <c r="J25">
        <v>0.34755543902321978</v>
      </c>
      <c r="L25">
        <v>0.84174611705647906</v>
      </c>
      <c r="M25">
        <v>1.5725750500864502</v>
      </c>
      <c r="N25">
        <v>3.0960808865394349</v>
      </c>
      <c r="P25">
        <v>2.635625482400524E-12</v>
      </c>
      <c r="R25">
        <v>4.6549162796151435</v>
      </c>
      <c r="S25">
        <v>4.6589206831506358</v>
      </c>
      <c r="T25">
        <v>1</v>
      </c>
      <c r="U25">
        <v>2.2854302231742509</v>
      </c>
      <c r="W25">
        <f t="shared" ca="1" si="10"/>
        <v>-1.5358201346718316</v>
      </c>
      <c r="X25">
        <f t="shared" ca="1" si="11"/>
        <v>1.1703883956804728</v>
      </c>
      <c r="Y25">
        <f t="shared" ca="1" si="12"/>
        <v>1.0427934561952881</v>
      </c>
      <c r="AA25">
        <v>1.9059999999999999</v>
      </c>
      <c r="AB25">
        <f t="shared" ca="1" si="5"/>
        <v>4.8159706750906288</v>
      </c>
      <c r="AC25" s="14">
        <f t="shared" ca="1" si="6"/>
        <v>1.5267422219782945</v>
      </c>
      <c r="AD25">
        <f t="shared" ca="1" si="7"/>
        <v>2.9099706750906291</v>
      </c>
      <c r="AE25" s="14">
        <f t="shared" ca="1" si="8"/>
        <v>-0.52674222197829446</v>
      </c>
      <c r="AN25" s="7"/>
    </row>
    <row r="26" spans="1:40">
      <c r="A26">
        <v>5.7071928872517545E-2</v>
      </c>
      <c r="B26">
        <v>1.075540772116736</v>
      </c>
      <c r="C26">
        <v>1.0795072196201856</v>
      </c>
      <c r="D26">
        <v>0.21457435282978929</v>
      </c>
      <c r="E26">
        <v>0.30840286694608915</v>
      </c>
      <c r="F26">
        <v>0.35249697293995425</v>
      </c>
      <c r="G26">
        <v>0.52459478751290678</v>
      </c>
      <c r="H26">
        <v>0.30079018682415365</v>
      </c>
      <c r="I26">
        <v>0.91037577255924651</v>
      </c>
      <c r="J26">
        <v>0.52826910218449596</v>
      </c>
      <c r="L26">
        <v>0.84174618692011682</v>
      </c>
      <c r="M26">
        <v>1.5725748819940861</v>
      </c>
      <c r="N26">
        <v>3.0960809632599582</v>
      </c>
      <c r="P26">
        <v>2.3010144912176646E-12</v>
      </c>
      <c r="R26">
        <v>4.6549162796151435</v>
      </c>
      <c r="S26">
        <v>4.6589206831506358</v>
      </c>
      <c r="T26">
        <v>1</v>
      </c>
      <c r="U26">
        <v>2.2854302231742509</v>
      </c>
      <c r="W26">
        <f t="shared" ca="1" si="10"/>
        <v>-0.90044397201819737</v>
      </c>
      <c r="X26">
        <f t="shared" ca="1" si="11"/>
        <v>1.2028445542861563</v>
      </c>
      <c r="Y26">
        <f t="shared" ca="1" si="12"/>
        <v>0.19138250560513032</v>
      </c>
      <c r="AA26">
        <v>1.9059999999999999</v>
      </c>
      <c r="AB26">
        <f t="shared" ca="1" si="5"/>
        <v>2.2942616319714677</v>
      </c>
      <c r="AC26" s="14">
        <f t="shared" ca="1" si="6"/>
        <v>0.20370494856845101</v>
      </c>
      <c r="AD26">
        <f t="shared" ca="1" si="7"/>
        <v>0.38826163197146779</v>
      </c>
      <c r="AE26" s="14">
        <f t="shared" ca="1" si="8"/>
        <v>0.79629505143154899</v>
      </c>
      <c r="AN26" s="7"/>
    </row>
    <row r="27" spans="1:40">
      <c r="A27">
        <v>4.8191299216936483E-2</v>
      </c>
      <c r="B27">
        <v>1.0780155861453218</v>
      </c>
      <c r="C27">
        <v>1.0776622637193505</v>
      </c>
      <c r="D27">
        <v>-7.7516882722807323E-2</v>
      </c>
      <c r="E27">
        <v>0.70200854679057878</v>
      </c>
      <c r="F27">
        <v>4.7400543755168993E-2</v>
      </c>
      <c r="G27">
        <v>0.79855211989651886</v>
      </c>
      <c r="H27">
        <v>0.91280619630783444</v>
      </c>
      <c r="I27">
        <v>0.7930600769448557</v>
      </c>
      <c r="J27">
        <v>3.8035299848857652E-2</v>
      </c>
      <c r="L27">
        <v>0.84174609511573018</v>
      </c>
      <c r="M27">
        <v>1.572575086307693</v>
      </c>
      <c r="N27">
        <v>3.0960808692182766</v>
      </c>
      <c r="P27">
        <v>2.735380292977324E-12</v>
      </c>
      <c r="R27">
        <v>4.6549162796151435</v>
      </c>
      <c r="S27">
        <v>4.6589206831506358</v>
      </c>
      <c r="T27">
        <v>1</v>
      </c>
      <c r="U27">
        <v>2.2854302231742509</v>
      </c>
      <c r="W27">
        <f t="shared" ca="1" si="10"/>
        <v>-1.0613852141595466</v>
      </c>
      <c r="X27">
        <f t="shared" ca="1" si="11"/>
        <v>1.0073431973517013</v>
      </c>
      <c r="Y27">
        <f t="shared" ca="1" si="12"/>
        <v>1.6206087296548617</v>
      </c>
      <c r="AA27">
        <v>1.9059999999999999</v>
      </c>
      <c r="AB27">
        <f t="shared" ca="1" si="5"/>
        <v>4.7676515447207999</v>
      </c>
      <c r="AC27" s="14">
        <f t="shared" ca="1" si="6"/>
        <v>1.5013911567265477</v>
      </c>
      <c r="AD27">
        <f t="shared" ca="1" si="7"/>
        <v>2.8616515447208002</v>
      </c>
      <c r="AE27" s="14">
        <f t="shared" ca="1" si="8"/>
        <v>-0.50139115672654766</v>
      </c>
      <c r="AN27" s="7"/>
    </row>
    <row r="28" spans="1:40">
      <c r="A28">
        <v>4.8223512701440936E-2</v>
      </c>
      <c r="B28">
        <v>1.0702008804924086</v>
      </c>
      <c r="C28">
        <v>1.0657766198449694</v>
      </c>
      <c r="D28">
        <v>0.22088285164695601</v>
      </c>
      <c r="E28">
        <v>0.43781335418270234</v>
      </c>
      <c r="F28">
        <v>-0.38127459338855169</v>
      </c>
      <c r="G28">
        <v>0.12780457587250751</v>
      </c>
      <c r="H28">
        <v>0.92056290613264558</v>
      </c>
      <c r="I28">
        <v>0.65853479854599628</v>
      </c>
      <c r="J28">
        <v>0.31214328980164063</v>
      </c>
      <c r="L28">
        <v>0.8417460941218724</v>
      </c>
      <c r="M28">
        <v>1.5725751169430904</v>
      </c>
      <c r="N28">
        <v>3.096080866188903</v>
      </c>
      <c r="P28">
        <v>2.7548950130749768E-12</v>
      </c>
      <c r="R28">
        <v>4.6549162796151435</v>
      </c>
      <c r="S28">
        <v>4.6589206831506358</v>
      </c>
      <c r="T28">
        <v>1</v>
      </c>
      <c r="U28">
        <v>2.2854302231742509</v>
      </c>
      <c r="W28">
        <f t="shared" ca="1" si="10"/>
        <v>-1.0163014632055367</v>
      </c>
      <c r="X28">
        <f t="shared" ca="1" si="11"/>
        <v>0.99821969615064721</v>
      </c>
      <c r="Y28">
        <f t="shared" ca="1" si="12"/>
        <v>-0.32447306164118983</v>
      </c>
      <c r="AA28">
        <v>1.9059999999999999</v>
      </c>
      <c r="AB28">
        <f t="shared" ca="1" si="5"/>
        <v>2.1345939936276124</v>
      </c>
      <c r="AC28" s="14">
        <f t="shared" ca="1" si="6"/>
        <v>0.11993388962623941</v>
      </c>
      <c r="AD28">
        <f t="shared" ca="1" si="7"/>
        <v>0.22859399362761246</v>
      </c>
      <c r="AE28" s="14">
        <f t="shared" ca="1" si="8"/>
        <v>0.88006611037376059</v>
      </c>
      <c r="AN28" s="7" t="s">
        <v>20</v>
      </c>
    </row>
    <row r="29" spans="1:40">
      <c r="A29">
        <v>5.1664740198298927E-2</v>
      </c>
      <c r="B29">
        <v>1.0741625997136972</v>
      </c>
      <c r="C29">
        <v>1.0592485316527265</v>
      </c>
      <c r="D29">
        <v>-8.7691462317142921E-2</v>
      </c>
      <c r="E29">
        <v>-0.13431702708801974</v>
      </c>
      <c r="F29">
        <v>0.71314746870178103</v>
      </c>
      <c r="G29">
        <v>0.11925088937333167</v>
      </c>
      <c r="H29">
        <v>0.75554094594353183</v>
      </c>
      <c r="I29">
        <v>0.50536908132215341</v>
      </c>
      <c r="J29">
        <v>0.9976230993329116</v>
      </c>
      <c r="L29">
        <v>0.84174612720915243</v>
      </c>
      <c r="M29">
        <v>1.5725750875104634</v>
      </c>
      <c r="N29">
        <v>3.0960808070056789</v>
      </c>
      <c r="P29">
        <v>2.8168787989526497E-12</v>
      </c>
      <c r="R29">
        <v>4.6549162796151435</v>
      </c>
      <c r="S29">
        <v>4.6589206831506358</v>
      </c>
      <c r="T29">
        <v>1</v>
      </c>
      <c r="U29">
        <v>2.2854302231742509</v>
      </c>
      <c r="W29">
        <f t="shared" ca="1" si="10"/>
        <v>-0.97952231867260053</v>
      </c>
      <c r="X29">
        <f t="shared" ca="1" si="11"/>
        <v>1.127927977213683</v>
      </c>
      <c r="Y29">
        <f t="shared" ca="1" si="12"/>
        <v>5.8660334535052025E-2</v>
      </c>
      <c r="AA29">
        <v>1.9059999999999999</v>
      </c>
      <c r="AB29">
        <f t="shared" ca="1" si="5"/>
        <v>2.2351265294068625</v>
      </c>
      <c r="AC29" s="14">
        <f t="shared" ca="1" si="6"/>
        <v>0.1726791864673991</v>
      </c>
      <c r="AD29">
        <f t="shared" ca="1" si="7"/>
        <v>0.3291265294068626</v>
      </c>
      <c r="AE29" s="14">
        <f t="shared" ca="1" si="8"/>
        <v>0.8273208135326009</v>
      </c>
      <c r="AN29" s="7"/>
    </row>
    <row r="30" spans="1:40">
      <c r="A30">
        <v>5.9770544513853052E-2</v>
      </c>
      <c r="B30">
        <v>1.0814579667459874</v>
      </c>
      <c r="C30">
        <v>1.0675291206973498</v>
      </c>
      <c r="D30">
        <v>0.3174061747853994</v>
      </c>
      <c r="E30">
        <v>0.26969391110115887</v>
      </c>
      <c r="F30">
        <v>0.30004895455478681</v>
      </c>
      <c r="G30">
        <v>6.7537415008978877E-2</v>
      </c>
      <c r="H30">
        <v>0.26241260939876593</v>
      </c>
      <c r="I30">
        <v>0.78777067181110239</v>
      </c>
      <c r="J30">
        <v>0.14359552557387972</v>
      </c>
      <c r="L30">
        <v>0.84174634085848055</v>
      </c>
      <c r="M30">
        <v>1.5725746838047174</v>
      </c>
      <c r="N30">
        <v>3.0960812028744833</v>
      </c>
      <c r="P30">
        <v>1.595069830595846E-12</v>
      </c>
      <c r="R30">
        <v>4.6549162796151435</v>
      </c>
      <c r="S30">
        <v>4.6589206831506358</v>
      </c>
      <c r="T30">
        <v>1</v>
      </c>
      <c r="U30">
        <v>2.2854302231742509</v>
      </c>
      <c r="W30">
        <f t="shared" ca="1" si="10"/>
        <v>-1.0945402592190647</v>
      </c>
      <c r="X30">
        <f t="shared" ca="1" si="11"/>
        <v>1.0214064703705534</v>
      </c>
      <c r="Y30">
        <f t="shared" ca="1" si="12"/>
        <v>-0.12360840199901153</v>
      </c>
      <c r="AA30">
        <v>1.9059999999999999</v>
      </c>
      <c r="AB30">
        <f t="shared" ca="1" si="5"/>
        <v>2.2565685938109188</v>
      </c>
      <c r="AC30" s="14">
        <f t="shared" ca="1" si="6"/>
        <v>0.18392895792807917</v>
      </c>
      <c r="AD30">
        <f t="shared" ca="1" si="7"/>
        <v>0.35056859381091887</v>
      </c>
      <c r="AE30" s="14">
        <f t="shared" ca="1" si="8"/>
        <v>0.81607104207192083</v>
      </c>
      <c r="AN30" s="7"/>
    </row>
    <row r="31" spans="1:40">
      <c r="A31">
        <v>8.0980284657188317E-2</v>
      </c>
      <c r="B31">
        <v>1.1514943649776705</v>
      </c>
      <c r="C31">
        <v>1.039949852743776</v>
      </c>
      <c r="D31">
        <v>0.21454851034155265</v>
      </c>
      <c r="E31">
        <v>-0.14219847597679497</v>
      </c>
      <c r="F31">
        <v>-0.20833566003437523</v>
      </c>
      <c r="G31">
        <v>0.40850058822515634</v>
      </c>
      <c r="H31">
        <v>0.63722639650284318</v>
      </c>
      <c r="I31">
        <v>0.35301398329576122</v>
      </c>
      <c r="J31">
        <v>0.9237121320459406</v>
      </c>
      <c r="L31">
        <v>0.84174730978806633</v>
      </c>
      <c r="M31">
        <v>1.5725746895910124</v>
      </c>
      <c r="N31">
        <v>2.8043739176427658</v>
      </c>
      <c r="P31">
        <v>6.0426638808160212E-13</v>
      </c>
      <c r="R31">
        <v>2.5751174362638927</v>
      </c>
      <c r="S31">
        <v>2.5761959575841629</v>
      </c>
      <c r="T31">
        <v>1</v>
      </c>
      <c r="U31">
        <v>2.2558738177759228</v>
      </c>
      <c r="W31">
        <f t="shared" ca="1" si="10"/>
        <v>1.4105707615653496</v>
      </c>
      <c r="X31">
        <f t="shared" ca="1" si="11"/>
        <v>0.13872287197452143</v>
      </c>
      <c r="Y31">
        <f t="shared" ca="1" si="12"/>
        <v>0.40059421317248711</v>
      </c>
      <c r="AA31">
        <v>2.0489999999999999</v>
      </c>
      <c r="AB31">
        <f t="shared" ca="1" si="5"/>
        <v>2.1694296322191939</v>
      </c>
      <c r="AC31" s="14">
        <f t="shared" ca="1" si="6"/>
        <v>5.8774832708244906E-2</v>
      </c>
      <c r="AD31">
        <f t="shared" ca="1" si="7"/>
        <v>0.120429632219194</v>
      </c>
      <c r="AE31" s="14">
        <f t="shared" ca="1" si="8"/>
        <v>0.94122516729175509</v>
      </c>
      <c r="AN31" s="7"/>
    </row>
    <row r="32" spans="1:40">
      <c r="A32">
        <v>7.9070901230959251E-2</v>
      </c>
      <c r="B32">
        <v>1.1591683806859232</v>
      </c>
      <c r="C32">
        <v>1.0188741597324733</v>
      </c>
      <c r="D32">
        <v>-0.80808962108539906</v>
      </c>
      <c r="E32">
        <v>-0.32463372352022085</v>
      </c>
      <c r="F32">
        <v>0.60685167142438545</v>
      </c>
      <c r="G32">
        <v>0.14459971009113828</v>
      </c>
      <c r="H32">
        <v>0.53731929089182828</v>
      </c>
      <c r="I32">
        <v>0.24821256456911486</v>
      </c>
      <c r="J32">
        <v>0.464866102483529</v>
      </c>
      <c r="L32">
        <v>0.84174703682590768</v>
      </c>
      <c r="M32">
        <v>1.5725747920076498</v>
      </c>
      <c r="N32">
        <v>2.8043737691162205</v>
      </c>
      <c r="P32">
        <v>8.3261803251302938E-13</v>
      </c>
      <c r="R32">
        <v>2.5751174362638927</v>
      </c>
      <c r="S32">
        <v>2.5761959575841629</v>
      </c>
      <c r="T32">
        <v>1</v>
      </c>
      <c r="U32">
        <v>2.2558738177759228</v>
      </c>
      <c r="W32">
        <f t="shared" ca="1" si="10"/>
        <v>1.4537484601602937</v>
      </c>
      <c r="X32">
        <f t="shared" ca="1" si="11"/>
        <v>0.25463220675383869</v>
      </c>
      <c r="Y32">
        <f t="shared" ca="1" si="12"/>
        <v>0.36195976387265127</v>
      </c>
      <c r="AA32">
        <v>2.0489999999999999</v>
      </c>
      <c r="AB32">
        <f t="shared" ca="1" si="5"/>
        <v>2.3092370167975003</v>
      </c>
      <c r="AC32" s="14">
        <f t="shared" ca="1" si="6"/>
        <v>0.12700684079917046</v>
      </c>
      <c r="AD32">
        <f t="shared" ca="1" si="7"/>
        <v>0.26023701679750033</v>
      </c>
      <c r="AE32" s="14">
        <f t="shared" ca="1" si="8"/>
        <v>0.87299315920082954</v>
      </c>
      <c r="AN32" s="7" t="s">
        <v>21</v>
      </c>
    </row>
    <row r="33" spans="1:40">
      <c r="A33">
        <v>8.3190530003231886E-2</v>
      </c>
      <c r="B33">
        <v>1.1612062185199152</v>
      </c>
      <c r="C33">
        <v>1.0404762778243712</v>
      </c>
      <c r="D33">
        <v>-2.6302859348123962E-2</v>
      </c>
      <c r="E33">
        <v>0.50774073264992625</v>
      </c>
      <c r="F33">
        <v>0.65428675052203955</v>
      </c>
      <c r="G33">
        <v>0.50727690138049508</v>
      </c>
      <c r="H33">
        <v>0.42994940249778335</v>
      </c>
      <c r="I33">
        <v>0.75927894252523298</v>
      </c>
      <c r="J33">
        <v>0.54563143646054524</v>
      </c>
      <c r="L33">
        <v>0.84174688696919275</v>
      </c>
      <c r="M33">
        <v>1.572574732487144</v>
      </c>
      <c r="N33">
        <v>2.8043739789318933</v>
      </c>
      <c r="P33">
        <v>6.0767274770993941E-13</v>
      </c>
      <c r="R33">
        <v>2.5751174362638927</v>
      </c>
      <c r="S33">
        <v>2.5761959575841629</v>
      </c>
      <c r="T33">
        <v>1</v>
      </c>
      <c r="U33">
        <v>2.2558738177759228</v>
      </c>
      <c r="W33">
        <f t="shared" ca="1" si="10"/>
        <v>1.4864787044167822</v>
      </c>
      <c r="X33">
        <f t="shared" ca="1" si="11"/>
        <v>0.33974132161702086</v>
      </c>
      <c r="Y33">
        <f t="shared" ca="1" si="12"/>
        <v>0.31034215699062162</v>
      </c>
      <c r="AA33">
        <v>2.0489999999999999</v>
      </c>
      <c r="AB33">
        <f t="shared" ca="1" si="5"/>
        <v>2.4213553587042669</v>
      </c>
      <c r="AC33" s="14">
        <f t="shared" ca="1" si="6"/>
        <v>0.18172540688348793</v>
      </c>
      <c r="AD33">
        <f t="shared" ca="1" si="7"/>
        <v>0.37235535870426695</v>
      </c>
      <c r="AE33" s="14">
        <f t="shared" ca="1" si="8"/>
        <v>0.81827459311651207</v>
      </c>
      <c r="AN33" s="7"/>
    </row>
    <row r="34" spans="1:40">
      <c r="A34">
        <v>8.0381163804689584E-2</v>
      </c>
      <c r="B34">
        <v>1.1491796134444725</v>
      </c>
      <c r="C34">
        <v>1.0194131196456655</v>
      </c>
      <c r="D34">
        <v>-0.30314892622724893</v>
      </c>
      <c r="E34">
        <v>-0.65916680744052625</v>
      </c>
      <c r="F34">
        <v>-0.50650347100063242</v>
      </c>
      <c r="G34">
        <v>0.2691057630616781</v>
      </c>
      <c r="H34">
        <v>0.94393195377562511</v>
      </c>
      <c r="I34">
        <v>0.6873163469865744</v>
      </c>
      <c r="J34">
        <v>0.90352925274784701</v>
      </c>
      <c r="L34">
        <v>0.84174690727441448</v>
      </c>
      <c r="M34">
        <v>1.5725747623672359</v>
      </c>
      <c r="N34">
        <v>2.8043738308713357</v>
      </c>
      <c r="P34">
        <v>8.0334024679452582E-13</v>
      </c>
      <c r="R34">
        <v>2.5751174362638927</v>
      </c>
      <c r="S34">
        <v>2.5761959575841629</v>
      </c>
      <c r="T34">
        <v>1</v>
      </c>
      <c r="U34">
        <v>2.2558738177759228</v>
      </c>
      <c r="W34">
        <f t="shared" ca="1" si="10"/>
        <v>1.4063632247781803</v>
      </c>
      <c r="X34">
        <f t="shared" ca="1" si="11"/>
        <v>0.28434763308763722</v>
      </c>
      <c r="Y34">
        <f t="shared" ca="1" si="12"/>
        <v>0.2490473227723847</v>
      </c>
      <c r="AA34">
        <v>2.0489999999999999</v>
      </c>
      <c r="AB34">
        <f t="shared" ca="1" si="5"/>
        <v>2.1207356654311167</v>
      </c>
      <c r="AC34" s="14">
        <f t="shared" ca="1" si="6"/>
        <v>3.5010085617919406E-2</v>
      </c>
      <c r="AD34">
        <f t="shared" ca="1" si="7"/>
        <v>7.1735665431116757E-2</v>
      </c>
      <c r="AE34" s="14">
        <f t="shared" ca="1" si="8"/>
        <v>0.96498991438208059</v>
      </c>
      <c r="AN34" s="7"/>
    </row>
    <row r="35" spans="1:40">
      <c r="A35">
        <v>8.0080174164666298E-2</v>
      </c>
      <c r="B35">
        <v>1.1548526222596833</v>
      </c>
      <c r="C35">
        <v>1.0575216771396898</v>
      </c>
      <c r="D35">
        <v>-2.9320146161776958E-2</v>
      </c>
      <c r="E35">
        <v>0.34274424856602465</v>
      </c>
      <c r="F35">
        <v>-0.10900684007869224</v>
      </c>
      <c r="G35">
        <v>0.86787614865770035</v>
      </c>
      <c r="H35">
        <v>0.26568611524069158</v>
      </c>
      <c r="I35">
        <v>0.33014176495182557</v>
      </c>
      <c r="J35">
        <v>0.98942004742647871</v>
      </c>
      <c r="L35">
        <v>0.84174724917857779</v>
      </c>
      <c r="M35">
        <v>1.5725747861811847</v>
      </c>
      <c r="N35">
        <v>2.8043738941503862</v>
      </c>
      <c r="P35">
        <v>5.9412724535541231E-13</v>
      </c>
      <c r="R35">
        <v>2.5751174362638927</v>
      </c>
      <c r="S35">
        <v>2.5761959575841629</v>
      </c>
      <c r="T35">
        <v>1</v>
      </c>
      <c r="U35">
        <v>2.2558738177759228</v>
      </c>
      <c r="W35">
        <f t="shared" ca="1" si="10"/>
        <v>1.3999647598544691</v>
      </c>
      <c r="X35">
        <f t="shared" ca="1" si="11"/>
        <v>0.34779170544274873</v>
      </c>
      <c r="Y35">
        <f t="shared" ca="1" si="12"/>
        <v>0.15607668759713689</v>
      </c>
      <c r="AA35">
        <v>2.0489999999999999</v>
      </c>
      <c r="AB35">
        <f t="shared" ca="1" si="5"/>
        <v>2.1052203316204516</v>
      </c>
      <c r="AC35" s="14">
        <f t="shared" ca="1" si="6"/>
        <v>2.7437936369181015E-2</v>
      </c>
      <c r="AD35">
        <f t="shared" ca="1" si="7"/>
        <v>5.6220331620451702E-2</v>
      </c>
      <c r="AE35" s="14">
        <f t="shared" ca="1" si="8"/>
        <v>0.97256206363081898</v>
      </c>
      <c r="AN35" s="7"/>
    </row>
    <row r="36" spans="1:40">
      <c r="A36">
        <v>8.8209809807490644E-2</v>
      </c>
      <c r="B36">
        <v>1.162668155546168</v>
      </c>
      <c r="C36">
        <v>1.0507123943487258</v>
      </c>
      <c r="D36">
        <v>-3.9097323920142958E-2</v>
      </c>
      <c r="E36">
        <v>-0.32892254012020222</v>
      </c>
      <c r="F36">
        <v>-0.31150119594824754</v>
      </c>
      <c r="G36">
        <v>0.86985294730581642</v>
      </c>
      <c r="H36">
        <v>0.10977420872490416</v>
      </c>
      <c r="I36">
        <v>0.32434379588954393</v>
      </c>
      <c r="J36">
        <v>1.5422530262297536E-2</v>
      </c>
      <c r="L36">
        <v>0.84174728593891512</v>
      </c>
      <c r="M36">
        <v>1.5725745716456678</v>
      </c>
      <c r="N36">
        <v>2.8043740542871194</v>
      </c>
      <c r="P36">
        <v>4.9215823082194563E-13</v>
      </c>
      <c r="R36">
        <v>2.5751174362638927</v>
      </c>
      <c r="S36">
        <v>2.5761959575841629</v>
      </c>
      <c r="T36">
        <v>1</v>
      </c>
      <c r="U36">
        <v>2.2558738177759228</v>
      </c>
      <c r="W36">
        <f t="shared" ca="1" si="10"/>
        <v>1.2561721813395568</v>
      </c>
      <c r="X36">
        <f t="shared" ca="1" si="11"/>
        <v>0.3533082219509841</v>
      </c>
      <c r="Y36">
        <f t="shared" ca="1" si="12"/>
        <v>-0.13916495005713411</v>
      </c>
      <c r="AA36">
        <v>2.0489999999999999</v>
      </c>
      <c r="AB36">
        <f t="shared" ca="1" si="5"/>
        <v>1.7221621321939511</v>
      </c>
      <c r="AC36" s="14">
        <f t="shared" ca="1" si="6"/>
        <v>0.15951091644999948</v>
      </c>
      <c r="AD36">
        <f t="shared" ca="1" si="7"/>
        <v>0.32683786780604884</v>
      </c>
      <c r="AE36" s="14">
        <f t="shared" ca="1" si="8"/>
        <v>0.84048908355000052</v>
      </c>
      <c r="AN36" s="7" t="s">
        <v>22</v>
      </c>
    </row>
    <row r="37" spans="1:40">
      <c r="A37">
        <v>8.6672883214335028E-2</v>
      </c>
      <c r="B37">
        <v>1.1618045021338907</v>
      </c>
      <c r="C37">
        <v>1.0421958635244586</v>
      </c>
      <c r="D37">
        <v>0.14687891912154039</v>
      </c>
      <c r="E37">
        <v>0.31377454917930753</v>
      </c>
      <c r="F37">
        <v>0.50594888830493578</v>
      </c>
      <c r="G37">
        <v>0.51262646505956211</v>
      </c>
      <c r="H37">
        <v>0.31395488700736901</v>
      </c>
      <c r="I37">
        <v>0.78167154174872633</v>
      </c>
      <c r="J37">
        <v>0.37955733293220684</v>
      </c>
      <c r="L37">
        <v>0.84174691992683937</v>
      </c>
      <c r="M37">
        <v>1.5725747750690322</v>
      </c>
      <c r="N37">
        <v>2.8043739103404044</v>
      </c>
      <c r="P37">
        <v>6.6730902614878146E-13</v>
      </c>
      <c r="R37">
        <v>2.5751174362638927</v>
      </c>
      <c r="S37">
        <v>2.5761959575841629</v>
      </c>
      <c r="T37">
        <v>1</v>
      </c>
      <c r="U37">
        <v>2.2558738177759228</v>
      </c>
      <c r="W37">
        <f t="shared" ca="1" si="10"/>
        <v>1.3830342665797901</v>
      </c>
      <c r="X37">
        <f t="shared" ca="1" si="11"/>
        <v>0.15222646386140237</v>
      </c>
      <c r="Y37">
        <f t="shared" ca="1" si="12"/>
        <v>1.7100385204816688</v>
      </c>
      <c r="AA37">
        <v>2.0489999999999999</v>
      </c>
      <c r="AB37">
        <f t="shared" ca="1" si="5"/>
        <v>4.8601884203647803</v>
      </c>
      <c r="AC37" s="14">
        <f t="shared" ca="1" si="6"/>
        <v>1.3719806834381556</v>
      </c>
      <c r="AD37">
        <f t="shared" ca="1" si="7"/>
        <v>2.8111884203647803</v>
      </c>
      <c r="AE37" s="14">
        <f t="shared" ca="1" si="8"/>
        <v>-0.3719806834381556</v>
      </c>
      <c r="AN37" s="7"/>
    </row>
    <row r="38" spans="1:40">
      <c r="A38">
        <v>7.0765038158581442E-2</v>
      </c>
      <c r="B38">
        <v>1.1529447646821487</v>
      </c>
      <c r="C38">
        <v>1.0181532581998542</v>
      </c>
      <c r="D38">
        <v>-0.9367056644218249</v>
      </c>
      <c r="E38">
        <v>0.61711967804651546</v>
      </c>
      <c r="F38">
        <v>-0.35755022814692505</v>
      </c>
      <c r="G38">
        <v>3.7107674860396886E-2</v>
      </c>
      <c r="H38">
        <v>0.79314351697803875</v>
      </c>
      <c r="I38">
        <v>0.62046862968438277</v>
      </c>
      <c r="J38">
        <v>0.37143437720046973</v>
      </c>
      <c r="L38">
        <v>0.84174699493913874</v>
      </c>
      <c r="M38">
        <v>1.5725747507420373</v>
      </c>
      <c r="N38">
        <v>2.8043737968935165</v>
      </c>
      <c r="P38">
        <v>8.1595831829206428E-13</v>
      </c>
      <c r="R38">
        <v>2.5751174362638927</v>
      </c>
      <c r="S38">
        <v>2.5761959575841629</v>
      </c>
      <c r="T38">
        <v>1</v>
      </c>
      <c r="U38">
        <v>2.2558738177759228</v>
      </c>
      <c r="W38">
        <f t="shared" ca="1" si="10"/>
        <v>1.4281844885017017</v>
      </c>
      <c r="X38">
        <f t="shared" ca="1" si="11"/>
        <v>0.14659146719307653</v>
      </c>
      <c r="Y38">
        <f t="shared" ca="1" si="12"/>
        <v>-0.27458522839914945</v>
      </c>
      <c r="AA38">
        <v>2.0489999999999999</v>
      </c>
      <c r="AB38">
        <f t="shared" ca="1" si="5"/>
        <v>2.1365970391056992</v>
      </c>
      <c r="AC38" s="14">
        <f t="shared" ca="1" si="6"/>
        <v>4.2751117181893283E-2</v>
      </c>
      <c r="AD38">
        <f t="shared" ca="1" si="7"/>
        <v>8.759703910569927E-2</v>
      </c>
      <c r="AE38" s="14">
        <f t="shared" ca="1" si="8"/>
        <v>0.95724888281810672</v>
      </c>
      <c r="AN38" s="7"/>
    </row>
    <row r="39" spans="1:40">
      <c r="A39">
        <v>8.6877717341415375E-2</v>
      </c>
      <c r="B39">
        <v>1.1616241961864771</v>
      </c>
      <c r="C39">
        <v>1.0384157498158895</v>
      </c>
      <c r="D39">
        <v>0.15852080899259072</v>
      </c>
      <c r="E39">
        <v>0.39115463696796537</v>
      </c>
      <c r="F39">
        <v>0.45777529008107171</v>
      </c>
      <c r="G39">
        <v>0.36307040091722959</v>
      </c>
      <c r="H39">
        <v>0.3109056599294901</v>
      </c>
      <c r="I39">
        <v>0.86815075157826549</v>
      </c>
      <c r="J39">
        <v>0.24027906528766321</v>
      </c>
      <c r="L39">
        <v>0.84174713816355606</v>
      </c>
      <c r="M39">
        <v>1.5725745823217347</v>
      </c>
      <c r="N39">
        <v>2.8043740762010398</v>
      </c>
      <c r="P39">
        <v>4.632867098179471E-13</v>
      </c>
      <c r="R39">
        <v>2.5751174362638927</v>
      </c>
      <c r="S39">
        <v>2.5761959575841629</v>
      </c>
      <c r="T39">
        <v>1</v>
      </c>
      <c r="U39">
        <v>2.2558738177759228</v>
      </c>
      <c r="W39">
        <f t="shared" ca="1" si="10"/>
        <v>1.4666002229424313</v>
      </c>
      <c r="X39">
        <f t="shared" ca="1" si="11"/>
        <v>0.27073373239068488</v>
      </c>
      <c r="Y39">
        <f t="shared" ca="1" si="12"/>
        <v>0.10293424136246412</v>
      </c>
      <c r="AA39">
        <v>2.0489999999999999</v>
      </c>
      <c r="AB39">
        <f t="shared" ca="1" si="5"/>
        <v>2.2348084258338461</v>
      </c>
      <c r="AC39" s="14">
        <f t="shared" ca="1" si="6"/>
        <v>9.0682491866201254E-2</v>
      </c>
      <c r="AD39">
        <f t="shared" ca="1" si="7"/>
        <v>0.18580842583384616</v>
      </c>
      <c r="AE39" s="14">
        <f t="shared" ca="1" si="8"/>
        <v>0.90931750813379875</v>
      </c>
      <c r="AN39" s="7"/>
    </row>
    <row r="40" spans="1:40">
      <c r="A40">
        <v>8.1056392690548637E-2</v>
      </c>
      <c r="B40">
        <v>1.1575681060967564</v>
      </c>
      <c r="C40">
        <v>1.0629969062943065</v>
      </c>
      <c r="D40">
        <v>0.14862713112672427</v>
      </c>
      <c r="E40">
        <v>0.69887624250065838</v>
      </c>
      <c r="F40">
        <v>-6.7836136842729336E-2</v>
      </c>
      <c r="G40">
        <v>0.86670548141228898</v>
      </c>
      <c r="H40">
        <v>0.1361546951483644</v>
      </c>
      <c r="I40">
        <v>0.36351455409047556</v>
      </c>
      <c r="J40">
        <v>0.70187285372947661</v>
      </c>
      <c r="L40">
        <v>0.84174689200555819</v>
      </c>
      <c r="M40">
        <v>1.5725748783156273</v>
      </c>
      <c r="N40">
        <v>2.8043739791428774</v>
      </c>
      <c r="P40">
        <v>5.6521359225091732E-13</v>
      </c>
      <c r="R40">
        <v>2.5751174362638927</v>
      </c>
      <c r="S40">
        <v>2.5761959575841629</v>
      </c>
      <c r="T40">
        <v>1</v>
      </c>
      <c r="U40">
        <v>2.2558738177759228</v>
      </c>
      <c r="W40">
        <f t="shared" ca="1" si="10"/>
        <v>1.4089643828867824</v>
      </c>
      <c r="X40">
        <f t="shared" ca="1" si="11"/>
        <v>0.2994663983220025</v>
      </c>
      <c r="Y40">
        <f t="shared" ca="1" si="12"/>
        <v>5.8574624332616648E-2</v>
      </c>
      <c r="AA40">
        <v>2.0489999999999999</v>
      </c>
      <c r="AB40">
        <f t="shared" ca="1" si="5"/>
        <v>2.078291742583191</v>
      </c>
      <c r="AC40" s="14">
        <f t="shared" ca="1" si="6"/>
        <v>1.4295628395896154E-2</v>
      </c>
      <c r="AD40">
        <f t="shared" ca="1" si="7"/>
        <v>2.9291742583191116E-2</v>
      </c>
      <c r="AE40" s="14">
        <f t="shared" ca="1" si="8"/>
        <v>0.98570437160410385</v>
      </c>
      <c r="AN40" s="7" t="s">
        <v>23</v>
      </c>
    </row>
    <row r="41" spans="1:40">
      <c r="A41">
        <v>-4.6742821215107262E-2</v>
      </c>
      <c r="B41">
        <v>0.97044798007316579</v>
      </c>
      <c r="C41">
        <v>1.2163280233301128</v>
      </c>
      <c r="D41">
        <v>-0.39702168699556462</v>
      </c>
      <c r="E41">
        <v>0.5361298623913775</v>
      </c>
      <c r="F41">
        <v>-0.7038987440939124</v>
      </c>
      <c r="G41">
        <v>0.86292546964545314</v>
      </c>
      <c r="H41">
        <v>7.4762218583109372E-2</v>
      </c>
      <c r="I41">
        <v>0.77482014026231893</v>
      </c>
      <c r="J41">
        <v>0.16195072829295368</v>
      </c>
      <c r="L41">
        <v>0.84174784737462938</v>
      </c>
      <c r="M41">
        <v>1.8988182242435587</v>
      </c>
      <c r="N41">
        <v>3.0960820599440368</v>
      </c>
      <c r="P41">
        <v>8.5654227577437757E-13</v>
      </c>
      <c r="R41">
        <v>6.043216019102954</v>
      </c>
      <c r="S41">
        <v>6.0546724397063105</v>
      </c>
      <c r="T41">
        <v>1</v>
      </c>
      <c r="U41">
        <v>1.9650169284498542</v>
      </c>
      <c r="W41">
        <f t="shared" ca="1" si="10"/>
        <v>-1.4321058162504867</v>
      </c>
      <c r="X41">
        <f t="shared" ca="1" si="11"/>
        <v>-8.8977439182844065E-2</v>
      </c>
      <c r="Y41">
        <f t="shared" ca="1" si="12"/>
        <v>0.32899697727816118</v>
      </c>
      <c r="AA41">
        <v>1.857</v>
      </c>
      <c r="AB41">
        <f t="shared" ca="1" si="5"/>
        <v>2.1670830646801766</v>
      </c>
      <c r="AC41" s="14">
        <f t="shared" ca="1" si="6"/>
        <v>0.16698064872384322</v>
      </c>
      <c r="AD41">
        <f t="shared" ca="1" si="7"/>
        <v>0.31008306468017666</v>
      </c>
      <c r="AE41" s="14">
        <f t="shared" ca="1" si="8"/>
        <v>0.83301935127615678</v>
      </c>
      <c r="AN41" s="7"/>
    </row>
    <row r="42" spans="1:40">
      <c r="A42">
        <v>-6.0298373816050334E-2</v>
      </c>
      <c r="B42">
        <v>0.95207750945205583</v>
      </c>
      <c r="C42">
        <v>1.2520557823377183</v>
      </c>
      <c r="D42">
        <v>0.71424722615897474</v>
      </c>
      <c r="E42">
        <v>-0.90968407613372937</v>
      </c>
      <c r="F42">
        <v>0.14185632369541878</v>
      </c>
      <c r="G42">
        <v>0.93140885498174131</v>
      </c>
      <c r="H42">
        <v>0.27106440581891666</v>
      </c>
      <c r="I42">
        <v>0.36901363366789985</v>
      </c>
      <c r="J42">
        <v>0.52797802045848463</v>
      </c>
      <c r="L42">
        <v>0.8417476992929388</v>
      </c>
      <c r="M42">
        <v>1.8988183011818807</v>
      </c>
      <c r="N42">
        <v>3.0960821237738494</v>
      </c>
      <c r="P42">
        <v>5.9830924027335561E-13</v>
      </c>
      <c r="R42">
        <v>6.043216019102954</v>
      </c>
      <c r="S42">
        <v>6.0546724397063105</v>
      </c>
      <c r="T42">
        <v>1</v>
      </c>
      <c r="U42">
        <v>1.9650169284498542</v>
      </c>
      <c r="W42">
        <f t="shared" ca="1" si="10"/>
        <v>-1.4913210103190022</v>
      </c>
      <c r="X42">
        <f t="shared" ca="1" si="11"/>
        <v>-7.2724722296873268E-2</v>
      </c>
      <c r="Y42">
        <f t="shared" ca="1" si="12"/>
        <v>0.41916962161495019</v>
      </c>
      <c r="AA42">
        <v>1.857</v>
      </c>
      <c r="AB42">
        <f t="shared" ca="1" si="5"/>
        <v>2.4050304127368674</v>
      </c>
      <c r="AC42" s="14">
        <f t="shared" ca="1" si="6"/>
        <v>0.29511600039680519</v>
      </c>
      <c r="AD42">
        <f t="shared" ca="1" si="7"/>
        <v>0.54803041273686737</v>
      </c>
      <c r="AE42" s="14">
        <f t="shared" ca="1" si="8"/>
        <v>0.70488399960319481</v>
      </c>
      <c r="AN42" s="7"/>
    </row>
    <row r="43" spans="1:40">
      <c r="A43">
        <v>-3.6610075152592313E-2</v>
      </c>
      <c r="B43">
        <v>0.98677363385099381</v>
      </c>
      <c r="C43">
        <v>1.178203779233107</v>
      </c>
      <c r="D43">
        <v>-0.38713083055861236</v>
      </c>
      <c r="E43">
        <v>0.42631347924452528</v>
      </c>
      <c r="F43">
        <v>-0.15696795981483486</v>
      </c>
      <c r="G43">
        <v>0.51186446432077426</v>
      </c>
      <c r="H43">
        <v>0.74142714661743536</v>
      </c>
      <c r="I43">
        <v>0.3581788449922404</v>
      </c>
      <c r="J43">
        <v>0.53025735939279406</v>
      </c>
      <c r="L43">
        <v>0.84174799064628936</v>
      </c>
      <c r="M43">
        <v>1.8988181579211758</v>
      </c>
      <c r="N43">
        <v>3.0960819680606457</v>
      </c>
      <c r="P43">
        <v>1.159850109165907E-12</v>
      </c>
      <c r="R43">
        <v>6.043216019102954</v>
      </c>
      <c r="S43">
        <v>6.0546724397063105</v>
      </c>
      <c r="T43">
        <v>1</v>
      </c>
      <c r="U43">
        <v>1.9650169284498542</v>
      </c>
      <c r="W43">
        <f t="shared" ca="1" si="10"/>
        <v>-1.9049858305585268</v>
      </c>
      <c r="X43">
        <f t="shared" ca="1" si="11"/>
        <v>8.5679073246508697E-2</v>
      </c>
      <c r="Y43">
        <f t="shared" ca="1" si="12"/>
        <v>0.97654270084919292</v>
      </c>
      <c r="AA43">
        <v>1.857</v>
      </c>
      <c r="AB43">
        <f t="shared" ca="1" si="5"/>
        <v>4.5899475648029764</v>
      </c>
      <c r="AC43" s="14">
        <f t="shared" ca="1" si="6"/>
        <v>1.4717003579983716</v>
      </c>
      <c r="AD43">
        <f t="shared" ca="1" si="7"/>
        <v>2.7329475648029762</v>
      </c>
      <c r="AE43" s="14">
        <f t="shared" ca="1" si="8"/>
        <v>-0.47170035799837162</v>
      </c>
      <c r="AN43" s="7"/>
    </row>
    <row r="44" spans="1:40">
      <c r="A44">
        <v>-5.5802946053270207E-2</v>
      </c>
      <c r="B44">
        <v>0.96381174776649992</v>
      </c>
      <c r="C44">
        <v>1.209079858864162</v>
      </c>
      <c r="D44">
        <v>-0.72301959538254068</v>
      </c>
      <c r="E44">
        <v>-0.12435097841468673</v>
      </c>
      <c r="F44">
        <v>0.30303634413221109</v>
      </c>
      <c r="G44">
        <v>0.29774997579441148</v>
      </c>
      <c r="H44">
        <v>1.2305870432455826E-2</v>
      </c>
      <c r="I44">
        <v>0.97014029964109094</v>
      </c>
      <c r="J44">
        <v>0.75503577354693741</v>
      </c>
      <c r="L44">
        <v>0.84174796357988912</v>
      </c>
      <c r="M44">
        <v>1.8988182367116846</v>
      </c>
      <c r="N44">
        <v>3.0960818416214146</v>
      </c>
      <c r="P44">
        <v>1.0475041124878846E-12</v>
      </c>
      <c r="R44">
        <v>6.043216019102954</v>
      </c>
      <c r="S44">
        <v>6.0546724397063105</v>
      </c>
      <c r="T44">
        <v>1</v>
      </c>
      <c r="U44">
        <v>1.9650169284498542</v>
      </c>
      <c r="W44">
        <f t="shared" ca="1" si="10"/>
        <v>-1.442419258040452</v>
      </c>
      <c r="X44">
        <f t="shared" ca="1" si="11"/>
        <v>5.7535731584967401E-2</v>
      </c>
      <c r="Y44">
        <f t="shared" ca="1" si="12"/>
        <v>0.15586664868626968</v>
      </c>
      <c r="AA44">
        <v>1.857</v>
      </c>
      <c r="AB44">
        <f t="shared" ca="1" si="5"/>
        <v>2.1081780885476746</v>
      </c>
      <c r="AC44" s="14">
        <f t="shared" ca="1" si="6"/>
        <v>0.13526014461371827</v>
      </c>
      <c r="AD44">
        <f t="shared" ca="1" si="7"/>
        <v>0.25117808854767465</v>
      </c>
      <c r="AE44" s="14">
        <f t="shared" ca="1" si="8"/>
        <v>0.86473985538628173</v>
      </c>
      <c r="AN44" s="7" t="s">
        <v>24</v>
      </c>
    </row>
    <row r="45" spans="1:40">
      <c r="A45">
        <v>-4.7328679017253052E-2</v>
      </c>
      <c r="B45">
        <v>0.95898236121874603</v>
      </c>
      <c r="C45">
        <v>1.2154200262416868</v>
      </c>
      <c r="D45">
        <v>0.26728613995093864</v>
      </c>
      <c r="E45">
        <v>-5.6072339093538343E-2</v>
      </c>
      <c r="F45">
        <v>-0.83498187094402065</v>
      </c>
      <c r="G45">
        <v>0.32076196696712223</v>
      </c>
      <c r="H45">
        <v>8.36347762951518E-2</v>
      </c>
      <c r="I45">
        <v>0.52740608716251025</v>
      </c>
      <c r="J45">
        <v>0.63592516261680487</v>
      </c>
      <c r="L45">
        <v>0.84174782156142258</v>
      </c>
      <c r="M45">
        <v>1.89881824925539</v>
      </c>
      <c r="N45">
        <v>3.0960820657782722</v>
      </c>
      <c r="P45">
        <v>7.9141713714944267E-13</v>
      </c>
      <c r="R45">
        <v>6.043216019102954</v>
      </c>
      <c r="S45">
        <v>6.0546724397063105</v>
      </c>
      <c r="T45">
        <v>1</v>
      </c>
      <c r="U45">
        <v>1.9650169284498542</v>
      </c>
      <c r="W45">
        <f t="shared" ca="1" si="10"/>
        <v>-1.443027427012318</v>
      </c>
      <c r="X45">
        <f t="shared" ca="1" si="11"/>
        <v>0.11615559173229559</v>
      </c>
      <c r="Y45">
        <f t="shared" ca="1" si="12"/>
        <v>7.7245611510563139E-2</v>
      </c>
      <c r="AA45">
        <v>1.857</v>
      </c>
      <c r="AB45">
        <f t="shared" ca="1" si="5"/>
        <v>2.1017871610981111</v>
      </c>
      <c r="AC45" s="14">
        <f t="shared" ca="1" si="6"/>
        <v>0.13181861125369476</v>
      </c>
      <c r="AD45">
        <f t="shared" ca="1" si="7"/>
        <v>0.24478716109811116</v>
      </c>
      <c r="AE45" s="14">
        <f t="shared" ca="1" si="8"/>
        <v>0.86818138874630524</v>
      </c>
      <c r="AN45" s="7"/>
    </row>
    <row r="46" spans="1:40">
      <c r="A46">
        <v>-4.2951239838050867E-2</v>
      </c>
      <c r="B46">
        <v>0.971970905784174</v>
      </c>
      <c r="C46">
        <v>1.2076955135747305</v>
      </c>
      <c r="D46">
        <v>0.90753177664040785</v>
      </c>
      <c r="E46">
        <v>2.1447850583298643E-2</v>
      </c>
      <c r="F46">
        <v>-0.32536392706248707</v>
      </c>
      <c r="G46">
        <v>0.58686537935823957</v>
      </c>
      <c r="H46">
        <v>0.95452178427103052</v>
      </c>
      <c r="I46">
        <v>0.22219182807713883</v>
      </c>
      <c r="J46">
        <v>0.49252281341252907</v>
      </c>
      <c r="L46">
        <v>0.84174778648522131</v>
      </c>
      <c r="M46">
        <v>1.8988181364162611</v>
      </c>
      <c r="N46">
        <v>3.096082090508149</v>
      </c>
      <c r="P46">
        <v>9.136462456614804E-13</v>
      </c>
      <c r="R46">
        <v>6.043216019102954</v>
      </c>
      <c r="S46">
        <v>6.0546724397063105</v>
      </c>
      <c r="T46">
        <v>1</v>
      </c>
      <c r="U46">
        <v>1.9650169284498542</v>
      </c>
      <c r="W46">
        <f t="shared" ca="1" si="10"/>
        <v>-1.4145814577551203</v>
      </c>
      <c r="X46">
        <f t="shared" ca="1" si="11"/>
        <v>0.12039234378081781</v>
      </c>
      <c r="Y46">
        <f t="shared" ca="1" si="12"/>
        <v>2.6645197398941535E-2</v>
      </c>
      <c r="AA46">
        <v>1.857</v>
      </c>
      <c r="AB46">
        <f t="shared" ca="1" si="5"/>
        <v>2.0162449836100684</v>
      </c>
      <c r="AC46" s="14">
        <f t="shared" ca="1" si="6"/>
        <v>8.5753895320446194E-2</v>
      </c>
      <c r="AD46">
        <f t="shared" ca="1" si="7"/>
        <v>0.15924498361006845</v>
      </c>
      <c r="AE46" s="14">
        <f t="shared" ca="1" si="8"/>
        <v>0.91424610467955381</v>
      </c>
      <c r="AN46" s="7"/>
    </row>
    <row r="47" spans="1:40">
      <c r="A47">
        <v>-5.3605085758509849E-2</v>
      </c>
      <c r="B47">
        <v>0.96509883973860244</v>
      </c>
      <c r="C47">
        <v>1.2052219599532084</v>
      </c>
      <c r="D47">
        <v>-0.46740257057408019</v>
      </c>
      <c r="E47">
        <v>-0.3285183973410109</v>
      </c>
      <c r="F47">
        <v>-0.33276462681830865</v>
      </c>
      <c r="G47">
        <v>0.4617849394417462</v>
      </c>
      <c r="H47">
        <v>0.41733974764501641</v>
      </c>
      <c r="I47">
        <v>0.91595601199243315</v>
      </c>
      <c r="J47">
        <v>0.61094284628275752</v>
      </c>
      <c r="L47">
        <v>0.8417478546936813</v>
      </c>
      <c r="M47">
        <v>1.8988182375805407</v>
      </c>
      <c r="N47">
        <v>3.0960820621419578</v>
      </c>
      <c r="P47">
        <v>8.4751067468744556E-13</v>
      </c>
      <c r="R47">
        <v>6.043216019102954</v>
      </c>
      <c r="S47">
        <v>6.0546724397063105</v>
      </c>
      <c r="T47">
        <v>1</v>
      </c>
      <c r="U47">
        <v>1.9650169284498542</v>
      </c>
      <c r="W47">
        <f t="shared" ref="W47:W70" ca="1" si="13">MEDIAN(OFFSET(A$11,(ROW(A37)-1)*$W$7,0,$W$7,1))</f>
        <v>-1.4630530132581221</v>
      </c>
      <c r="X47">
        <f t="shared" ref="X47:X70" ca="1" si="14">MEDIAN(OFFSET(B$11,(ROW(B37)-1)*$W$7,0,$W$7,1))</f>
        <v>-7.7523593944408123E-2</v>
      </c>
      <c r="Y47">
        <f t="shared" ref="Y47:Y70" ca="1" si="15">MEDIAN(OFFSET(C$11,(ROW(C37)-1)*$W$7,0,$W$7,1))</f>
        <v>1.6119223583553117</v>
      </c>
      <c r="AA47">
        <v>1.857</v>
      </c>
      <c r="AB47">
        <f t="shared" ca="1" si="5"/>
        <v>4.7448277165874782</v>
      </c>
      <c r="AC47" s="14">
        <f t="shared" ca="1" si="6"/>
        <v>1.5551037784531383</v>
      </c>
      <c r="AD47">
        <f t="shared" ca="1" si="7"/>
        <v>2.8878277165874779</v>
      </c>
      <c r="AE47" s="14">
        <f t="shared" ca="1" si="8"/>
        <v>-0.5551037784531383</v>
      </c>
      <c r="AN47" s="7"/>
    </row>
    <row r="48" spans="1:40">
      <c r="A48">
        <v>-4.9086746945267948E-2</v>
      </c>
      <c r="B48">
        <v>0.97138773163128911</v>
      </c>
      <c r="C48">
        <v>1.2202580357103037</v>
      </c>
      <c r="D48">
        <v>0.15833666376674496</v>
      </c>
      <c r="E48">
        <v>-8.0841252722132384E-2</v>
      </c>
      <c r="F48">
        <v>0.66914141976861241</v>
      </c>
      <c r="G48">
        <v>0.93874626966522257</v>
      </c>
      <c r="H48">
        <v>0.55598194234190546</v>
      </c>
      <c r="I48">
        <v>0.42500527059338389</v>
      </c>
      <c r="J48">
        <v>0.74707379990711753</v>
      </c>
      <c r="L48">
        <v>0.84174782594673381</v>
      </c>
      <c r="M48">
        <v>1.8988181872384764</v>
      </c>
      <c r="N48">
        <v>3.0960820580943587</v>
      </c>
      <c r="P48">
        <v>8.8264854896482774E-13</v>
      </c>
      <c r="R48">
        <v>6.043216019102954</v>
      </c>
      <c r="S48">
        <v>6.0546724397063105</v>
      </c>
      <c r="T48">
        <v>1</v>
      </c>
      <c r="U48">
        <v>1.9650169284498542</v>
      </c>
      <c r="W48">
        <f t="shared" ca="1" si="13"/>
        <v>-1.4174859660836638</v>
      </c>
      <c r="X48">
        <f t="shared" ca="1" si="14"/>
        <v>-8.6480265407158752E-2</v>
      </c>
      <c r="Y48">
        <f t="shared" ca="1" si="15"/>
        <v>-0.35015213565685477</v>
      </c>
      <c r="AA48">
        <v>1.857</v>
      </c>
      <c r="AB48">
        <f t="shared" ca="1" si="5"/>
        <v>2.1393518184540872</v>
      </c>
      <c r="AC48" s="14">
        <f t="shared" ca="1" si="6"/>
        <v>0.15204729049762378</v>
      </c>
      <c r="AD48">
        <f t="shared" ca="1" si="7"/>
        <v>0.28235181845408719</v>
      </c>
      <c r="AE48" s="14">
        <f t="shared" ca="1" si="8"/>
        <v>0.84795270950237622</v>
      </c>
      <c r="AN48" s="7" t="s">
        <v>25</v>
      </c>
    </row>
    <row r="49" spans="1:40">
      <c r="A49">
        <v>-5.1186272466595802E-2</v>
      </c>
      <c r="B49">
        <v>0.97236134925690543</v>
      </c>
      <c r="C49">
        <v>1.1981742387563366</v>
      </c>
      <c r="D49">
        <v>-7.1388291470710061E-2</v>
      </c>
      <c r="E49">
        <v>5.1109913086825602E-2</v>
      </c>
      <c r="F49">
        <v>-0.19560081185514699</v>
      </c>
      <c r="G49">
        <v>0.21247105287503806</v>
      </c>
      <c r="H49">
        <v>0.63922551895425073</v>
      </c>
      <c r="I49">
        <v>0.72172821767120343</v>
      </c>
      <c r="J49">
        <v>0.21441045322845145</v>
      </c>
      <c r="L49">
        <v>0.84174785676791031</v>
      </c>
      <c r="M49">
        <v>1.8988181163228299</v>
      </c>
      <c r="N49">
        <v>3.0960820189117939</v>
      </c>
      <c r="P49">
        <v>1.0303561370551978E-12</v>
      </c>
      <c r="R49">
        <v>6.043216019102954</v>
      </c>
      <c r="S49">
        <v>6.0546724397063105</v>
      </c>
      <c r="T49">
        <v>1</v>
      </c>
      <c r="U49">
        <v>1.9650169284498542</v>
      </c>
      <c r="W49">
        <f t="shared" ca="1" si="13"/>
        <v>-1.4942079812178775</v>
      </c>
      <c r="X49">
        <f t="shared" ca="1" si="14"/>
        <v>-6.4633757663149077E-2</v>
      </c>
      <c r="Y49">
        <f t="shared" ca="1" si="15"/>
        <v>-0.13592123519733224</v>
      </c>
      <c r="AA49">
        <v>1.857</v>
      </c>
      <c r="AB49">
        <f t="shared" ca="1" si="5"/>
        <v>2.2553095959424319</v>
      </c>
      <c r="AC49" s="14">
        <f t="shared" ca="1" si="6"/>
        <v>0.21449089711493374</v>
      </c>
      <c r="AD49">
        <f t="shared" ca="1" si="7"/>
        <v>0.39830959594243187</v>
      </c>
      <c r="AE49" s="14">
        <f t="shared" ca="1" si="8"/>
        <v>0.78550910288506626</v>
      </c>
      <c r="AN49" s="7"/>
    </row>
    <row r="50" spans="1:40">
      <c r="A50">
        <v>-4.5670723810429352E-2</v>
      </c>
      <c r="B50">
        <v>0.96905210374020934</v>
      </c>
      <c r="C50">
        <v>1.2121842188576604</v>
      </c>
      <c r="D50">
        <v>6.9631061912806907E-2</v>
      </c>
      <c r="E50">
        <v>0.44832739626129747</v>
      </c>
      <c r="F50">
        <v>1.7551191517454195E-2</v>
      </c>
      <c r="G50">
        <v>0.41058428616809961</v>
      </c>
      <c r="H50">
        <v>8.2672817328121234E-2</v>
      </c>
      <c r="I50">
        <v>0.48529015453177748</v>
      </c>
      <c r="J50">
        <v>0.54480375536627734</v>
      </c>
      <c r="L50">
        <v>0.84174772099323603</v>
      </c>
      <c r="M50">
        <v>1.898818113975582</v>
      </c>
      <c r="N50">
        <v>3.0960821122753419</v>
      </c>
      <c r="P50">
        <v>8.8148238094447042E-13</v>
      </c>
      <c r="R50">
        <v>6.043216019102954</v>
      </c>
      <c r="S50">
        <v>6.0546724397063105</v>
      </c>
      <c r="T50">
        <v>1</v>
      </c>
      <c r="U50">
        <v>1.9650169284498542</v>
      </c>
      <c r="W50">
        <f t="shared" ca="1" si="13"/>
        <v>-1.4359323452657207</v>
      </c>
      <c r="X50">
        <f t="shared" ca="1" si="14"/>
        <v>6.9771126493719041E-2</v>
      </c>
      <c r="Y50">
        <f t="shared" ca="1" si="15"/>
        <v>-1.6534107855710807E-2</v>
      </c>
      <c r="AA50">
        <v>1.857</v>
      </c>
      <c r="AB50">
        <f t="shared" ca="1" si="5"/>
        <v>2.0670430869951</v>
      </c>
      <c r="AC50" s="14">
        <f t="shared" ca="1" si="6"/>
        <v>0.11310882444539572</v>
      </c>
      <c r="AD50">
        <f t="shared" ca="1" si="7"/>
        <v>0.21004308699509999</v>
      </c>
      <c r="AE50" s="14">
        <f t="shared" ca="1" si="8"/>
        <v>0.88689117555460428</v>
      </c>
      <c r="AN50" s="7"/>
    </row>
    <row r="51" spans="1:40">
      <c r="A51">
        <v>-0.49517971098551278</v>
      </c>
      <c r="B51">
        <v>1.125050979036208</v>
      </c>
      <c r="C51">
        <v>1.8392807524856201</v>
      </c>
      <c r="D51">
        <v>0.57825566170550113</v>
      </c>
      <c r="E51">
        <v>-0.29012435889228255</v>
      </c>
      <c r="F51">
        <v>-0.44714364273170343</v>
      </c>
      <c r="G51">
        <v>0.85964628424687262</v>
      </c>
      <c r="H51">
        <v>0.43223817471090359</v>
      </c>
      <c r="I51">
        <v>0</v>
      </c>
      <c r="J51">
        <v>1.0301071043096115</v>
      </c>
      <c r="L51">
        <v>0.84174678276871306</v>
      </c>
      <c r="M51">
        <v>1.8988205417884727</v>
      </c>
      <c r="N51">
        <v>2.804372348975777</v>
      </c>
      <c r="P51">
        <v>8.1487818513063947E-12</v>
      </c>
      <c r="R51">
        <v>17.739881519495245</v>
      </c>
      <c r="S51">
        <v>18.020767054039418</v>
      </c>
      <c r="T51">
        <v>1</v>
      </c>
      <c r="U51">
        <v>2.0036364081740112</v>
      </c>
      <c r="W51">
        <f t="shared" ca="1" si="13"/>
        <v>1.0869607865842226</v>
      </c>
      <c r="X51">
        <f t="shared" ca="1" si="14"/>
        <v>-1.031822370908404</v>
      </c>
      <c r="Y51">
        <f t="shared" ca="1" si="15"/>
        <v>0.24982451488571294</v>
      </c>
      <c r="AA51">
        <v>1.762</v>
      </c>
      <c r="AB51">
        <f t="shared" ca="1" si="5"/>
        <v>2.3085534449167135</v>
      </c>
      <c r="AC51" s="14">
        <f t="shared" ca="1" si="6"/>
        <v>0.31018924229098377</v>
      </c>
      <c r="AD51">
        <f t="shared" ca="1" si="7"/>
        <v>0.54655344491671354</v>
      </c>
      <c r="AE51" s="14">
        <f t="shared" ca="1" si="8"/>
        <v>0.68981075770901623</v>
      </c>
      <c r="AN51" s="7"/>
    </row>
    <row r="52" spans="1:40">
      <c r="A52">
        <v>-0.50875057562089587</v>
      </c>
      <c r="B52">
        <v>1.1305801273281173</v>
      </c>
      <c r="C52">
        <v>1.8577842541824148</v>
      </c>
      <c r="D52">
        <v>0.45491497574370326</v>
      </c>
      <c r="E52">
        <v>-3.7106232169596472E-2</v>
      </c>
      <c r="F52">
        <v>0.4118450700027444</v>
      </c>
      <c r="G52">
        <v>0.70723114660556474</v>
      </c>
      <c r="H52">
        <v>0.18445456712204811</v>
      </c>
      <c r="I52">
        <v>0</v>
      </c>
      <c r="J52">
        <v>0.8096583153687712</v>
      </c>
      <c r="L52">
        <v>0.84174653028137236</v>
      </c>
      <c r="M52">
        <v>1.8988190460476404</v>
      </c>
      <c r="N52">
        <v>2.8043746256273372</v>
      </c>
      <c r="P52">
        <v>5.0434156564111563E-13</v>
      </c>
      <c r="R52">
        <v>17.739881519495245</v>
      </c>
      <c r="S52">
        <v>18.020767054039418</v>
      </c>
      <c r="T52">
        <v>1</v>
      </c>
      <c r="U52">
        <v>2.0036364081740112</v>
      </c>
      <c r="W52">
        <f t="shared" ca="1" si="13"/>
        <v>0.98515063757519949</v>
      </c>
      <c r="X52">
        <f t="shared" ca="1" si="14"/>
        <v>-1.1341245835998317</v>
      </c>
      <c r="Y52">
        <f t="shared" ca="1" si="15"/>
        <v>0.38808878458497276</v>
      </c>
      <c r="AA52">
        <v>1.762</v>
      </c>
      <c r="AB52">
        <f t="shared" ca="1" si="5"/>
        <v>2.4073732545609547</v>
      </c>
      <c r="AC52" s="14">
        <f t="shared" ca="1" si="6"/>
        <v>0.36627312971677339</v>
      </c>
      <c r="AD52">
        <f t="shared" ca="1" si="7"/>
        <v>0.64537325456095473</v>
      </c>
      <c r="AE52" s="14">
        <f t="shared" ca="1" si="8"/>
        <v>0.63372687028322661</v>
      </c>
      <c r="AN52" s="7" t="s">
        <v>26</v>
      </c>
    </row>
    <row r="53" spans="1:40">
      <c r="A53">
        <v>-0.41185112361901521</v>
      </c>
      <c r="B53">
        <v>1.1263366986277896</v>
      </c>
      <c r="C53">
        <v>1.6875766723373891</v>
      </c>
      <c r="D53">
        <v>-0.14729319592737602</v>
      </c>
      <c r="E53">
        <v>0.5561431614215121</v>
      </c>
      <c r="F53">
        <v>-0.69842415374368982</v>
      </c>
      <c r="G53">
        <v>0.42601437677446058</v>
      </c>
      <c r="H53">
        <v>1.0061044617550925</v>
      </c>
      <c r="I53">
        <v>9.9888607213517167E-2</v>
      </c>
      <c r="J53">
        <v>0.86525885282054971</v>
      </c>
      <c r="L53">
        <v>0.84174464411475536</v>
      </c>
      <c r="M53">
        <v>1.8988205818944761</v>
      </c>
      <c r="N53">
        <v>2.8043734175336739</v>
      </c>
      <c r="P53">
        <v>1.098102080077434E-11</v>
      </c>
      <c r="R53">
        <v>17.739881519495245</v>
      </c>
      <c r="S53">
        <v>18.020767054039418</v>
      </c>
      <c r="T53">
        <v>1</v>
      </c>
      <c r="U53">
        <v>2.0036364081740112</v>
      </c>
      <c r="W53">
        <f t="shared" ca="1" si="13"/>
        <v>1.1702912618041634</v>
      </c>
      <c r="X53">
        <f t="shared" ca="1" si="14"/>
        <v>-0.94168405478413464</v>
      </c>
      <c r="Y53">
        <f t="shared" ca="1" si="15"/>
        <v>0.12824455251302122</v>
      </c>
      <c r="AA53">
        <v>1.762</v>
      </c>
      <c r="AB53">
        <f t="shared" ca="1" si="5"/>
        <v>2.2727971617391352</v>
      </c>
      <c r="AC53" s="14">
        <f t="shared" ca="1" si="6"/>
        <v>0.28989623254207442</v>
      </c>
      <c r="AD53">
        <f t="shared" ca="1" si="7"/>
        <v>0.51079716173913514</v>
      </c>
      <c r="AE53" s="14">
        <f t="shared" ca="1" si="8"/>
        <v>0.71010376745792558</v>
      </c>
      <c r="AN53" s="7"/>
    </row>
    <row r="54" spans="1:40">
      <c r="A54">
        <v>-0.48372446435609751</v>
      </c>
      <c r="B54">
        <v>1.1230540053040492</v>
      </c>
      <c r="C54">
        <v>1.7938339521969899</v>
      </c>
      <c r="D54">
        <v>-9.6996402394547362E-2</v>
      </c>
      <c r="E54">
        <v>-0.21076139599697283</v>
      </c>
      <c r="F54">
        <v>-0.6249953332797159</v>
      </c>
      <c r="G54">
        <v>5.0114964719378867E-2</v>
      </c>
      <c r="H54">
        <v>0.28101524051988425</v>
      </c>
      <c r="I54">
        <v>0.27901743960278202</v>
      </c>
      <c r="J54">
        <v>0.53375380146587947</v>
      </c>
      <c r="L54">
        <v>0.84174459017459236</v>
      </c>
      <c r="M54">
        <v>1.8988204833141185</v>
      </c>
      <c r="N54">
        <v>2.8043734936115126</v>
      </c>
      <c r="P54">
        <v>1.0761231320895862E-11</v>
      </c>
      <c r="R54">
        <v>17.739881519495245</v>
      </c>
      <c r="S54">
        <v>18.020767054039418</v>
      </c>
      <c r="T54">
        <v>1</v>
      </c>
      <c r="U54">
        <v>2.0036364081740112</v>
      </c>
      <c r="W54">
        <f t="shared" ca="1" si="13"/>
        <v>1.037168002453418</v>
      </c>
      <c r="X54">
        <f t="shared" ca="1" si="14"/>
        <v>-1.0081412379959225</v>
      </c>
      <c r="Y54">
        <f t="shared" ca="1" si="15"/>
        <v>0.13441612678143355</v>
      </c>
      <c r="AA54">
        <v>1.762</v>
      </c>
      <c r="AB54">
        <f t="shared" ca="1" si="5"/>
        <v>2.1101339162000867</v>
      </c>
      <c r="AC54" s="14">
        <f t="shared" ca="1" si="6"/>
        <v>0.19757884006815374</v>
      </c>
      <c r="AD54">
        <f t="shared" ca="1" si="7"/>
        <v>0.34813391620008671</v>
      </c>
      <c r="AE54" s="14">
        <f t="shared" ca="1" si="8"/>
        <v>0.80242115993184626</v>
      </c>
      <c r="AN54" s="7"/>
    </row>
    <row r="55" spans="1:40">
      <c r="A55">
        <v>-0.45869242775059366</v>
      </c>
      <c r="B55">
        <v>1.1230806362045009</v>
      </c>
      <c r="C55">
        <v>1.7412234800567472</v>
      </c>
      <c r="D55">
        <v>-0.81669039672473942</v>
      </c>
      <c r="E55">
        <v>7.8737434254349647E-2</v>
      </c>
      <c r="F55">
        <v>-0.40749012289096737</v>
      </c>
      <c r="G55">
        <v>0.10787541835099136</v>
      </c>
      <c r="H55">
        <v>0.53599473344209658</v>
      </c>
      <c r="I55">
        <v>0.728363408384331</v>
      </c>
      <c r="J55">
        <v>0.9222498406521199</v>
      </c>
      <c r="L55">
        <v>0.84174457022199722</v>
      </c>
      <c r="M55">
        <v>1.8988203650315536</v>
      </c>
      <c r="N55">
        <v>2.8043734315605442</v>
      </c>
      <c r="P55">
        <v>1.0656209098993204E-11</v>
      </c>
      <c r="R55">
        <v>17.739881519495245</v>
      </c>
      <c r="S55">
        <v>18.020767054039418</v>
      </c>
      <c r="T55">
        <v>1</v>
      </c>
      <c r="U55">
        <v>2.0036364081740112</v>
      </c>
      <c r="W55">
        <f t="shared" ca="1" si="13"/>
        <v>0.89895436274892027</v>
      </c>
      <c r="X55">
        <f t="shared" ca="1" si="14"/>
        <v>-0.93705333304578153</v>
      </c>
      <c r="Y55">
        <f t="shared" ca="1" si="15"/>
        <v>-0.22385583516148005</v>
      </c>
      <c r="AA55">
        <v>1.762</v>
      </c>
      <c r="AB55">
        <f t="shared" ca="1" si="5"/>
        <v>1.7362993302133696</v>
      </c>
      <c r="AC55" s="14">
        <f t="shared" ca="1" si="6"/>
        <v>1.4586078198995711E-2</v>
      </c>
      <c r="AD55">
        <f t="shared" ca="1" si="7"/>
        <v>2.5700669786630437E-2</v>
      </c>
      <c r="AE55" s="14">
        <f t="shared" ca="1" si="8"/>
        <v>0.98541392180100429</v>
      </c>
      <c r="AN55" s="7"/>
    </row>
    <row r="56" spans="1:40">
      <c r="A56">
        <v>-0.50913626723373895</v>
      </c>
      <c r="B56">
        <v>1.1295957736875788</v>
      </c>
      <c r="C56">
        <v>1.8324994110698378</v>
      </c>
      <c r="D56">
        <v>0.14434690718795698</v>
      </c>
      <c r="E56">
        <v>5.8783085497170331E-2</v>
      </c>
      <c r="F56">
        <v>-0.12321997134191641</v>
      </c>
      <c r="G56">
        <v>0.54115078576707365</v>
      </c>
      <c r="H56">
        <v>0.80723680433605505</v>
      </c>
      <c r="I56">
        <v>0.81513578271317555</v>
      </c>
      <c r="J56">
        <v>0.46642992883936452</v>
      </c>
      <c r="L56">
        <v>0.84174458007891362</v>
      </c>
      <c r="M56">
        <v>1.89882046127995</v>
      </c>
      <c r="N56">
        <v>2.804373486423283</v>
      </c>
      <c r="P56">
        <v>1.0762445699514188E-11</v>
      </c>
      <c r="R56">
        <v>17.739881519495245</v>
      </c>
      <c r="S56">
        <v>18.020767054039418</v>
      </c>
      <c r="T56">
        <v>1</v>
      </c>
      <c r="U56">
        <v>2.0036364081740112</v>
      </c>
      <c r="W56">
        <f t="shared" ca="1" si="13"/>
        <v>1.059301812405256</v>
      </c>
      <c r="X56">
        <f t="shared" ca="1" si="14"/>
        <v>-0.94243353709896993</v>
      </c>
      <c r="Y56">
        <f t="shared" ca="1" si="15"/>
        <v>-1.2086572739127858E-2</v>
      </c>
      <c r="AA56">
        <v>1.762</v>
      </c>
      <c r="AB56">
        <f t="shared" ca="1" si="5"/>
        <v>2.0104473868545139</v>
      </c>
      <c r="AC56" s="14">
        <f t="shared" ca="1" si="6"/>
        <v>0.14100305723865714</v>
      </c>
      <c r="AD56">
        <f t="shared" ca="1" si="7"/>
        <v>0.24844738685451384</v>
      </c>
      <c r="AE56" s="14">
        <f t="shared" ca="1" si="8"/>
        <v>0.85899694276134286</v>
      </c>
      <c r="AN56" s="7" t="s">
        <v>27</v>
      </c>
    </row>
    <row r="57" spans="1:40">
      <c r="A57">
        <v>-0.50843450467616413</v>
      </c>
      <c r="B57">
        <v>1.1311873411190303</v>
      </c>
      <c r="C57">
        <v>1.8283459350884053</v>
      </c>
      <c r="D57">
        <v>-0.38292323863358002</v>
      </c>
      <c r="E57">
        <v>-0.12356933692518549</v>
      </c>
      <c r="F57">
        <v>0.50061358858644611</v>
      </c>
      <c r="G57">
        <v>0.5976820446740212</v>
      </c>
      <c r="H57">
        <v>0.58612092163396645</v>
      </c>
      <c r="I57">
        <v>0.77302092124857202</v>
      </c>
      <c r="J57">
        <v>0.79223519356582428</v>
      </c>
      <c r="L57">
        <v>0.84174452236568298</v>
      </c>
      <c r="M57">
        <v>1.898820340890081</v>
      </c>
      <c r="N57">
        <v>2.8043734153904492</v>
      </c>
      <c r="P57">
        <v>1.0882827691813231E-11</v>
      </c>
      <c r="R57">
        <v>17.739881519495245</v>
      </c>
      <c r="S57">
        <v>18.020767054039418</v>
      </c>
      <c r="T57">
        <v>1</v>
      </c>
      <c r="U57">
        <v>2.0036364081740112</v>
      </c>
      <c r="W57">
        <f t="shared" ca="1" si="13"/>
        <v>1.0112099033264215</v>
      </c>
      <c r="X57">
        <f t="shared" ca="1" si="14"/>
        <v>-1.1389101395486407</v>
      </c>
      <c r="Y57">
        <f t="shared" ca="1" si="15"/>
        <v>1.5908106435264258</v>
      </c>
      <c r="AA57">
        <v>1.762</v>
      </c>
      <c r="AB57">
        <f t="shared" ca="1" si="5"/>
        <v>4.8503402781090958</v>
      </c>
      <c r="AC57" s="14">
        <f t="shared" ca="1" si="6"/>
        <v>1.7527470363842768</v>
      </c>
      <c r="AD57">
        <f t="shared" ca="1" si="7"/>
        <v>3.0883402781090958</v>
      </c>
      <c r="AE57" s="14">
        <f t="shared" ca="1" si="8"/>
        <v>-0.75274703638427676</v>
      </c>
      <c r="AN57" s="7"/>
    </row>
    <row r="58" spans="1:40">
      <c r="A58">
        <v>-0.4744661105955163</v>
      </c>
      <c r="B58">
        <v>1.1338170136725112</v>
      </c>
      <c r="C58">
        <v>1.7739170001472342</v>
      </c>
      <c r="D58">
        <v>-0.35553590132000817</v>
      </c>
      <c r="E58">
        <v>0.25562727377565092</v>
      </c>
      <c r="F58">
        <v>0.18992045305540953</v>
      </c>
      <c r="G58">
        <v>0.72619582955770201</v>
      </c>
      <c r="H58">
        <v>1.0899456056469867</v>
      </c>
      <c r="I58">
        <v>0.7497676796430689</v>
      </c>
      <c r="J58">
        <v>0.60399811556260585</v>
      </c>
      <c r="L58">
        <v>0.84174453880711231</v>
      </c>
      <c r="M58">
        <v>1.8988203540847031</v>
      </c>
      <c r="N58">
        <v>2.8043733960986827</v>
      </c>
      <c r="P58">
        <v>1.08800503558874E-11</v>
      </c>
      <c r="R58">
        <v>17.739881519495245</v>
      </c>
      <c r="S58">
        <v>18.020767054039418</v>
      </c>
      <c r="T58">
        <v>1</v>
      </c>
      <c r="U58">
        <v>2.0036364081740112</v>
      </c>
      <c r="W58">
        <f t="shared" ca="1" si="13"/>
        <v>1.095315506963157</v>
      </c>
      <c r="X58">
        <f t="shared" ca="1" si="14"/>
        <v>-1.0137528882101865</v>
      </c>
      <c r="Y58">
        <f t="shared" ca="1" si="15"/>
        <v>2.2854801317131718E-2</v>
      </c>
      <c r="AA58">
        <v>1.762</v>
      </c>
      <c r="AB58">
        <f t="shared" ca="1" si="5"/>
        <v>2.2279333200916982</v>
      </c>
      <c r="AC58" s="14">
        <f t="shared" ca="1" si="6"/>
        <v>0.26443434738461868</v>
      </c>
      <c r="AD58">
        <f t="shared" ca="1" si="7"/>
        <v>0.46593332009169819</v>
      </c>
      <c r="AE58" s="14">
        <f t="shared" ca="1" si="8"/>
        <v>0.73556565261538132</v>
      </c>
      <c r="AN58" s="7"/>
    </row>
    <row r="59" spans="1:40">
      <c r="A59">
        <v>-0.47984224326139091</v>
      </c>
      <c r="B59">
        <v>1.1220184099269501</v>
      </c>
      <c r="C59">
        <v>1.8096231563793999</v>
      </c>
      <c r="D59">
        <v>0.72135393572915918</v>
      </c>
      <c r="E59">
        <v>0.16178631638957414</v>
      </c>
      <c r="F59">
        <v>-0.87269083731960595</v>
      </c>
      <c r="G59">
        <v>0.28707039256292838</v>
      </c>
      <c r="H59">
        <v>0.31380138090998405</v>
      </c>
      <c r="I59">
        <v>0</v>
      </c>
      <c r="J59">
        <v>0.64954202702577646</v>
      </c>
      <c r="L59">
        <v>0.84174534036146142</v>
      </c>
      <c r="M59">
        <v>1.8988191720189449</v>
      </c>
      <c r="N59">
        <v>2.8043747809038222</v>
      </c>
      <c r="P59">
        <v>3.6451582437930402E-12</v>
      </c>
      <c r="R59">
        <v>17.739881519495245</v>
      </c>
      <c r="S59">
        <v>18.020767054039418</v>
      </c>
      <c r="T59">
        <v>1</v>
      </c>
      <c r="U59">
        <v>2.0036364081740112</v>
      </c>
      <c r="W59">
        <f t="shared" ca="1" si="13"/>
        <v>0.9834436840225369</v>
      </c>
      <c r="X59">
        <f t="shared" ca="1" si="14"/>
        <v>-1.1217894415170573</v>
      </c>
      <c r="Y59">
        <f t="shared" ca="1" si="15"/>
        <v>-0.17619183882115036</v>
      </c>
      <c r="AA59">
        <v>1.762</v>
      </c>
      <c r="AB59">
        <f t="shared" ca="1" si="5"/>
        <v>2.2566165948101489</v>
      </c>
      <c r="AC59" s="14">
        <f t="shared" ca="1" si="6"/>
        <v>0.28071316391041368</v>
      </c>
      <c r="AD59">
        <f t="shared" ca="1" si="7"/>
        <v>0.49461659481014886</v>
      </c>
      <c r="AE59" s="14">
        <f t="shared" ca="1" si="8"/>
        <v>0.71928683608958632</v>
      </c>
      <c r="AN59" s="7"/>
    </row>
    <row r="60" spans="1:40">
      <c r="A60">
        <v>-0.52750670488486762</v>
      </c>
      <c r="B60">
        <v>1.1283788290403989</v>
      </c>
      <c r="C60">
        <v>1.865884641048301</v>
      </c>
      <c r="D60">
        <v>0.54159307361121167</v>
      </c>
      <c r="E60">
        <v>-2.1853500021777557E-2</v>
      </c>
      <c r="F60">
        <v>0.10414520543599047</v>
      </c>
      <c r="G60">
        <v>0</v>
      </c>
      <c r="H60">
        <v>0.21700309963351785</v>
      </c>
      <c r="I60">
        <v>0.38481705163120594</v>
      </c>
      <c r="J60">
        <v>0.14342332915434608</v>
      </c>
      <c r="L60">
        <v>0.84174659536425922</v>
      </c>
      <c r="M60">
        <v>1.8988189881215258</v>
      </c>
      <c r="N60">
        <v>2.8043746647290568</v>
      </c>
      <c r="P60">
        <v>4.0526181628309333E-13</v>
      </c>
      <c r="R60">
        <v>17.739881519495245</v>
      </c>
      <c r="S60">
        <v>18.020767054039418</v>
      </c>
      <c r="T60">
        <v>1</v>
      </c>
      <c r="U60">
        <v>2.0036364081740112</v>
      </c>
      <c r="W60">
        <f t="shared" ca="1" si="13"/>
        <v>1.0377078407137668</v>
      </c>
      <c r="X60">
        <f t="shared" ca="1" si="14"/>
        <v>-0.99296996142972538</v>
      </c>
      <c r="Y60">
        <f t="shared" ca="1" si="15"/>
        <v>-5.9626113872696201E-2</v>
      </c>
      <c r="AA60">
        <v>1.762</v>
      </c>
      <c r="AB60">
        <f t="shared" ca="1" si="5"/>
        <v>2.0663821804361384</v>
      </c>
      <c r="AC60" s="14">
        <f t="shared" ca="1" si="6"/>
        <v>0.17274811602505014</v>
      </c>
      <c r="AD60">
        <f t="shared" ca="1" si="7"/>
        <v>0.30438218043613841</v>
      </c>
      <c r="AE60" s="14">
        <f t="shared" ca="1" si="8"/>
        <v>0.82725188397494986</v>
      </c>
      <c r="AN60" s="7" t="s">
        <v>28</v>
      </c>
    </row>
    <row r="61" spans="1:40">
      <c r="A61">
        <v>0.12657325960556565</v>
      </c>
      <c r="B61">
        <v>1.1583034179025822</v>
      </c>
      <c r="C61">
        <v>0.96030121159635295</v>
      </c>
      <c r="D61">
        <v>-0.42235801548555346</v>
      </c>
      <c r="E61">
        <v>0.80427290067675805</v>
      </c>
      <c r="F61">
        <v>-0.21189128581755842</v>
      </c>
      <c r="G61">
        <v>0.17358116475529284</v>
      </c>
      <c r="H61">
        <v>0.64487902161570854</v>
      </c>
      <c r="I61">
        <v>0.38860156771833138</v>
      </c>
      <c r="J61">
        <v>0.24448492211105177</v>
      </c>
      <c r="L61">
        <v>0.84174733410299574</v>
      </c>
      <c r="M61">
        <v>3.0960811863719231</v>
      </c>
      <c r="N61">
        <v>2.8043737868098524</v>
      </c>
      <c r="P61">
        <v>1.5292053769283954E-12</v>
      </c>
      <c r="R61">
        <v>3.8793085986306592</v>
      </c>
      <c r="S61">
        <v>3.8811004351956018</v>
      </c>
      <c r="T61">
        <v>1</v>
      </c>
      <c r="U61">
        <v>2.0075818896590372</v>
      </c>
      <c r="W61">
        <f t="shared" ca="1" si="13"/>
        <v>0.10988344911658822</v>
      </c>
      <c r="X61">
        <f t="shared" ca="1" si="14"/>
        <v>-1.2096511787171944</v>
      </c>
      <c r="Y61">
        <f t="shared" ca="1" si="15"/>
        <v>0.98208515326661461</v>
      </c>
      <c r="AA61">
        <v>1.51</v>
      </c>
      <c r="AB61">
        <f t="shared" ca="1" si="5"/>
        <v>2.4398215948283655</v>
      </c>
      <c r="AC61" s="14">
        <f t="shared" ca="1" si="6"/>
        <v>0.61577589061481164</v>
      </c>
      <c r="AD61">
        <f t="shared" ca="1" si="7"/>
        <v>0.92982159482836546</v>
      </c>
      <c r="AE61" s="14">
        <f t="shared" ca="1" si="8"/>
        <v>0.38422410938518836</v>
      </c>
      <c r="AN61" s="7"/>
    </row>
    <row r="62" spans="1:40">
      <c r="A62">
        <v>0.14326245771317359</v>
      </c>
      <c r="B62">
        <v>1.1632201687602715</v>
      </c>
      <c r="C62">
        <v>0.9771129158795907</v>
      </c>
      <c r="D62">
        <v>0.16236043329104144</v>
      </c>
      <c r="E62">
        <v>0.64573379990197621</v>
      </c>
      <c r="F62">
        <v>0.13134715585805068</v>
      </c>
      <c r="G62">
        <v>0.88830694700281665</v>
      </c>
      <c r="H62">
        <v>0.260474673966679</v>
      </c>
      <c r="I62">
        <v>0.57671613227162655</v>
      </c>
      <c r="J62">
        <v>0.56573563831952378</v>
      </c>
      <c r="L62">
        <v>0.84174736504281122</v>
      </c>
      <c r="M62">
        <v>3.0960812944116136</v>
      </c>
      <c r="N62">
        <v>2.8043738204138404</v>
      </c>
      <c r="P62">
        <v>1.3015571392255286E-12</v>
      </c>
      <c r="R62">
        <v>3.8793085986306592</v>
      </c>
      <c r="S62">
        <v>3.8811004351956018</v>
      </c>
      <c r="T62">
        <v>1</v>
      </c>
      <c r="U62">
        <v>2.0075818896590372</v>
      </c>
      <c r="W62">
        <f t="shared" ca="1" si="13"/>
        <v>-0.44203194651060651</v>
      </c>
      <c r="X62">
        <f t="shared" ca="1" si="14"/>
        <v>-1.2387475805954427</v>
      </c>
      <c r="Y62">
        <f t="shared" ca="1" si="15"/>
        <v>1.7061814097024135</v>
      </c>
      <c r="AA62">
        <v>1.51</v>
      </c>
      <c r="AB62">
        <f t="shared" ca="1" si="5"/>
        <v>4.640942812981133</v>
      </c>
      <c r="AC62" s="14">
        <f t="shared" ca="1" si="6"/>
        <v>2.0734720615769091</v>
      </c>
      <c r="AD62">
        <f t="shared" ca="1" si="7"/>
        <v>3.1309428129811332</v>
      </c>
      <c r="AE62" s="14">
        <f t="shared" ca="1" si="8"/>
        <v>-1.0734720615769091</v>
      </c>
      <c r="AN62" s="7"/>
    </row>
    <row r="63" spans="1:40">
      <c r="A63">
        <v>0.13782185301558145</v>
      </c>
      <c r="B63">
        <v>1.1584510903695282</v>
      </c>
      <c r="C63">
        <v>0.95999171885717627</v>
      </c>
      <c r="D63">
        <v>0.36469157071063218</v>
      </c>
      <c r="E63">
        <v>9.621892720091825E-2</v>
      </c>
      <c r="F63">
        <v>-0.36176408245244657</v>
      </c>
      <c r="G63">
        <v>5.7315897034793596E-2</v>
      </c>
      <c r="H63">
        <v>0.54313289908626183</v>
      </c>
      <c r="I63">
        <v>0.33564333160478876</v>
      </c>
      <c r="J63">
        <v>3.103085771402975E-2</v>
      </c>
      <c r="L63">
        <v>0.84174673242776643</v>
      </c>
      <c r="M63">
        <v>3.0960811419069878</v>
      </c>
      <c r="N63">
        <v>2.8043736689848275</v>
      </c>
      <c r="P63">
        <v>2.0598222810456608E-12</v>
      </c>
      <c r="R63">
        <v>3.8793085986306592</v>
      </c>
      <c r="S63">
        <v>3.8811004351956018</v>
      </c>
      <c r="T63">
        <v>1</v>
      </c>
      <c r="U63">
        <v>2.0075818896590372</v>
      </c>
      <c r="W63">
        <f t="shared" ca="1" si="13"/>
        <v>0.17155235374086988</v>
      </c>
      <c r="X63">
        <f t="shared" ca="1" si="14"/>
        <v>-1.2035915240759034</v>
      </c>
      <c r="Y63">
        <f t="shared" ca="1" si="15"/>
        <v>0.90181778856143069</v>
      </c>
      <c r="AA63">
        <v>1.51</v>
      </c>
      <c r="AB63">
        <f t="shared" ca="1" si="5"/>
        <v>2.2913380906672178</v>
      </c>
      <c r="AC63" s="14">
        <f t="shared" ca="1" si="6"/>
        <v>0.51744244415047547</v>
      </c>
      <c r="AD63">
        <f t="shared" ca="1" si="7"/>
        <v>0.78133809066721782</v>
      </c>
      <c r="AE63" s="14">
        <f t="shared" ca="1" si="8"/>
        <v>0.48255755584952453</v>
      </c>
      <c r="AN63" s="7"/>
    </row>
    <row r="64" spans="1:40">
      <c r="A64">
        <v>0.13237662401767583</v>
      </c>
      <c r="B64">
        <v>1.1582977465572581</v>
      </c>
      <c r="C64">
        <v>0.9624580576082804</v>
      </c>
      <c r="D64">
        <v>-0.48316122848653098</v>
      </c>
      <c r="E64">
        <v>-0.1176847761571008</v>
      </c>
      <c r="F64">
        <v>1.9799458293788329E-3</v>
      </c>
      <c r="G64">
        <v>0.33510086923876437</v>
      </c>
      <c r="H64">
        <v>0.36114438595837156</v>
      </c>
      <c r="I64">
        <v>0.12777687550855429</v>
      </c>
      <c r="J64">
        <v>0.54326400278310361</v>
      </c>
      <c r="L64">
        <v>0.84174668191848023</v>
      </c>
      <c r="M64">
        <v>3.0960812079859283</v>
      </c>
      <c r="N64">
        <v>2.8043735799257914</v>
      </c>
      <c r="P64">
        <v>2.1771670780021466E-12</v>
      </c>
      <c r="R64">
        <v>3.8793085986306592</v>
      </c>
      <c r="S64">
        <v>3.8811004351956018</v>
      </c>
      <c r="T64">
        <v>1</v>
      </c>
      <c r="U64">
        <v>2.0075818896590372</v>
      </c>
      <c r="W64">
        <f t="shared" ca="1" si="13"/>
        <v>2.4363541637143611E-2</v>
      </c>
      <c r="X64">
        <f t="shared" ca="1" si="14"/>
        <v>-1.2046708885241957</v>
      </c>
      <c r="Y64">
        <f t="shared" ca="1" si="15"/>
        <v>0.80848185489471247</v>
      </c>
      <c r="AA64">
        <v>1.51</v>
      </c>
      <c r="AB64">
        <f t="shared" ca="1" si="5"/>
        <v>2.1054684415127749</v>
      </c>
      <c r="AC64" s="14">
        <f t="shared" ca="1" si="6"/>
        <v>0.39434996126673827</v>
      </c>
      <c r="AD64">
        <f t="shared" ca="1" si="7"/>
        <v>0.59546844151277489</v>
      </c>
      <c r="AE64" s="14">
        <f t="shared" ca="1" si="8"/>
        <v>0.60565003873326173</v>
      </c>
      <c r="AN64" s="7" t="s">
        <v>29</v>
      </c>
    </row>
    <row r="65" spans="1:40">
      <c r="A65">
        <v>0.13939947617283971</v>
      </c>
      <c r="B65">
        <v>1.1600221216340361</v>
      </c>
      <c r="C65">
        <v>0.97408191365999319</v>
      </c>
      <c r="D65">
        <v>-0.22504696964348006</v>
      </c>
      <c r="E65">
        <v>0.16158803920050363</v>
      </c>
      <c r="F65">
        <v>-0.25631639544956775</v>
      </c>
      <c r="G65">
        <v>0.68622758119758953</v>
      </c>
      <c r="H65">
        <v>7.6698455093953372E-2</v>
      </c>
      <c r="I65">
        <v>0.33393692970675309</v>
      </c>
      <c r="J65">
        <v>0.46715820074634279</v>
      </c>
      <c r="L65">
        <v>0.84174664590351733</v>
      </c>
      <c r="M65">
        <v>3.0960813611461795</v>
      </c>
      <c r="N65">
        <v>2.8043734516516681</v>
      </c>
      <c r="P65">
        <v>2.2692298637170653E-12</v>
      </c>
      <c r="R65">
        <v>3.8793085986306592</v>
      </c>
      <c r="S65">
        <v>3.8811004351956018</v>
      </c>
      <c r="T65">
        <v>1</v>
      </c>
      <c r="U65">
        <v>2.0075818896590372</v>
      </c>
      <c r="W65">
        <f t="shared" ca="1" si="13"/>
        <v>-0.12319056262656007</v>
      </c>
      <c r="X65">
        <f t="shared" ca="1" si="14"/>
        <v>-1.1973098811627616</v>
      </c>
      <c r="Y65">
        <f t="shared" ca="1" si="15"/>
        <v>0.51615289498319572</v>
      </c>
      <c r="AA65">
        <v>1.51</v>
      </c>
      <c r="AB65">
        <f t="shared" ca="1" si="5"/>
        <v>1.7151406772497686</v>
      </c>
      <c r="AC65" s="14">
        <f t="shared" ca="1" si="6"/>
        <v>0.13585475314554207</v>
      </c>
      <c r="AD65">
        <f t="shared" ca="1" si="7"/>
        <v>0.20514067724976859</v>
      </c>
      <c r="AE65" s="14">
        <f t="shared" ca="1" si="8"/>
        <v>0.86414524685445793</v>
      </c>
      <c r="AN65" s="7"/>
    </row>
    <row r="66" spans="1:40">
      <c r="A66">
        <v>0.15195450904166816</v>
      </c>
      <c r="B66">
        <v>1.1644300451686793</v>
      </c>
      <c r="C66">
        <v>0.95227046516354208</v>
      </c>
      <c r="D66">
        <v>0.13882211876686842</v>
      </c>
      <c r="E66">
        <v>0.15637167332686575</v>
      </c>
      <c r="F66">
        <v>0.681918970839552</v>
      </c>
      <c r="G66">
        <v>0.21323357340028476</v>
      </c>
      <c r="H66">
        <v>8.3310765468611922E-2</v>
      </c>
      <c r="I66">
        <v>0.83974689610730402</v>
      </c>
      <c r="J66">
        <v>0.28340405968158072</v>
      </c>
      <c r="L66">
        <v>0.84174665421567896</v>
      </c>
      <c r="M66">
        <v>3.096081238142919</v>
      </c>
      <c r="N66">
        <v>2.8043735298931147</v>
      </c>
      <c r="P66">
        <v>2.2668311180500202E-12</v>
      </c>
      <c r="R66">
        <v>3.8793085986306592</v>
      </c>
      <c r="S66">
        <v>3.8811004351956018</v>
      </c>
      <c r="T66">
        <v>1</v>
      </c>
      <c r="U66">
        <v>2.0075818896590372</v>
      </c>
      <c r="W66">
        <f t="shared" ca="1" si="13"/>
        <v>5.505838275877778E-2</v>
      </c>
      <c r="X66">
        <f t="shared" ca="1" si="14"/>
        <v>-1.2053681261995135</v>
      </c>
      <c r="Y66">
        <f t="shared" ca="1" si="15"/>
        <v>0.75980120003303675</v>
      </c>
      <c r="AA66">
        <v>1.51</v>
      </c>
      <c r="AB66">
        <f t="shared" ca="1" si="5"/>
        <v>2.0332416087413812</v>
      </c>
      <c r="AC66" s="14">
        <f t="shared" ca="1" si="6"/>
        <v>0.34651762168303391</v>
      </c>
      <c r="AD66">
        <f t="shared" ca="1" si="7"/>
        <v>0.52324160874138115</v>
      </c>
      <c r="AE66" s="14">
        <f t="shared" ca="1" si="8"/>
        <v>0.65348237831696609</v>
      </c>
      <c r="AN66" s="7"/>
    </row>
    <row r="67" spans="1:40">
      <c r="A67">
        <v>0.13932237093665417</v>
      </c>
      <c r="B67">
        <v>1.1612577595372098</v>
      </c>
      <c r="C67">
        <v>0.95289682184990865</v>
      </c>
      <c r="D67">
        <v>9.0163947856524082E-2</v>
      </c>
      <c r="E67">
        <v>-0.51346909106010297</v>
      </c>
      <c r="F67">
        <v>-0.12955876037263825</v>
      </c>
      <c r="G67">
        <v>0.50909533251299921</v>
      </c>
      <c r="H67">
        <v>0.99934722633080442</v>
      </c>
      <c r="I67">
        <v>0.38645116454776779</v>
      </c>
      <c r="J67">
        <v>0.320011473589639</v>
      </c>
      <c r="L67">
        <v>0.84174666157286582</v>
      </c>
      <c r="M67">
        <v>3.096081253107676</v>
      </c>
      <c r="N67">
        <v>2.8043735539352017</v>
      </c>
      <c r="P67">
        <v>2.1806494187072365E-12</v>
      </c>
      <c r="R67">
        <v>3.8793085986306592</v>
      </c>
      <c r="S67">
        <v>3.8811004351956018</v>
      </c>
      <c r="T67">
        <v>1</v>
      </c>
      <c r="U67">
        <v>2.0075818896590372</v>
      </c>
      <c r="W67">
        <f t="shared" ca="1" si="13"/>
        <v>4.8917853485956092E-2</v>
      </c>
      <c r="X67">
        <f t="shared" ca="1" si="14"/>
        <v>-1.4112127872789315</v>
      </c>
      <c r="Y67">
        <f t="shared" ca="1" si="15"/>
        <v>0.37815224812653658</v>
      </c>
      <c r="AA67">
        <v>1.51</v>
      </c>
      <c r="AB67">
        <f t="shared" ca="1" si="5"/>
        <v>2.1369136101323978</v>
      </c>
      <c r="AC67" s="14">
        <f t="shared" ca="1" si="6"/>
        <v>0.41517457624662102</v>
      </c>
      <c r="AD67">
        <f t="shared" ca="1" si="7"/>
        <v>0.62691361013239777</v>
      </c>
      <c r="AE67" s="14">
        <f t="shared" ca="1" si="8"/>
        <v>0.58482542375337898</v>
      </c>
      <c r="AN67" s="7"/>
    </row>
    <row r="68" spans="1:40">
      <c r="A68">
        <v>0.1352604284850186</v>
      </c>
      <c r="B68">
        <v>1.1609418189306968</v>
      </c>
      <c r="C68">
        <v>0.95676705495720216</v>
      </c>
      <c r="D68">
        <v>-0.35969415890927042</v>
      </c>
      <c r="E68">
        <v>-0.15382315822339379</v>
      </c>
      <c r="F68">
        <v>5.4986160106043833E-2</v>
      </c>
      <c r="G68">
        <v>0.33893207643993922</v>
      </c>
      <c r="H68">
        <v>0.53922241592679232</v>
      </c>
      <c r="I68">
        <v>0.19579213496447162</v>
      </c>
      <c r="J68">
        <v>0.31195677842080505</v>
      </c>
      <c r="L68">
        <v>0.84174668756567961</v>
      </c>
      <c r="M68">
        <v>3.0960811957367569</v>
      </c>
      <c r="N68">
        <v>2.8043735810680483</v>
      </c>
      <c r="P68">
        <v>2.1897673162651641E-12</v>
      </c>
      <c r="R68">
        <v>3.8793085986306592</v>
      </c>
      <c r="S68">
        <v>3.8811004351956018</v>
      </c>
      <c r="T68">
        <v>1</v>
      </c>
      <c r="U68">
        <v>2.0075818896590372</v>
      </c>
      <c r="W68">
        <f t="shared" ca="1" si="13"/>
        <v>8.6487416691934438E-2</v>
      </c>
      <c r="X68">
        <f t="shared" ca="1" si="14"/>
        <v>-1.2746532300060891</v>
      </c>
      <c r="Y68">
        <f t="shared" ca="1" si="15"/>
        <v>0.76741587054406968</v>
      </c>
      <c r="AA68">
        <v>1.51</v>
      </c>
      <c r="AB68">
        <f t="shared" ca="1" si="5"/>
        <v>2.2211480483739123</v>
      </c>
      <c r="AC68" s="14">
        <f t="shared" ca="1" si="6"/>
        <v>0.47095897243305451</v>
      </c>
      <c r="AD68">
        <f t="shared" ca="1" si="7"/>
        <v>0.71114804837391232</v>
      </c>
      <c r="AE68" s="14">
        <f t="shared" ca="1" si="8"/>
        <v>0.52904102756694549</v>
      </c>
      <c r="AN68" s="7" t="s">
        <v>30</v>
      </c>
    </row>
    <row r="69" spans="1:40">
      <c r="A69">
        <v>0.14014328479084534</v>
      </c>
      <c r="B69">
        <v>1.157593597335917</v>
      </c>
      <c r="C69">
        <v>0.96624246843470862</v>
      </c>
      <c r="D69">
        <v>0.50693900867344521</v>
      </c>
      <c r="E69">
        <v>-0.24657391489908964</v>
      </c>
      <c r="F69">
        <v>-0.28116841821524419</v>
      </c>
      <c r="G69">
        <v>0.68477781904520096</v>
      </c>
      <c r="H69">
        <v>0.91504961170170485</v>
      </c>
      <c r="I69">
        <v>0.58702555721933325</v>
      </c>
      <c r="J69">
        <v>0.74110216830565312</v>
      </c>
      <c r="L69">
        <v>0.84174665064617227</v>
      </c>
      <c r="M69">
        <v>3.09608123442165</v>
      </c>
      <c r="N69">
        <v>2.8043736924124714</v>
      </c>
      <c r="P69">
        <v>1.9396200229218466E-12</v>
      </c>
      <c r="R69">
        <v>3.8793085986306592</v>
      </c>
      <c r="S69">
        <v>3.8811004351956018</v>
      </c>
      <c r="T69">
        <v>1</v>
      </c>
      <c r="U69">
        <v>2.0075818896590372</v>
      </c>
      <c r="W69">
        <f t="shared" ca="1" si="13"/>
        <v>-2.6115175212411017E-2</v>
      </c>
      <c r="X69">
        <f t="shared" ca="1" si="14"/>
        <v>-1.3836731313767758</v>
      </c>
      <c r="Y69">
        <f t="shared" ca="1" si="15"/>
        <v>0.58744168579895595</v>
      </c>
      <c r="AA69">
        <v>1.51</v>
      </c>
      <c r="AB69">
        <f t="shared" ca="1" si="5"/>
        <v>2.2603210710847064</v>
      </c>
      <c r="AC69" s="14">
        <f t="shared" ca="1" si="6"/>
        <v>0.49690137157927583</v>
      </c>
      <c r="AD69">
        <f t="shared" ca="1" si="7"/>
        <v>0.75032107108470636</v>
      </c>
      <c r="AE69" s="14">
        <f t="shared" ca="1" si="8"/>
        <v>0.50309862842072417</v>
      </c>
      <c r="AN69" s="7"/>
    </row>
    <row r="70" spans="1:40">
      <c r="A70">
        <v>0.13353099660036652</v>
      </c>
      <c r="B70">
        <v>1.1649557324674853</v>
      </c>
      <c r="C70">
        <v>0.96525539640163593</v>
      </c>
      <c r="D70">
        <v>-0.29201181553162692</v>
      </c>
      <c r="E70">
        <v>0.77112065728255796</v>
      </c>
      <c r="F70">
        <v>6.4703418272194849E-2</v>
      </c>
      <c r="G70">
        <v>0.92145875275957567</v>
      </c>
      <c r="H70">
        <v>0.94712194238906289</v>
      </c>
      <c r="I70">
        <v>0.52133324996927433</v>
      </c>
      <c r="J70">
        <v>0.38127062279555896</v>
      </c>
      <c r="L70">
        <v>0.8417466875613</v>
      </c>
      <c r="M70">
        <v>3.0960811815992151</v>
      </c>
      <c r="N70">
        <v>2.804373602296677</v>
      </c>
      <c r="P70">
        <v>2.1696662418086285E-12</v>
      </c>
      <c r="R70">
        <v>3.8793085986306592</v>
      </c>
      <c r="S70">
        <v>3.8811004351956018</v>
      </c>
      <c r="T70">
        <v>1</v>
      </c>
      <c r="U70">
        <v>2.0075818896590372</v>
      </c>
      <c r="W70">
        <f t="shared" ca="1" si="13"/>
        <v>3.0929019542957049E-2</v>
      </c>
      <c r="X70">
        <f t="shared" ca="1" si="14"/>
        <v>-1.2535641441454715</v>
      </c>
      <c r="Y70">
        <f t="shared" ca="1" si="15"/>
        <v>0.70458900422018678</v>
      </c>
      <c r="AA70">
        <v>1.51</v>
      </c>
      <c r="AB70">
        <f t="shared" ca="1" si="5"/>
        <v>2.0688253326050514</v>
      </c>
      <c r="AC70" s="14">
        <f t="shared" ca="1" si="6"/>
        <v>0.3700830017251997</v>
      </c>
      <c r="AD70">
        <f t="shared" ca="1" si="7"/>
        <v>0.55882533260505141</v>
      </c>
      <c r="AE70" s="14">
        <f t="shared" ca="1" si="8"/>
        <v>0.6299169982748003</v>
      </c>
      <c r="AN70" s="7"/>
    </row>
    <row r="71" spans="1:40">
      <c r="A71">
        <v>6.7410617446386611E-3</v>
      </c>
      <c r="B71">
        <v>1.1039012622886137</v>
      </c>
      <c r="C71">
        <v>0.92531434574926985</v>
      </c>
      <c r="D71">
        <v>-0.81925840498173663</v>
      </c>
      <c r="E71">
        <v>8.8397789307823549E-2</v>
      </c>
      <c r="F71">
        <v>0.27985170861818792</v>
      </c>
      <c r="G71">
        <v>5.6342060581193676E-2</v>
      </c>
      <c r="H71">
        <v>0.35691263179544408</v>
      </c>
      <c r="I71">
        <v>0.39582770923379867</v>
      </c>
      <c r="J71">
        <v>0.76427530151237377</v>
      </c>
      <c r="L71">
        <v>1.5725756092592764</v>
      </c>
      <c r="M71">
        <v>1.8988182197328858</v>
      </c>
      <c r="N71">
        <v>3.0960798945861239</v>
      </c>
      <c r="P71">
        <v>5.6427881659856108E-12</v>
      </c>
      <c r="R71">
        <v>7.3495079268163641</v>
      </c>
      <c r="S71">
        <v>7.3654400484483462</v>
      </c>
      <c r="T71">
        <v>1</v>
      </c>
      <c r="U71">
        <v>2.1795248444380668</v>
      </c>
      <c r="AN71" s="7"/>
    </row>
    <row r="72" spans="1:40">
      <c r="A72">
        <v>2.2313073881725701E-3</v>
      </c>
      <c r="B72">
        <v>1.097089245404872</v>
      </c>
      <c r="C72">
        <v>0.95839037817890238</v>
      </c>
      <c r="D72">
        <v>0.18564703291325954</v>
      </c>
      <c r="E72">
        <v>4.9009904014286398E-2</v>
      </c>
      <c r="F72">
        <v>0.15337413104685074</v>
      </c>
      <c r="G72">
        <v>0.46482543369799162</v>
      </c>
      <c r="H72">
        <v>0.26279514475438276</v>
      </c>
      <c r="I72">
        <v>0.18594901930460347</v>
      </c>
      <c r="J72">
        <v>0.29122626948557406</v>
      </c>
      <c r="L72">
        <v>1.5725760963414821</v>
      </c>
      <c r="M72">
        <v>1.8988183192094947</v>
      </c>
      <c r="N72">
        <v>3.0960800051377722</v>
      </c>
      <c r="P72">
        <v>5.9380916542295315E-12</v>
      </c>
      <c r="R72">
        <v>7.3495079268163641</v>
      </c>
      <c r="S72">
        <v>7.3654400484483462</v>
      </c>
      <c r="T72">
        <v>1</v>
      </c>
      <c r="U72">
        <v>2.1795248444380668</v>
      </c>
      <c r="AN72" s="7" t="s">
        <v>31</v>
      </c>
    </row>
    <row r="73" spans="1:40">
      <c r="A73">
        <v>2.7538482372158526E-3</v>
      </c>
      <c r="B73">
        <v>1.0875847808222237</v>
      </c>
      <c r="C73">
        <v>0.97207151623326526</v>
      </c>
      <c r="D73">
        <v>-6.007393623601081E-2</v>
      </c>
      <c r="E73">
        <v>0.23696935584677847</v>
      </c>
      <c r="F73">
        <v>-7.4632192905605939E-3</v>
      </c>
      <c r="G73">
        <v>0.68411716755453533</v>
      </c>
      <c r="H73">
        <v>0.21571546163588468</v>
      </c>
      <c r="I73">
        <v>0.41244694166173046</v>
      </c>
      <c r="J73">
        <v>0.74127206603007179</v>
      </c>
      <c r="L73">
        <v>1.5725761269099543</v>
      </c>
      <c r="M73">
        <v>1.8988184044497507</v>
      </c>
      <c r="N73">
        <v>3.0960800453931747</v>
      </c>
      <c r="P73">
        <v>5.7518876350874501E-12</v>
      </c>
      <c r="R73">
        <v>7.3495079268163641</v>
      </c>
      <c r="S73">
        <v>7.3654400484483462</v>
      </c>
      <c r="T73">
        <v>1</v>
      </c>
      <c r="U73">
        <v>2.1795248444380668</v>
      </c>
      <c r="AN73" s="7"/>
    </row>
    <row r="74" spans="1:40">
      <c r="A74">
        <v>1.6798001586193856E-3</v>
      </c>
      <c r="B74">
        <v>1.1108509794678538</v>
      </c>
      <c r="C74">
        <v>0.91620823095860615</v>
      </c>
      <c r="D74">
        <v>-0.2408195983250048</v>
      </c>
      <c r="E74">
        <v>-0.20585042253423461</v>
      </c>
      <c r="F74">
        <v>-0.40572491995857263</v>
      </c>
      <c r="G74">
        <v>0.26734280602671945</v>
      </c>
      <c r="H74">
        <v>0.77007169089437844</v>
      </c>
      <c r="I74">
        <v>0.68361491848392963</v>
      </c>
      <c r="J74">
        <v>1.5019702416504995E-2</v>
      </c>
      <c r="L74">
        <v>1.5725761116663186</v>
      </c>
      <c r="M74">
        <v>1.8988182425092406</v>
      </c>
      <c r="N74">
        <v>3.0960799280517359</v>
      </c>
      <c r="P74">
        <v>6.3941547825195808E-12</v>
      </c>
      <c r="R74">
        <v>7.3495079268163641</v>
      </c>
      <c r="S74">
        <v>7.3654400484483462</v>
      </c>
      <c r="T74">
        <v>1</v>
      </c>
      <c r="U74">
        <v>2.1795248444380668</v>
      </c>
      <c r="AN74" s="7"/>
    </row>
    <row r="75" spans="1:40">
      <c r="A75">
        <v>2.3617749559805249E-3</v>
      </c>
      <c r="B75">
        <v>1.1112638451284975</v>
      </c>
      <c r="C75">
        <v>0.94057332869789922</v>
      </c>
      <c r="D75">
        <v>-0.34224283198721173</v>
      </c>
      <c r="E75">
        <v>-0.4832067266246674</v>
      </c>
      <c r="F75">
        <v>0.26804087069726762</v>
      </c>
      <c r="G75">
        <v>0.77493805170629415</v>
      </c>
      <c r="H75">
        <v>0.23921799593677098</v>
      </c>
      <c r="I75">
        <v>6.9874610373887383E-2</v>
      </c>
      <c r="J75">
        <v>2.3894897900308158E-3</v>
      </c>
      <c r="L75">
        <v>1.5725753321504972</v>
      </c>
      <c r="M75">
        <v>1.8988183664824929</v>
      </c>
      <c r="N75">
        <v>3.0960798733534567</v>
      </c>
      <c r="P75">
        <v>5.2590248401313176E-12</v>
      </c>
      <c r="R75">
        <v>7.3495079268163641</v>
      </c>
      <c r="S75">
        <v>7.3654400484483462</v>
      </c>
      <c r="T75">
        <v>1</v>
      </c>
      <c r="U75">
        <v>2.1795248444380668</v>
      </c>
      <c r="AN75" s="7"/>
    </row>
    <row r="76" spans="1:40">
      <c r="A76">
        <v>9.8628529332067949E-3</v>
      </c>
      <c r="B76">
        <v>1.0867743021866609</v>
      </c>
      <c r="C76">
        <v>0.96152548822799633</v>
      </c>
      <c r="D76">
        <v>-0.32607959308159595</v>
      </c>
      <c r="E76">
        <v>0.24290119052423029</v>
      </c>
      <c r="F76">
        <v>-0.56036737591404273</v>
      </c>
      <c r="G76">
        <v>0.34556838509586674</v>
      </c>
      <c r="H76">
        <v>0.69121021809910987</v>
      </c>
      <c r="I76">
        <v>9.7029540554110685E-2</v>
      </c>
      <c r="J76">
        <v>0.85827899695377396</v>
      </c>
      <c r="L76">
        <v>1.5725762023851455</v>
      </c>
      <c r="M76">
        <v>1.8988184939007535</v>
      </c>
      <c r="N76">
        <v>3.0960800427056179</v>
      </c>
      <c r="P76">
        <v>5.8652261194360797E-12</v>
      </c>
      <c r="R76">
        <v>7.3495079268163641</v>
      </c>
      <c r="S76">
        <v>7.3654400484483462</v>
      </c>
      <c r="T76">
        <v>1</v>
      </c>
      <c r="U76">
        <v>2.1795248444380668</v>
      </c>
      <c r="AN76" s="7" t="s">
        <v>32</v>
      </c>
    </row>
    <row r="77" spans="1:40">
      <c r="A77">
        <v>-7.0822388301369343E-3</v>
      </c>
      <c r="B77">
        <v>1.0995905006684605</v>
      </c>
      <c r="C77">
        <v>0.94103317818287557</v>
      </c>
      <c r="D77">
        <v>9.9433560967169432E-2</v>
      </c>
      <c r="E77">
        <v>-0.66531970443507382</v>
      </c>
      <c r="F77">
        <v>0.11493962056656354</v>
      </c>
      <c r="G77">
        <v>0.66008897987045501</v>
      </c>
      <c r="H77">
        <v>0.25800672011008413</v>
      </c>
      <c r="I77">
        <v>0.91512057222801735</v>
      </c>
      <c r="J77">
        <v>0.40255642656010915</v>
      </c>
      <c r="L77">
        <v>1.5725761601184267</v>
      </c>
      <c r="M77">
        <v>1.8988183795250855</v>
      </c>
      <c r="N77">
        <v>3.0960799716735625</v>
      </c>
      <c r="P77">
        <v>6.1611475005713633E-12</v>
      </c>
      <c r="R77">
        <v>7.3495079268163641</v>
      </c>
      <c r="S77">
        <v>7.3654400484483462</v>
      </c>
      <c r="T77">
        <v>1</v>
      </c>
      <c r="U77">
        <v>2.1795248444380668</v>
      </c>
      <c r="AN77" s="7"/>
    </row>
    <row r="78" spans="1:40">
      <c r="A78">
        <v>7.1988013166479701E-4</v>
      </c>
      <c r="B78">
        <v>1.1027756953909118</v>
      </c>
      <c r="C78">
        <v>0.92843075475566395</v>
      </c>
      <c r="D78">
        <v>-0.13490245307143353</v>
      </c>
      <c r="E78">
        <v>1.9921926264361726E-2</v>
      </c>
      <c r="F78">
        <v>0.37760132261645063</v>
      </c>
      <c r="G78">
        <v>0.47005086751183278</v>
      </c>
      <c r="H78">
        <v>0.89524773169979299</v>
      </c>
      <c r="I78">
        <v>0.99442085786287404</v>
      </c>
      <c r="J78">
        <v>0.89135135134085597</v>
      </c>
      <c r="L78">
        <v>1.5725761414113639</v>
      </c>
      <c r="M78">
        <v>1.8988183389510627</v>
      </c>
      <c r="N78">
        <v>3.0960799463352262</v>
      </c>
      <c r="P78">
        <v>6.2673399638066855E-12</v>
      </c>
      <c r="R78">
        <v>7.3495079268163641</v>
      </c>
      <c r="S78">
        <v>7.3654400484483462</v>
      </c>
      <c r="T78">
        <v>1</v>
      </c>
      <c r="U78">
        <v>2.1795248444380668</v>
      </c>
      <c r="AN78" s="7"/>
    </row>
    <row r="79" spans="1:40">
      <c r="A79">
        <v>-7.279620630217502E-3</v>
      </c>
      <c r="B79">
        <v>1.0972859844135039</v>
      </c>
      <c r="C79">
        <v>0.94230241127278846</v>
      </c>
      <c r="D79">
        <v>-5.8640979966424721E-2</v>
      </c>
      <c r="E79">
        <v>-0.80728646751247668</v>
      </c>
      <c r="F79">
        <v>0.61327874267377425</v>
      </c>
      <c r="G79">
        <v>0.69783011780762583</v>
      </c>
      <c r="H79">
        <v>0.19901479703579145</v>
      </c>
      <c r="I79">
        <v>0.92746794867837601</v>
      </c>
      <c r="J79">
        <v>0.88185825596825762</v>
      </c>
      <c r="L79">
        <v>1.5725761556634144</v>
      </c>
      <c r="M79">
        <v>1.8988183654630812</v>
      </c>
      <c r="N79">
        <v>3.0960799862126671</v>
      </c>
      <c r="P79">
        <v>6.1047436445555814E-12</v>
      </c>
      <c r="R79">
        <v>7.3495079268163641</v>
      </c>
      <c r="S79">
        <v>7.3654400484483462</v>
      </c>
      <c r="T79">
        <v>1</v>
      </c>
      <c r="U79">
        <v>2.1795248444380668</v>
      </c>
      <c r="AN79" s="7"/>
    </row>
    <row r="80" spans="1:40">
      <c r="A80">
        <v>1.7937859839420682E-3</v>
      </c>
      <c r="B80">
        <v>1.0952735708346928</v>
      </c>
      <c r="C80">
        <v>0.95330330313909928</v>
      </c>
      <c r="D80">
        <v>-2.0902558205699684E-3</v>
      </c>
      <c r="E80">
        <v>0.68282256017708753</v>
      </c>
      <c r="F80">
        <v>5.8143209454532788E-2</v>
      </c>
      <c r="G80">
        <v>0.63732041999037503</v>
      </c>
      <c r="H80">
        <v>0.58169658470258523</v>
      </c>
      <c r="I80">
        <v>0.98872747683998452</v>
      </c>
      <c r="J80">
        <v>0.6786526474480381</v>
      </c>
      <c r="L80">
        <v>1.5725761273345942</v>
      </c>
      <c r="M80">
        <v>1.8988183882268674</v>
      </c>
      <c r="N80">
        <v>3.096079990239891</v>
      </c>
      <c r="P80">
        <v>5.9955180880347125E-12</v>
      </c>
      <c r="R80">
        <v>7.3495079268163641</v>
      </c>
      <c r="S80">
        <v>7.3654400484483462</v>
      </c>
      <c r="T80">
        <v>1</v>
      </c>
      <c r="U80">
        <v>2.1795248444380668</v>
      </c>
      <c r="AN80" s="7" t="s">
        <v>33</v>
      </c>
    </row>
    <row r="81" spans="1:40">
      <c r="A81">
        <v>3.8425856168193702E-3</v>
      </c>
      <c r="B81">
        <v>1.1621215684415946</v>
      </c>
      <c r="C81">
        <v>0.87706238425192273</v>
      </c>
      <c r="D81">
        <v>-9.0916303370325337E-3</v>
      </c>
      <c r="E81">
        <v>0.27428152870320055</v>
      </c>
      <c r="F81">
        <v>0.28663306959688456</v>
      </c>
      <c r="G81">
        <v>0.57229223500921611</v>
      </c>
      <c r="H81">
        <v>0.70037391088488987</v>
      </c>
      <c r="I81">
        <v>0.16586617011182647</v>
      </c>
      <c r="J81">
        <v>0.6382926890714623</v>
      </c>
      <c r="L81">
        <v>1.572574644566936</v>
      </c>
      <c r="M81">
        <v>1.898818490673843</v>
      </c>
      <c r="N81">
        <v>2.8043738457857899</v>
      </c>
      <c r="P81">
        <v>9.089506968205248E-13</v>
      </c>
      <c r="R81">
        <v>3.1635686943750474</v>
      </c>
      <c r="S81">
        <v>3.1648692167093064</v>
      </c>
      <c r="T81">
        <v>1</v>
      </c>
      <c r="U81">
        <v>2.2153749775762073</v>
      </c>
      <c r="AN81" s="7"/>
    </row>
    <row r="82" spans="1:40">
      <c r="A82">
        <v>2.8733071027839409E-3</v>
      </c>
      <c r="B82">
        <v>1.1662785710059274</v>
      </c>
      <c r="C82">
        <v>0.85903401866437534</v>
      </c>
      <c r="D82">
        <v>-0.63925881574819754</v>
      </c>
      <c r="E82">
        <v>-0.66206538417895044</v>
      </c>
      <c r="F82">
        <v>0.10726720150671418</v>
      </c>
      <c r="G82">
        <v>0.65648859928276593</v>
      </c>
      <c r="H82">
        <v>0.7273617570338704</v>
      </c>
      <c r="I82">
        <v>0.12065925796734552</v>
      </c>
      <c r="J82">
        <v>0.18276193424506976</v>
      </c>
      <c r="L82">
        <v>1.572574593878489</v>
      </c>
      <c r="M82">
        <v>1.8988184578584715</v>
      </c>
      <c r="N82">
        <v>2.8043737928944727</v>
      </c>
      <c r="P82">
        <v>1.0577843199715564E-12</v>
      </c>
      <c r="R82">
        <v>3.1635686943750474</v>
      </c>
      <c r="S82">
        <v>3.1648692167093064</v>
      </c>
      <c r="T82">
        <v>1</v>
      </c>
      <c r="U82">
        <v>2.2153749775762073</v>
      </c>
      <c r="AN82" s="7"/>
    </row>
    <row r="83" spans="1:40">
      <c r="A83">
        <v>4.0651173722539768E-3</v>
      </c>
      <c r="B83">
        <v>1.1623046677994577</v>
      </c>
      <c r="C83">
        <v>0.85827105641970658</v>
      </c>
      <c r="D83">
        <v>-0.1977406686719147</v>
      </c>
      <c r="E83">
        <v>0.64541361847441248</v>
      </c>
      <c r="F83">
        <v>0.57909136837400621</v>
      </c>
      <c r="G83">
        <v>0</v>
      </c>
      <c r="H83">
        <v>0.67751276149539175</v>
      </c>
      <c r="I83">
        <v>0.52385151060560353</v>
      </c>
      <c r="J83">
        <v>0.35482537750637028</v>
      </c>
      <c r="L83">
        <v>1.5725746287452307</v>
      </c>
      <c r="M83">
        <v>1.8988186037341579</v>
      </c>
      <c r="N83">
        <v>2.8043738652714669</v>
      </c>
      <c r="P83">
        <v>8.0527252826634207E-13</v>
      </c>
      <c r="R83">
        <v>3.1635686943750474</v>
      </c>
      <c r="S83">
        <v>3.1648692167093064</v>
      </c>
      <c r="T83">
        <v>1</v>
      </c>
      <c r="U83">
        <v>2.2153749775762073</v>
      </c>
      <c r="AN83" s="7"/>
    </row>
    <row r="84" spans="1:40">
      <c r="A84">
        <v>-9.3716767177291944E-4</v>
      </c>
      <c r="B84">
        <v>1.1648648765571115</v>
      </c>
      <c r="C84">
        <v>0.86848017710299996</v>
      </c>
      <c r="D84">
        <v>-0.1415270532041619</v>
      </c>
      <c r="E84">
        <v>-0.74161693785063765</v>
      </c>
      <c r="F84">
        <v>-0.18718680015139044</v>
      </c>
      <c r="G84">
        <v>0.77779522810315316</v>
      </c>
      <c r="H84">
        <v>0.65530144559465053</v>
      </c>
      <c r="I84">
        <v>0.14958710514081672</v>
      </c>
      <c r="J84">
        <v>0.21134851750455041</v>
      </c>
      <c r="L84">
        <v>1.5725746457143273</v>
      </c>
      <c r="M84">
        <v>1.8988184213526271</v>
      </c>
      <c r="N84">
        <v>2.8043738134299363</v>
      </c>
      <c r="P84">
        <v>1.024425890787246E-12</v>
      </c>
      <c r="R84">
        <v>3.1635686943750474</v>
      </c>
      <c r="S84">
        <v>3.1648692167093064</v>
      </c>
      <c r="T84">
        <v>1</v>
      </c>
      <c r="U84">
        <v>2.2153749775762073</v>
      </c>
      <c r="AN84" s="7" t="s">
        <v>34</v>
      </c>
    </row>
    <row r="85" spans="1:40">
      <c r="A85">
        <v>-2.5451812569259463E-3</v>
      </c>
      <c r="B85">
        <v>1.1519060325764678</v>
      </c>
      <c r="C85">
        <v>0.8734430768869117</v>
      </c>
      <c r="D85">
        <v>0.21355398617881163</v>
      </c>
      <c r="E85">
        <v>0.14107634753596615</v>
      </c>
      <c r="F85">
        <v>-0.49353645622776787</v>
      </c>
      <c r="G85">
        <v>0.1467729655147777</v>
      </c>
      <c r="H85">
        <v>0.51001675158437065</v>
      </c>
      <c r="I85">
        <v>0.67769902316446362</v>
      </c>
      <c r="J85">
        <v>0.83476303760199522</v>
      </c>
      <c r="L85">
        <v>1.5725747791292086</v>
      </c>
      <c r="M85">
        <v>1.8988184711242615</v>
      </c>
      <c r="N85">
        <v>2.8043739360499798</v>
      </c>
      <c r="P85">
        <v>7.2787643345788358E-13</v>
      </c>
      <c r="R85">
        <v>3.1635686943750474</v>
      </c>
      <c r="S85">
        <v>3.1648692167093064</v>
      </c>
      <c r="T85">
        <v>1</v>
      </c>
      <c r="U85">
        <v>2.2153749775762073</v>
      </c>
      <c r="AN85" s="7"/>
    </row>
    <row r="86" spans="1:40">
      <c r="A86">
        <v>-3.6412964881627169E-3</v>
      </c>
      <c r="B86">
        <v>1.1570953140129105</v>
      </c>
      <c r="C86">
        <v>0.86287488359233278</v>
      </c>
      <c r="D86">
        <v>-0.24109892032291272</v>
      </c>
      <c r="E86">
        <v>-0.21233911634733449</v>
      </c>
      <c r="F86">
        <v>0.3309461371022745</v>
      </c>
      <c r="G86">
        <v>9.2356073382798498E-2</v>
      </c>
      <c r="H86">
        <v>0.13170793555389407</v>
      </c>
      <c r="I86">
        <v>0.60099528840801619</v>
      </c>
      <c r="J86">
        <v>0.81867332327974129</v>
      </c>
      <c r="L86">
        <v>1.5725745763628367</v>
      </c>
      <c r="M86">
        <v>1.8988184448563536</v>
      </c>
      <c r="N86">
        <v>2.804373799815203</v>
      </c>
      <c r="P86">
        <v>1.0703055340054797E-12</v>
      </c>
      <c r="R86">
        <v>3.1635686943750474</v>
      </c>
      <c r="S86">
        <v>3.1648692167093064</v>
      </c>
      <c r="T86">
        <v>1</v>
      </c>
      <c r="U86">
        <v>2.2153749775762073</v>
      </c>
      <c r="AN86" s="7"/>
    </row>
    <row r="87" spans="1:40">
      <c r="A87">
        <v>4.6412380319876411E-5</v>
      </c>
      <c r="B87">
        <v>1.1587501687178865</v>
      </c>
      <c r="C87">
        <v>0.85978720338244063</v>
      </c>
      <c r="D87">
        <v>-0.65117240553375944</v>
      </c>
      <c r="E87">
        <v>-0.30914081973848345</v>
      </c>
      <c r="F87">
        <v>2.0557575896794529E-2</v>
      </c>
      <c r="G87">
        <v>0.10513002506620249</v>
      </c>
      <c r="H87">
        <v>0.14111596909698071</v>
      </c>
      <c r="I87">
        <v>0.36096447924849789</v>
      </c>
      <c r="J87">
        <v>0.44368685458829049</v>
      </c>
      <c r="L87">
        <v>1.5725745945440839</v>
      </c>
      <c r="M87">
        <v>1.8988184416717484</v>
      </c>
      <c r="N87">
        <v>2.8043737894704965</v>
      </c>
      <c r="P87">
        <v>1.0781386187629597E-12</v>
      </c>
      <c r="R87">
        <v>3.1635686943750474</v>
      </c>
      <c r="S87">
        <v>3.1648692167093064</v>
      </c>
      <c r="T87">
        <v>1</v>
      </c>
      <c r="U87">
        <v>2.2153749775762073</v>
      </c>
      <c r="AN87" s="7"/>
    </row>
    <row r="88" spans="1:40">
      <c r="A88">
        <v>-9.2863594845705424E-4</v>
      </c>
      <c r="B88">
        <v>1.1665839112850251</v>
      </c>
      <c r="C88">
        <v>0.85912038203804819</v>
      </c>
      <c r="D88">
        <v>0.36954446956880316</v>
      </c>
      <c r="E88">
        <v>0.19204011459904949</v>
      </c>
      <c r="F88">
        <v>0.53893195961212603</v>
      </c>
      <c r="G88">
        <v>0.24311903873498283</v>
      </c>
      <c r="H88">
        <v>0.813259537236102</v>
      </c>
      <c r="I88">
        <v>0.52542177813724056</v>
      </c>
      <c r="J88">
        <v>6.7864702911629091E-2</v>
      </c>
      <c r="L88">
        <v>1.572574595341369</v>
      </c>
      <c r="M88">
        <v>1.8988184534690236</v>
      </c>
      <c r="N88">
        <v>2.8043737800358874</v>
      </c>
      <c r="P88">
        <v>1.0829704936715724E-12</v>
      </c>
      <c r="R88">
        <v>3.1635686943750474</v>
      </c>
      <c r="S88">
        <v>3.1648692167093064</v>
      </c>
      <c r="T88">
        <v>1</v>
      </c>
      <c r="U88">
        <v>2.2153749775762073</v>
      </c>
      <c r="AN88" s="7" t="s">
        <v>35</v>
      </c>
    </row>
    <row r="89" spans="1:40">
      <c r="A89">
        <v>2.2580446262908606E-3</v>
      </c>
      <c r="B89">
        <v>1.1568875730182546</v>
      </c>
      <c r="C89">
        <v>0.87865528067915522</v>
      </c>
      <c r="D89">
        <v>5.6608181124927437E-2</v>
      </c>
      <c r="E89">
        <v>-0.28322857051105899</v>
      </c>
      <c r="F89">
        <v>-0.50621648311587941</v>
      </c>
      <c r="G89">
        <v>0.50906223330735667</v>
      </c>
      <c r="H89">
        <v>0.740425366895203</v>
      </c>
      <c r="I89">
        <v>3.7353291754531004E-2</v>
      </c>
      <c r="J89">
        <v>0.59722230977992596</v>
      </c>
      <c r="L89">
        <v>1.5725746027201772</v>
      </c>
      <c r="M89">
        <v>1.8988184352442667</v>
      </c>
      <c r="N89">
        <v>2.8043737787876104</v>
      </c>
      <c r="P89">
        <v>1.0971476280568262E-12</v>
      </c>
      <c r="R89">
        <v>3.1635686943750474</v>
      </c>
      <c r="S89">
        <v>3.1648692167093064</v>
      </c>
      <c r="T89">
        <v>1</v>
      </c>
      <c r="U89">
        <v>2.2153749775762073</v>
      </c>
      <c r="AN89" s="7"/>
    </row>
    <row r="90" spans="1:40">
      <c r="A90">
        <v>1.7912997168915343E-3</v>
      </c>
      <c r="B90">
        <v>1.1586629694937525</v>
      </c>
      <c r="C90">
        <v>0.88028323195341451</v>
      </c>
      <c r="D90">
        <v>-0.84044826349864266</v>
      </c>
      <c r="E90">
        <v>0.11110888250128076</v>
      </c>
      <c r="F90">
        <v>-0.3643278525638019</v>
      </c>
      <c r="G90">
        <v>0.98450660944850532</v>
      </c>
      <c r="H90">
        <v>0.27738301254195097</v>
      </c>
      <c r="I90">
        <v>0.56514545403827121</v>
      </c>
      <c r="J90">
        <v>0.930363255738613</v>
      </c>
      <c r="L90">
        <v>1.5725745988203401</v>
      </c>
      <c r="M90">
        <v>1.8988184837914961</v>
      </c>
      <c r="N90">
        <v>2.8043737967492666</v>
      </c>
      <c r="P90">
        <v>1.0249798812333177E-12</v>
      </c>
      <c r="R90">
        <v>3.1635686943750474</v>
      </c>
      <c r="S90">
        <v>3.1648692167093064</v>
      </c>
      <c r="T90">
        <v>1</v>
      </c>
      <c r="U90">
        <v>2.2153749775762073</v>
      </c>
      <c r="AN90" s="7"/>
    </row>
    <row r="91" spans="1:40">
      <c r="A91">
        <v>-0.11791379324724223</v>
      </c>
      <c r="B91">
        <v>1.1624408832428825</v>
      </c>
      <c r="C91">
        <v>0.64360494043737604</v>
      </c>
      <c r="D91">
        <v>0.42483731669943875</v>
      </c>
      <c r="E91">
        <v>0.25362199149212328</v>
      </c>
      <c r="F91">
        <v>-0.14146201895159963</v>
      </c>
      <c r="G91">
        <v>0.50739881213915161</v>
      </c>
      <c r="H91">
        <v>0.83559178119195276</v>
      </c>
      <c r="I91">
        <v>0.35160357943461334</v>
      </c>
      <c r="J91">
        <v>0.79351485493979823</v>
      </c>
      <c r="L91">
        <v>1.572575100546264</v>
      </c>
      <c r="M91">
        <v>3.0960812254594456</v>
      </c>
      <c r="N91">
        <v>2.8043749018603985</v>
      </c>
      <c r="P91">
        <v>7.9638621460822593E-13</v>
      </c>
      <c r="R91">
        <v>21.119229279020356</v>
      </c>
      <c r="S91">
        <v>21.390548698925272</v>
      </c>
      <c r="T91">
        <v>1</v>
      </c>
      <c r="U91">
        <v>2.2178551818357159</v>
      </c>
      <c r="AN91" s="7"/>
    </row>
    <row r="92" spans="1:40">
      <c r="A92">
        <v>-0.15974890159496036</v>
      </c>
      <c r="B92">
        <v>1.164798911313766</v>
      </c>
      <c r="C92">
        <v>0.59071728761472186</v>
      </c>
      <c r="D92">
        <v>0.89829662539289457</v>
      </c>
      <c r="E92">
        <v>0.36022416931671591</v>
      </c>
      <c r="F92">
        <v>-0.18631091291432558</v>
      </c>
      <c r="G92">
        <v>0.61475656008848301</v>
      </c>
      <c r="H92">
        <v>0</v>
      </c>
      <c r="I92">
        <v>0.32268644600162139</v>
      </c>
      <c r="J92">
        <v>0.70732972246854398</v>
      </c>
      <c r="L92">
        <v>1.5725764534086866</v>
      </c>
      <c r="M92">
        <v>3.0960815148474787</v>
      </c>
      <c r="N92">
        <v>2.8043745799484965</v>
      </c>
      <c r="P92">
        <v>2.6039108493313671E-12</v>
      </c>
      <c r="R92">
        <v>21.119229279020356</v>
      </c>
      <c r="S92">
        <v>21.390548698925272</v>
      </c>
      <c r="T92">
        <v>1</v>
      </c>
      <c r="U92">
        <v>2.2178551818357159</v>
      </c>
      <c r="AN92" s="7" t="s">
        <v>36</v>
      </c>
    </row>
    <row r="93" spans="1:40">
      <c r="A93">
        <v>-0.17101761646333499</v>
      </c>
      <c r="B93">
        <v>1.1769992853468929</v>
      </c>
      <c r="C93">
        <v>0.54357714081787145</v>
      </c>
      <c r="D93">
        <v>2.2873399286070517E-2</v>
      </c>
      <c r="E93">
        <v>0.53506080401099243</v>
      </c>
      <c r="F93">
        <v>0.76441348096671069</v>
      </c>
      <c r="G93">
        <v>0.91606293514791304</v>
      </c>
      <c r="H93">
        <v>5.9969761135402089E-2</v>
      </c>
      <c r="I93">
        <v>0.74032177222402706</v>
      </c>
      <c r="J93">
        <v>0.42710599077805461</v>
      </c>
      <c r="L93">
        <v>1.5725751374548789</v>
      </c>
      <c r="M93">
        <v>3.0960814212078112</v>
      </c>
      <c r="N93">
        <v>2.8043748970705287</v>
      </c>
      <c r="P93">
        <v>5.1660702978658407E-13</v>
      </c>
      <c r="R93">
        <v>21.119229279020356</v>
      </c>
      <c r="S93">
        <v>21.390548698925272</v>
      </c>
      <c r="T93">
        <v>1</v>
      </c>
      <c r="U93">
        <v>2.2178551818357159</v>
      </c>
      <c r="AN93" s="7"/>
    </row>
    <row r="94" spans="1:40">
      <c r="A94">
        <v>-0.20157571223595919</v>
      </c>
      <c r="B94">
        <v>1.1708076071746758</v>
      </c>
      <c r="C94">
        <v>0.48071355263252313</v>
      </c>
      <c r="D94">
        <v>0.56779615081232704</v>
      </c>
      <c r="E94">
        <v>-0.52276110098840289</v>
      </c>
      <c r="F94">
        <v>6.9239181171981939E-2</v>
      </c>
      <c r="G94">
        <v>7.2685142447091594E-2</v>
      </c>
      <c r="H94">
        <v>0</v>
      </c>
      <c r="I94">
        <v>0.7858490092208481</v>
      </c>
      <c r="J94">
        <v>3.0283824046627903E-3</v>
      </c>
      <c r="L94">
        <v>1.5725748821570569</v>
      </c>
      <c r="M94">
        <v>3.0960820060657959</v>
      </c>
      <c r="N94">
        <v>2.8043746290871003</v>
      </c>
      <c r="P94">
        <v>7.1547874262590647E-15</v>
      </c>
      <c r="R94">
        <v>21.119229279020356</v>
      </c>
      <c r="S94">
        <v>21.390548698925272</v>
      </c>
      <c r="T94">
        <v>1</v>
      </c>
      <c r="U94">
        <v>2.2178551818357159</v>
      </c>
      <c r="AN94" s="7"/>
    </row>
    <row r="95" spans="1:40">
      <c r="A95">
        <v>-0.17123337171576372</v>
      </c>
      <c r="B95">
        <v>1.1738674938747582</v>
      </c>
      <c r="C95">
        <v>0.53759925293171296</v>
      </c>
      <c r="D95">
        <v>0.52969214833061606</v>
      </c>
      <c r="E95">
        <v>-8.0175618110783081E-2</v>
      </c>
      <c r="F95">
        <v>0.44828369733119439</v>
      </c>
      <c r="G95">
        <v>0.87390164153801042</v>
      </c>
      <c r="H95">
        <v>0.8938641326395742</v>
      </c>
      <c r="I95">
        <v>0.79198345991215147</v>
      </c>
      <c r="J95">
        <v>0.53087284843433935</v>
      </c>
      <c r="L95">
        <v>1.5725750285786586</v>
      </c>
      <c r="M95">
        <v>3.0960813164042973</v>
      </c>
      <c r="N95">
        <v>2.8043748479912014</v>
      </c>
      <c r="P95">
        <v>6.0932822929424512E-13</v>
      </c>
      <c r="R95">
        <v>21.119229279020356</v>
      </c>
      <c r="S95">
        <v>21.390548698925272</v>
      </c>
      <c r="T95">
        <v>1</v>
      </c>
      <c r="U95">
        <v>2.2178551818357159</v>
      </c>
      <c r="AN95" s="7"/>
    </row>
    <row r="96" spans="1:40">
      <c r="A96">
        <v>-0.17003985716977277</v>
      </c>
      <c r="B96">
        <v>1.1777318468098359</v>
      </c>
      <c r="C96">
        <v>0.53402667003861881</v>
      </c>
      <c r="D96">
        <v>-9.0476450924587434E-2</v>
      </c>
      <c r="E96">
        <v>-3.9678434980400502E-2</v>
      </c>
      <c r="F96">
        <v>0.64886615324955221</v>
      </c>
      <c r="G96">
        <v>0.62263544754554789</v>
      </c>
      <c r="H96">
        <v>7.210663791005352E-2</v>
      </c>
      <c r="I96">
        <v>0.45684116278072928</v>
      </c>
      <c r="J96">
        <v>2.6040614993695595E-2</v>
      </c>
      <c r="L96">
        <v>1.572574841381889</v>
      </c>
      <c r="M96">
        <v>3.0960811404792228</v>
      </c>
      <c r="N96">
        <v>2.8043747115108411</v>
      </c>
      <c r="P96">
        <v>8.6969025022568434E-13</v>
      </c>
      <c r="R96">
        <v>21.119229279020356</v>
      </c>
      <c r="S96">
        <v>21.390548698925272</v>
      </c>
      <c r="T96">
        <v>1</v>
      </c>
      <c r="U96">
        <v>2.2178551818357159</v>
      </c>
      <c r="AN96" s="7" t="s">
        <v>37</v>
      </c>
    </row>
    <row r="97" spans="1:40">
      <c r="A97">
        <v>-0.13446365263645801</v>
      </c>
      <c r="B97">
        <v>1.1705568252375553</v>
      </c>
      <c r="C97">
        <v>0.60986411905756843</v>
      </c>
      <c r="D97">
        <v>0.10965455148031758</v>
      </c>
      <c r="E97">
        <v>0.81339526007106266</v>
      </c>
      <c r="F97">
        <v>0.12252562744347312</v>
      </c>
      <c r="G97">
        <v>0.95594663050456807</v>
      </c>
      <c r="H97">
        <v>0.74304497459268359</v>
      </c>
      <c r="I97">
        <v>0.7965987448130617</v>
      </c>
      <c r="J97">
        <v>0.57267935669585801</v>
      </c>
      <c r="L97">
        <v>1.5725750152457154</v>
      </c>
      <c r="M97">
        <v>3.0960812115066552</v>
      </c>
      <c r="N97">
        <v>2.8043748513230513</v>
      </c>
      <c r="P97">
        <v>7.7668196370094811E-13</v>
      </c>
      <c r="R97">
        <v>21.119229279020356</v>
      </c>
      <c r="S97">
        <v>21.390548698925272</v>
      </c>
      <c r="T97">
        <v>1</v>
      </c>
      <c r="U97">
        <v>2.2178551818357159</v>
      </c>
      <c r="AN97" s="7"/>
    </row>
    <row r="98" spans="1:40">
      <c r="A98">
        <v>-0.14646547850518463</v>
      </c>
      <c r="B98">
        <v>1.1639541898030206</v>
      </c>
      <c r="C98">
        <v>0.57725185217797126</v>
      </c>
      <c r="D98">
        <v>2.9148485506341679E-2</v>
      </c>
      <c r="E98">
        <v>-0.87951229720266366</v>
      </c>
      <c r="F98">
        <v>-0.47054731100304609</v>
      </c>
      <c r="G98">
        <v>0.59839026761624081</v>
      </c>
      <c r="H98">
        <v>0.98038901962836644</v>
      </c>
      <c r="I98">
        <v>0.63892837092582044</v>
      </c>
      <c r="J98">
        <v>0.64257043461632934</v>
      </c>
      <c r="L98">
        <v>1.5725751020550933</v>
      </c>
      <c r="M98">
        <v>3.0960813607408268</v>
      </c>
      <c r="N98">
        <v>2.8043748893556546</v>
      </c>
      <c r="P98">
        <v>5.816261183364932E-13</v>
      </c>
      <c r="R98">
        <v>21.119229279020356</v>
      </c>
      <c r="S98">
        <v>21.390548698925272</v>
      </c>
      <c r="T98">
        <v>1</v>
      </c>
      <c r="U98">
        <v>2.2178551818357159</v>
      </c>
      <c r="AN98" s="7"/>
    </row>
    <row r="99" spans="1:40">
      <c r="A99">
        <v>-0.12918983481070292</v>
      </c>
      <c r="B99">
        <v>1.1704724246839484</v>
      </c>
      <c r="C99">
        <v>0.61021411370300627</v>
      </c>
      <c r="D99">
        <v>0.29694768557916978</v>
      </c>
      <c r="E99">
        <v>0.77633282555394212</v>
      </c>
      <c r="F99">
        <v>0.28211554581531639</v>
      </c>
      <c r="G99">
        <v>0.4796959284374156</v>
      </c>
      <c r="H99">
        <v>0.78585693274570567</v>
      </c>
      <c r="I99">
        <v>0.61189444633102963</v>
      </c>
      <c r="J99">
        <v>0.26278432941155011</v>
      </c>
      <c r="L99">
        <v>1.5725749560835898</v>
      </c>
      <c r="M99">
        <v>3.0960811463386189</v>
      </c>
      <c r="N99">
        <v>2.804374803731561</v>
      </c>
      <c r="P99">
        <v>8.6974151446925628E-13</v>
      </c>
      <c r="R99">
        <v>21.119229279020356</v>
      </c>
      <c r="S99">
        <v>21.390548698925272</v>
      </c>
      <c r="T99">
        <v>1</v>
      </c>
      <c r="U99">
        <v>2.2178551818357159</v>
      </c>
      <c r="AN99" s="7"/>
    </row>
    <row r="100" spans="1:40">
      <c r="A100">
        <v>-0.12191802291037798</v>
      </c>
      <c r="B100">
        <v>1.1644919570400547</v>
      </c>
      <c r="C100">
        <v>0.60945496259454757</v>
      </c>
      <c r="D100">
        <v>-0.39394263965073473</v>
      </c>
      <c r="E100">
        <v>0.5204591954292751</v>
      </c>
      <c r="F100">
        <v>0.52831732895475592</v>
      </c>
      <c r="G100">
        <v>3.4186758533830915E-2</v>
      </c>
      <c r="H100">
        <v>0.56843030782047022</v>
      </c>
      <c r="I100">
        <v>0.94356156673820235</v>
      </c>
      <c r="J100">
        <v>0.69913985210793728</v>
      </c>
      <c r="L100">
        <v>1.572575030604584</v>
      </c>
      <c r="M100">
        <v>3.0960813019605635</v>
      </c>
      <c r="N100">
        <v>2.8043748587585151</v>
      </c>
      <c r="P100">
        <v>6.3594943632557166E-13</v>
      </c>
      <c r="R100">
        <v>21.119229279020356</v>
      </c>
      <c r="S100">
        <v>21.390548698925272</v>
      </c>
      <c r="T100">
        <v>1</v>
      </c>
      <c r="U100">
        <v>2.2178551818357159</v>
      </c>
      <c r="AN100" s="7" t="s">
        <v>38</v>
      </c>
    </row>
    <row r="101" spans="1:40">
      <c r="A101">
        <v>2.4528629353523051E-2</v>
      </c>
      <c r="B101">
        <v>1.157671686681903</v>
      </c>
      <c r="C101">
        <v>0.82253472568437325</v>
      </c>
      <c r="D101">
        <v>-0.29113512011675191</v>
      </c>
      <c r="E101">
        <v>0.28136769260338085</v>
      </c>
      <c r="F101">
        <v>-0.95064321988099021</v>
      </c>
      <c r="G101">
        <v>0.14826800352454628</v>
      </c>
      <c r="H101">
        <v>0.20966499838191555</v>
      </c>
      <c r="I101">
        <v>0.45312270043689434</v>
      </c>
      <c r="J101">
        <v>6.2326986798859195E-2</v>
      </c>
      <c r="L101">
        <v>1.8988182800523523</v>
      </c>
      <c r="M101">
        <v>3.0960809599944361</v>
      </c>
      <c r="N101">
        <v>2.8043735117627095</v>
      </c>
      <c r="P101">
        <v>2.9156305473837058E-12</v>
      </c>
      <c r="R101">
        <v>4.7218285151165098</v>
      </c>
      <c r="S101">
        <v>4.7248309144760778</v>
      </c>
      <c r="T101">
        <v>1</v>
      </c>
      <c r="U101">
        <v>1.8470453251573222</v>
      </c>
      <c r="AN101" s="7"/>
    </row>
    <row r="102" spans="1:40">
      <c r="A102">
        <v>3.7682892725292197E-2</v>
      </c>
      <c r="B102">
        <v>1.1681441858383843</v>
      </c>
      <c r="C102">
        <v>0.82143181364561668</v>
      </c>
      <c r="D102">
        <v>0.45302309430327364</v>
      </c>
      <c r="E102">
        <v>0.51150992570155329</v>
      </c>
      <c r="F102">
        <v>0.3347741339188714</v>
      </c>
      <c r="G102">
        <v>0.84258625052002056</v>
      </c>
      <c r="H102">
        <v>3.3860805567738218E-2</v>
      </c>
      <c r="I102">
        <v>0.84157279017222864</v>
      </c>
      <c r="J102">
        <v>0.45948557436357618</v>
      </c>
      <c r="L102">
        <v>1.898818121003196</v>
      </c>
      <c r="M102">
        <v>3.0960810086622161</v>
      </c>
      <c r="N102">
        <v>2.8043734468550277</v>
      </c>
      <c r="P102">
        <v>3.1882882264055064E-12</v>
      </c>
      <c r="R102">
        <v>4.7218285151165098</v>
      </c>
      <c r="S102">
        <v>4.7248309144760778</v>
      </c>
      <c r="T102">
        <v>1</v>
      </c>
      <c r="U102">
        <v>1.8470453251573222</v>
      </c>
      <c r="AN102" s="7"/>
    </row>
    <row r="103" spans="1:40">
      <c r="A103">
        <v>2.6232634124299485E-2</v>
      </c>
      <c r="B103">
        <v>1.1606662504356831</v>
      </c>
      <c r="C103">
        <v>0.8166613428698245</v>
      </c>
      <c r="D103">
        <v>0.39491768160563423</v>
      </c>
      <c r="E103">
        <v>0.28439153404054762</v>
      </c>
      <c r="F103">
        <v>0.55089702513122762</v>
      </c>
      <c r="G103">
        <v>3.2357811964497753E-2</v>
      </c>
      <c r="H103">
        <v>0.50170068575190896</v>
      </c>
      <c r="I103">
        <v>0.37621776891381908</v>
      </c>
      <c r="J103">
        <v>0.69594684137282325</v>
      </c>
      <c r="L103">
        <v>1.8988182859299227</v>
      </c>
      <c r="M103">
        <v>3.0960809567544603</v>
      </c>
      <c r="N103">
        <v>2.8043735141063943</v>
      </c>
      <c r="P103">
        <v>2.9100965739948273E-12</v>
      </c>
      <c r="R103">
        <v>4.7218285151165098</v>
      </c>
      <c r="S103">
        <v>4.7248309144760778</v>
      </c>
      <c r="T103">
        <v>1</v>
      </c>
      <c r="U103">
        <v>1.8470453251573222</v>
      </c>
      <c r="AN103" s="7"/>
    </row>
    <row r="104" spans="1:40">
      <c r="A104">
        <v>2.1475958113040122E-2</v>
      </c>
      <c r="B104">
        <v>1.1659764862381048</v>
      </c>
      <c r="C104">
        <v>0.82560110157703592</v>
      </c>
      <c r="D104">
        <v>-0.40345296461539182</v>
      </c>
      <c r="E104">
        <v>0.34345465022114713</v>
      </c>
      <c r="F104">
        <v>0.10599377650774471</v>
      </c>
      <c r="G104">
        <v>0.84384916552499445</v>
      </c>
      <c r="H104">
        <v>0.42765311327140831</v>
      </c>
      <c r="I104">
        <v>0.10373297582394315</v>
      </c>
      <c r="J104">
        <v>0.50841457113843469</v>
      </c>
      <c r="L104">
        <v>1.8988181701667461</v>
      </c>
      <c r="M104">
        <v>3.0960809766515767</v>
      </c>
      <c r="N104">
        <v>2.8043734724565033</v>
      </c>
      <c r="P104">
        <v>3.120807649966818E-12</v>
      </c>
      <c r="R104">
        <v>4.7218285151165098</v>
      </c>
      <c r="S104">
        <v>4.7248309144760778</v>
      </c>
      <c r="T104">
        <v>1</v>
      </c>
      <c r="U104">
        <v>1.8470453251573222</v>
      </c>
      <c r="AN104" s="7" t="s">
        <v>39</v>
      </c>
    </row>
    <row r="105" spans="1:40">
      <c r="A105">
        <v>2.0732214052243837E-2</v>
      </c>
      <c r="B105">
        <v>1.1579065011570815</v>
      </c>
      <c r="C105">
        <v>0.81922162972844481</v>
      </c>
      <c r="D105">
        <v>-0.6308656017065748</v>
      </c>
      <c r="E105">
        <v>0.63291022098706662</v>
      </c>
      <c r="F105">
        <v>-0.39378328085630698</v>
      </c>
      <c r="G105">
        <v>0.60844645257449437</v>
      </c>
      <c r="H105">
        <v>0.69635620582346824</v>
      </c>
      <c r="I105">
        <v>0.96551612091072658</v>
      </c>
      <c r="J105">
        <v>0.85307006946745989</v>
      </c>
      <c r="L105">
        <v>1.898818323674101</v>
      </c>
      <c r="M105">
        <v>3.0960809497062458</v>
      </c>
      <c r="N105">
        <v>2.8043735145491282</v>
      </c>
      <c r="P105">
        <v>2.8790079204276072E-12</v>
      </c>
      <c r="R105">
        <v>4.7218285151165098</v>
      </c>
      <c r="S105">
        <v>4.7248309144760778</v>
      </c>
      <c r="T105">
        <v>1</v>
      </c>
      <c r="U105">
        <v>1.8470453251573222</v>
      </c>
      <c r="AN105" s="7"/>
    </row>
    <row r="106" spans="1:40">
      <c r="A106">
        <v>2.5454751722922529E-2</v>
      </c>
      <c r="B106">
        <v>1.1617888332030497</v>
      </c>
      <c r="C106">
        <v>0.81180759145045966</v>
      </c>
      <c r="D106">
        <v>0.13187621730423438</v>
      </c>
      <c r="E106">
        <v>0.45084649151945577</v>
      </c>
      <c r="F106">
        <v>0.19668079673521408</v>
      </c>
      <c r="G106">
        <v>0.47052926543342716</v>
      </c>
      <c r="H106">
        <v>0.85013983448092512</v>
      </c>
      <c r="I106">
        <v>0.86133478361718652</v>
      </c>
      <c r="J106">
        <v>0.73867026474084352</v>
      </c>
      <c r="L106">
        <v>1.8988181625313643</v>
      </c>
      <c r="M106">
        <v>3.0960809811727383</v>
      </c>
      <c r="N106">
        <v>2.8043734734736017</v>
      </c>
      <c r="P106">
        <v>3.1199583017987101E-12</v>
      </c>
      <c r="R106">
        <v>4.7218285151165098</v>
      </c>
      <c r="S106">
        <v>4.7248309144760778</v>
      </c>
      <c r="T106">
        <v>1</v>
      </c>
      <c r="U106">
        <v>1.8470453251573222</v>
      </c>
      <c r="AN106" s="7"/>
    </row>
    <row r="107" spans="1:40">
      <c r="A107">
        <v>3.1318145976347127E-2</v>
      </c>
      <c r="B107">
        <v>1.1584813971650196</v>
      </c>
      <c r="C107">
        <v>0.83400832883265397</v>
      </c>
      <c r="D107">
        <v>0.22919124094411591</v>
      </c>
      <c r="E107">
        <v>8.75304860253103E-2</v>
      </c>
      <c r="F107">
        <v>-0.55694421640392477</v>
      </c>
      <c r="G107">
        <v>0.89636276468457765</v>
      </c>
      <c r="H107">
        <v>0.32445310081238782</v>
      </c>
      <c r="I107">
        <v>0.76077780776455495</v>
      </c>
      <c r="J107">
        <v>0.90758104541670948</v>
      </c>
      <c r="L107">
        <v>1.8988183994226882</v>
      </c>
      <c r="M107">
        <v>3.0960808735615872</v>
      </c>
      <c r="N107">
        <v>2.8043734693204918</v>
      </c>
      <c r="P107">
        <v>3.0762435502560022E-12</v>
      </c>
      <c r="R107">
        <v>4.7218285151165098</v>
      </c>
      <c r="S107">
        <v>4.7248309144760778</v>
      </c>
      <c r="T107">
        <v>1</v>
      </c>
      <c r="U107">
        <v>1.8470453251573222</v>
      </c>
      <c r="AN107" s="7"/>
    </row>
    <row r="108" spans="1:40">
      <c r="A108">
        <v>2.6680450935872149E-2</v>
      </c>
      <c r="B108">
        <v>1.1618375751071919</v>
      </c>
      <c r="C108">
        <v>0.80857416485016276</v>
      </c>
      <c r="D108">
        <v>0.10214208023261752</v>
      </c>
      <c r="E108">
        <v>0.49759615172520583</v>
      </c>
      <c r="F108">
        <v>0.73210747225859618</v>
      </c>
      <c r="G108">
        <v>0.28288395298968128</v>
      </c>
      <c r="H108">
        <v>0.70997168327297977</v>
      </c>
      <c r="I108">
        <v>0.89660344601831576</v>
      </c>
      <c r="J108">
        <v>0.9473787026106425</v>
      </c>
      <c r="L108">
        <v>1.8988181628051006</v>
      </c>
      <c r="M108">
        <v>3.0960809862225789</v>
      </c>
      <c r="N108">
        <v>2.8043734739356716</v>
      </c>
      <c r="P108">
        <v>3.1075319209969754E-12</v>
      </c>
      <c r="R108">
        <v>4.7218285151165098</v>
      </c>
      <c r="S108">
        <v>4.7248309144760778</v>
      </c>
      <c r="T108">
        <v>1</v>
      </c>
      <c r="U108">
        <v>1.8470453251573222</v>
      </c>
      <c r="AN108" s="7" t="s">
        <v>40</v>
      </c>
    </row>
    <row r="109" spans="1:40">
      <c r="A109">
        <v>3.662835988964859E-2</v>
      </c>
      <c r="B109">
        <v>1.1686170887202716</v>
      </c>
      <c r="C109">
        <v>0.7943458158042761</v>
      </c>
      <c r="D109">
        <v>0.2329212606433417</v>
      </c>
      <c r="E109">
        <v>-0.52890153638653126</v>
      </c>
      <c r="F109">
        <v>0.17038799120646023</v>
      </c>
      <c r="G109">
        <v>0.77812317878715143</v>
      </c>
      <c r="H109">
        <v>0.77132941396064358</v>
      </c>
      <c r="I109">
        <v>0.98416605925559819</v>
      </c>
      <c r="J109">
        <v>0.31238175000475477</v>
      </c>
      <c r="L109">
        <v>1.8988184773154546</v>
      </c>
      <c r="M109">
        <v>3.0960809428461351</v>
      </c>
      <c r="N109">
        <v>2.8043733743992529</v>
      </c>
      <c r="P109">
        <v>3.0752251514386667E-12</v>
      </c>
      <c r="R109">
        <v>4.7218285151165098</v>
      </c>
      <c r="S109">
        <v>4.7248309144760778</v>
      </c>
      <c r="T109">
        <v>1</v>
      </c>
      <c r="U109">
        <v>1.8470453251573222</v>
      </c>
      <c r="AN109" s="7"/>
    </row>
    <row r="110" spans="1:40">
      <c r="A110">
        <v>3.0577006039895376E-2</v>
      </c>
      <c r="B110">
        <v>1.1659182807813968</v>
      </c>
      <c r="C110">
        <v>0.80605725431983155</v>
      </c>
      <c r="D110">
        <v>4.4329897522730893E-2</v>
      </c>
      <c r="E110">
        <v>-0.56936522533493983</v>
      </c>
      <c r="F110">
        <v>0.25656577069401237</v>
      </c>
      <c r="G110">
        <v>0.31377426621360893</v>
      </c>
      <c r="H110">
        <v>0.37313576767140716</v>
      </c>
      <c r="I110">
        <v>0.17155045508062172</v>
      </c>
      <c r="J110">
        <v>0.20373270601936933</v>
      </c>
      <c r="L110">
        <v>1.8988184453913128</v>
      </c>
      <c r="M110">
        <v>3.0960808772064952</v>
      </c>
      <c r="N110">
        <v>2.8043733173219798</v>
      </c>
      <c r="P110">
        <v>3.4044964848798342E-12</v>
      </c>
      <c r="R110">
        <v>4.7218285151165098</v>
      </c>
      <c r="S110">
        <v>4.7248309144760778</v>
      </c>
      <c r="T110">
        <v>1</v>
      </c>
      <c r="U110">
        <v>1.8470453251573222</v>
      </c>
      <c r="AN110" s="7"/>
    </row>
    <row r="111" spans="1:40">
      <c r="A111">
        <v>-1.0377999208310411</v>
      </c>
      <c r="B111">
        <v>0.99112852229647763</v>
      </c>
      <c r="C111">
        <v>0.35655906081428773</v>
      </c>
      <c r="D111">
        <v>-0.49264051478958959</v>
      </c>
      <c r="E111">
        <v>0.216881666583738</v>
      </c>
      <c r="F111">
        <v>-0.54847244896771963</v>
      </c>
      <c r="G111">
        <v>0.7031901736716154</v>
      </c>
      <c r="H111">
        <v>0.10489171701343986</v>
      </c>
      <c r="I111">
        <v>0.27592586885523912</v>
      </c>
      <c r="J111">
        <v>0.47830271761142001</v>
      </c>
      <c r="L111">
        <v>0.84223242562173506</v>
      </c>
      <c r="M111">
        <v>3.3538353935238381</v>
      </c>
      <c r="N111">
        <v>0.67134549033204971</v>
      </c>
      <c r="P111">
        <v>4.1426025767999155E-12</v>
      </c>
      <c r="R111">
        <v>4.2203517716263255</v>
      </c>
      <c r="S111">
        <v>4.2243239500446652</v>
      </c>
      <c r="T111">
        <v>1</v>
      </c>
      <c r="U111">
        <v>2.2356866618865459</v>
      </c>
      <c r="AN111" s="7"/>
    </row>
    <row r="112" spans="1:40">
      <c r="A112">
        <v>-1.0382862414927754</v>
      </c>
      <c r="B112">
        <v>0.97724201244947317</v>
      </c>
      <c r="C112">
        <v>0.38829273719880353</v>
      </c>
      <c r="D112">
        <v>-0.55946594974284913</v>
      </c>
      <c r="E112">
        <v>-2.5803233557860645E-2</v>
      </c>
      <c r="F112">
        <v>6.3507019868511469E-2</v>
      </c>
      <c r="G112">
        <v>7.7848166980342429E-2</v>
      </c>
      <c r="H112">
        <v>0.69357123094265338</v>
      </c>
      <c r="I112">
        <v>6.9500336141572069E-2</v>
      </c>
      <c r="J112">
        <v>0.96841764961092314</v>
      </c>
      <c r="L112">
        <v>0.84223268744290747</v>
      </c>
      <c r="M112">
        <v>3.3538353030779446</v>
      </c>
      <c r="N112">
        <v>0.67134602607959781</v>
      </c>
      <c r="P112">
        <v>3.0479039956702166E-12</v>
      </c>
      <c r="R112">
        <v>4.2203517716263255</v>
      </c>
      <c r="S112">
        <v>4.2243239500446652</v>
      </c>
      <c r="T112">
        <v>1</v>
      </c>
      <c r="U112">
        <v>2.2356866618865459</v>
      </c>
      <c r="AN112" s="7" t="s">
        <v>41</v>
      </c>
    </row>
    <row r="113" spans="1:40">
      <c r="A113">
        <v>-1.0353873065721149</v>
      </c>
      <c r="B113">
        <v>0.98189004685725345</v>
      </c>
      <c r="C113">
        <v>0.37631978447888248</v>
      </c>
      <c r="D113">
        <v>-0.19951026916547412</v>
      </c>
      <c r="E113">
        <v>0.17473432938231775</v>
      </c>
      <c r="F113">
        <v>-0.61256130158032274</v>
      </c>
      <c r="G113">
        <v>9.6781249945529974E-2</v>
      </c>
      <c r="H113">
        <v>0.65999056889625751</v>
      </c>
      <c r="I113">
        <v>0.43558860351384193</v>
      </c>
      <c r="J113">
        <v>0.31674094579102713</v>
      </c>
      <c r="L113">
        <v>0.8422322869004415</v>
      </c>
      <c r="M113">
        <v>3.3538354220456079</v>
      </c>
      <c r="N113">
        <v>0.67134538013594813</v>
      </c>
      <c r="P113">
        <v>4.3580765951583661E-12</v>
      </c>
      <c r="R113">
        <v>4.2203517716263255</v>
      </c>
      <c r="S113">
        <v>4.2243239500446652</v>
      </c>
      <c r="T113">
        <v>1</v>
      </c>
      <c r="U113">
        <v>2.2356866618865459</v>
      </c>
      <c r="AN113" s="7"/>
    </row>
    <row r="114" spans="1:40">
      <c r="A114">
        <v>-1.0330801196934911</v>
      </c>
      <c r="B114">
        <v>0.99293971380971291</v>
      </c>
      <c r="C114">
        <v>0.35832575630161595</v>
      </c>
      <c r="D114">
        <v>-0.58113405213482461</v>
      </c>
      <c r="E114">
        <v>8.4473277584569528E-3</v>
      </c>
      <c r="F114">
        <v>0.14469393333648592</v>
      </c>
      <c r="G114">
        <v>0.64374708524001389</v>
      </c>
      <c r="H114">
        <v>0.29552929405982464</v>
      </c>
      <c r="I114">
        <v>0.63993929852785569</v>
      </c>
      <c r="J114">
        <v>0.70005083776188926</v>
      </c>
      <c r="L114">
        <v>0.8422322443923913</v>
      </c>
      <c r="M114">
        <v>3.3538354426750447</v>
      </c>
      <c r="N114">
        <v>0.6713453524528048</v>
      </c>
      <c r="P114">
        <v>4.440542603518266E-12</v>
      </c>
      <c r="R114">
        <v>4.2203517716263255</v>
      </c>
      <c r="S114">
        <v>4.2243239500446652</v>
      </c>
      <c r="T114">
        <v>1</v>
      </c>
      <c r="U114">
        <v>2.2356866618865459</v>
      </c>
      <c r="AN114" s="7"/>
    </row>
    <row r="115" spans="1:40">
      <c r="A115">
        <v>-1.0335190585857374</v>
      </c>
      <c r="B115">
        <v>0.98068591874090483</v>
      </c>
      <c r="C115">
        <v>0.36032527389621072</v>
      </c>
      <c r="D115">
        <v>4.616251318002404E-2</v>
      </c>
      <c r="E115">
        <v>-0.16565228713454036</v>
      </c>
      <c r="F115">
        <v>-0.60474051304219034</v>
      </c>
      <c r="G115">
        <v>0.26063404163515885</v>
      </c>
      <c r="H115">
        <v>0.48021614493590614</v>
      </c>
      <c r="I115">
        <v>0.61091365466269343</v>
      </c>
      <c r="J115">
        <v>0.48602479643720214</v>
      </c>
      <c r="L115">
        <v>0.84223227599487882</v>
      </c>
      <c r="M115">
        <v>3.3538354217364956</v>
      </c>
      <c r="N115">
        <v>0.67134537485416057</v>
      </c>
      <c r="P115">
        <v>4.3610227438480897E-12</v>
      </c>
      <c r="R115">
        <v>4.2203517716263255</v>
      </c>
      <c r="S115">
        <v>4.2243239500446652</v>
      </c>
      <c r="T115">
        <v>1</v>
      </c>
      <c r="U115">
        <v>2.2356866618865459</v>
      </c>
      <c r="AN115" s="7"/>
    </row>
    <row r="116" spans="1:40">
      <c r="A116">
        <v>-1.0305192768261937</v>
      </c>
      <c r="B116">
        <v>0.99148026157238001</v>
      </c>
      <c r="C116">
        <v>0.34358317165986446</v>
      </c>
      <c r="D116">
        <v>-0.25947158245503077</v>
      </c>
      <c r="E116">
        <v>-0.50866459549491261</v>
      </c>
      <c r="F116">
        <v>-0.3191688279121237</v>
      </c>
      <c r="G116">
        <v>0.67127460222987145</v>
      </c>
      <c r="H116">
        <v>0.12677079856712756</v>
      </c>
      <c r="I116">
        <v>0.60908126360445147</v>
      </c>
      <c r="J116">
        <v>0.46784406825173802</v>
      </c>
      <c r="L116">
        <v>0.84223227897347153</v>
      </c>
      <c r="M116">
        <v>3.3538354234647061</v>
      </c>
      <c r="N116">
        <v>0.67134537514249504</v>
      </c>
      <c r="P116">
        <v>4.3674665219845597E-12</v>
      </c>
      <c r="R116">
        <v>4.2203517716263255</v>
      </c>
      <c r="S116">
        <v>4.2243239500446652</v>
      </c>
      <c r="T116">
        <v>1</v>
      </c>
      <c r="U116">
        <v>2.2356866618865459</v>
      </c>
      <c r="AN116" s="7" t="s">
        <v>42</v>
      </c>
    </row>
    <row r="117" spans="1:40">
      <c r="A117">
        <v>-1.0289485251087511</v>
      </c>
      <c r="B117">
        <v>0.99269020054475132</v>
      </c>
      <c r="C117">
        <v>0.35781240744260934</v>
      </c>
      <c r="D117">
        <v>0.32341956889637807</v>
      </c>
      <c r="E117">
        <v>-0.37514282758677936</v>
      </c>
      <c r="F117">
        <v>0.52895719191265389</v>
      </c>
      <c r="G117">
        <v>0.20371572863642187</v>
      </c>
      <c r="H117">
        <v>0.75522417449655344</v>
      </c>
      <c r="I117">
        <v>0.39406330980936793</v>
      </c>
      <c r="J117">
        <v>0.53152697580170516</v>
      </c>
      <c r="L117">
        <v>0.84223266660343921</v>
      </c>
      <c r="M117">
        <v>3.3538351446460211</v>
      </c>
      <c r="N117">
        <v>0.6713459755238721</v>
      </c>
      <c r="P117">
        <v>2.8528213276784346E-12</v>
      </c>
      <c r="R117">
        <v>4.2203517716263255</v>
      </c>
      <c r="S117">
        <v>4.2243239500446652</v>
      </c>
      <c r="T117">
        <v>1</v>
      </c>
      <c r="U117">
        <v>2.2356866618865459</v>
      </c>
      <c r="AN117" s="7"/>
    </row>
    <row r="118" spans="1:40">
      <c r="A118">
        <v>-1.0233300253068212</v>
      </c>
      <c r="B118">
        <v>0.99106323002614283</v>
      </c>
      <c r="C118">
        <v>0.35031782996371125</v>
      </c>
      <c r="D118">
        <v>0.42489201827597778</v>
      </c>
      <c r="E118">
        <v>-0.64344198582589462</v>
      </c>
      <c r="F118">
        <v>-0.12693479241900746</v>
      </c>
      <c r="G118">
        <v>7.3725548676337627E-2</v>
      </c>
      <c r="H118">
        <v>0.71195223311156308</v>
      </c>
      <c r="I118">
        <v>0.90795947859282689</v>
      </c>
      <c r="J118">
        <v>7.0421858582109236E-3</v>
      </c>
      <c r="L118">
        <v>0.84223248944520013</v>
      </c>
      <c r="M118">
        <v>3.3538353853013376</v>
      </c>
      <c r="N118">
        <v>0.67134666928694253</v>
      </c>
      <c r="P118">
        <v>1.8819190216180264E-12</v>
      </c>
      <c r="R118">
        <v>4.2203517716263255</v>
      </c>
      <c r="S118">
        <v>4.2243239500446652</v>
      </c>
      <c r="T118">
        <v>1</v>
      </c>
      <c r="U118">
        <v>2.2356866618865459</v>
      </c>
      <c r="AN118" s="7"/>
    </row>
    <row r="119" spans="1:40">
      <c r="A119">
        <v>-1.0294480061176838</v>
      </c>
      <c r="B119">
        <v>0.99446787216386379</v>
      </c>
      <c r="C119">
        <v>0.36857252793276174</v>
      </c>
      <c r="D119">
        <v>-0.92005762989827988</v>
      </c>
      <c r="E119">
        <v>-2.0859188430761847E-2</v>
      </c>
      <c r="F119">
        <v>0.26884411184440116</v>
      </c>
      <c r="G119">
        <v>0.2642627111421299</v>
      </c>
      <c r="H119">
        <v>0.25766834572276931</v>
      </c>
      <c r="I119">
        <v>0.66343146679280107</v>
      </c>
      <c r="J119">
        <v>0.33963237089922338</v>
      </c>
      <c r="L119">
        <v>0.84223262059571513</v>
      </c>
      <c r="M119">
        <v>3.3538352804338234</v>
      </c>
      <c r="N119">
        <v>0.67134576562009041</v>
      </c>
      <c r="P119">
        <v>3.4849851481792282E-12</v>
      </c>
      <c r="R119">
        <v>4.2203517716263255</v>
      </c>
      <c r="S119">
        <v>4.2243239500446652</v>
      </c>
      <c r="T119">
        <v>1</v>
      </c>
      <c r="U119">
        <v>2.2356866618865459</v>
      </c>
      <c r="AN119" s="7"/>
    </row>
    <row r="120" spans="1:40">
      <c r="A120">
        <v>-1.0361772997789827</v>
      </c>
      <c r="B120">
        <v>0.99194802829230067</v>
      </c>
      <c r="C120">
        <v>0.36099205790403383</v>
      </c>
      <c r="D120">
        <v>0.24611460364162355</v>
      </c>
      <c r="E120">
        <v>0.83861812136615665</v>
      </c>
      <c r="F120">
        <v>0.43397162615230345</v>
      </c>
      <c r="G120">
        <v>0.33316602395714845</v>
      </c>
      <c r="H120">
        <v>0.56581499620243392</v>
      </c>
      <c r="I120">
        <v>0.63292404948745118</v>
      </c>
      <c r="J120">
        <v>0.72617044836796207</v>
      </c>
      <c r="L120">
        <v>0.84223250710536024</v>
      </c>
      <c r="M120">
        <v>3.3538353425639063</v>
      </c>
      <c r="N120">
        <v>0.67134557324372302</v>
      </c>
      <c r="P120">
        <v>3.9256329453872166E-12</v>
      </c>
      <c r="R120">
        <v>4.2203517716263255</v>
      </c>
      <c r="S120">
        <v>4.2243239500446652</v>
      </c>
      <c r="T120">
        <v>1</v>
      </c>
      <c r="U120">
        <v>2.2356866618865459</v>
      </c>
      <c r="AN120" s="7" t="s">
        <v>43</v>
      </c>
    </row>
    <row r="121" spans="1:40">
      <c r="A121">
        <v>-0.98342421893219067</v>
      </c>
      <c r="B121">
        <v>1.1102347157375669</v>
      </c>
      <c r="C121">
        <v>0.29037950295224302</v>
      </c>
      <c r="D121">
        <v>0.24341373205454728</v>
      </c>
      <c r="E121">
        <v>-0.53717424133476743</v>
      </c>
      <c r="F121">
        <v>-0.84490875260815879</v>
      </c>
      <c r="G121">
        <v>0.11282973701447223</v>
      </c>
      <c r="H121">
        <v>0.12273294039312242</v>
      </c>
      <c r="I121">
        <v>0.58173120097627784</v>
      </c>
      <c r="J121">
        <v>0.47414856914381465</v>
      </c>
      <c r="L121">
        <v>0.84223402225796684</v>
      </c>
      <c r="M121">
        <v>3.3538386369600381</v>
      </c>
      <c r="N121">
        <v>4.4622318842836437</v>
      </c>
      <c r="P121">
        <v>3.349856979036203E-11</v>
      </c>
      <c r="R121">
        <v>7.3016290571271956</v>
      </c>
      <c r="S121">
        <v>7.309134947611736</v>
      </c>
      <c r="T121">
        <v>1</v>
      </c>
      <c r="U121">
        <v>2.2408765845439076</v>
      </c>
      <c r="AN121" s="7"/>
    </row>
    <row r="122" spans="1:40">
      <c r="A122">
        <v>-0.99096466087340851</v>
      </c>
      <c r="B122">
        <v>1.1007252310105966</v>
      </c>
      <c r="C122">
        <v>0.31259601597644893</v>
      </c>
      <c r="D122">
        <v>-0.37913607351985495</v>
      </c>
      <c r="E122">
        <v>-0.39671623622920171</v>
      </c>
      <c r="F122">
        <v>-0.60983767552443102</v>
      </c>
      <c r="G122">
        <v>7.7551064281336138E-2</v>
      </c>
      <c r="H122">
        <v>0.10651109858871394</v>
      </c>
      <c r="I122">
        <v>9.9922722387683238E-2</v>
      </c>
      <c r="J122">
        <v>0.73073458858969875</v>
      </c>
      <c r="L122">
        <v>0.84223329106210054</v>
      </c>
      <c r="M122">
        <v>3.3538393063410341</v>
      </c>
      <c r="N122">
        <v>4.4622315598027074</v>
      </c>
      <c r="P122">
        <v>3.8777813804748358E-11</v>
      </c>
      <c r="R122">
        <v>7.3016290571271956</v>
      </c>
      <c r="S122">
        <v>7.309134947611736</v>
      </c>
      <c r="T122">
        <v>1</v>
      </c>
      <c r="U122">
        <v>2.2408765845439076</v>
      </c>
      <c r="AN122" s="7"/>
    </row>
    <row r="123" spans="1:40">
      <c r="A123">
        <v>-0.99132424083803117</v>
      </c>
      <c r="B123">
        <v>1.1119472128415993</v>
      </c>
      <c r="C123">
        <v>0.31941036109072007</v>
      </c>
      <c r="D123">
        <v>-0.33953989554364966</v>
      </c>
      <c r="E123">
        <v>0.41073949842030533</v>
      </c>
      <c r="F123">
        <v>0.63568886952805759</v>
      </c>
      <c r="G123">
        <v>0.49208256018379348</v>
      </c>
      <c r="H123">
        <v>0.76940596313050136</v>
      </c>
      <c r="I123">
        <v>0.72335047938165509</v>
      </c>
      <c r="J123">
        <v>0.78944981128695335</v>
      </c>
      <c r="L123">
        <v>0.84223361588200152</v>
      </c>
      <c r="M123">
        <v>3.3538390871088084</v>
      </c>
      <c r="N123">
        <v>4.462231656250073</v>
      </c>
      <c r="P123">
        <v>3.7208089101120732E-11</v>
      </c>
      <c r="R123">
        <v>7.3016290571271956</v>
      </c>
      <c r="S123">
        <v>7.309134947611736</v>
      </c>
      <c r="T123">
        <v>1</v>
      </c>
      <c r="U123">
        <v>2.2408765845439076</v>
      </c>
      <c r="AN123" s="7"/>
    </row>
    <row r="124" spans="1:40">
      <c r="A124">
        <v>-0.98986553006293365</v>
      </c>
      <c r="B124">
        <v>1.1075108370876738</v>
      </c>
      <c r="C124">
        <v>0.30418560969210073</v>
      </c>
      <c r="D124">
        <v>0.55515004930641076</v>
      </c>
      <c r="E124">
        <v>0.19571826100298725</v>
      </c>
      <c r="F124">
        <v>-4.846425997448791E-2</v>
      </c>
      <c r="G124">
        <v>7.6809419423021205E-2</v>
      </c>
      <c r="H124">
        <v>0.53301362092085658</v>
      </c>
      <c r="I124">
        <v>0.43189322754562304</v>
      </c>
      <c r="J124">
        <v>0.59301009459330301</v>
      </c>
      <c r="L124">
        <v>0.84223421866986992</v>
      </c>
      <c r="M124">
        <v>3.3538384334907363</v>
      </c>
      <c r="N124">
        <v>4.4622320646760683</v>
      </c>
      <c r="P124">
        <v>3.1700680931361958E-11</v>
      </c>
      <c r="R124">
        <v>7.3016290571271956</v>
      </c>
      <c r="S124">
        <v>7.309134947611736</v>
      </c>
      <c r="T124">
        <v>1</v>
      </c>
      <c r="U124">
        <v>2.2408765845439076</v>
      </c>
      <c r="AN124" s="7" t="s">
        <v>44</v>
      </c>
    </row>
    <row r="125" spans="1:40">
      <c r="A125">
        <v>-0.98791335153284754</v>
      </c>
      <c r="B125">
        <v>1.110702482312816</v>
      </c>
      <c r="C125">
        <v>0.30500041083959839</v>
      </c>
      <c r="D125">
        <v>-0.35070061765370658</v>
      </c>
      <c r="E125">
        <v>5.7273500217978716E-2</v>
      </c>
      <c r="F125">
        <v>7.9690063323192242E-2</v>
      </c>
      <c r="G125">
        <v>0.13756438263833454</v>
      </c>
      <c r="H125">
        <v>2.9287060358777234E-2</v>
      </c>
      <c r="I125">
        <v>0.50570241570476782</v>
      </c>
      <c r="J125">
        <v>0.60330567868556462</v>
      </c>
      <c r="L125">
        <v>0.8422338727286327</v>
      </c>
      <c r="M125">
        <v>3.3538388833388217</v>
      </c>
      <c r="N125">
        <v>4.4622318518722759</v>
      </c>
      <c r="P125">
        <v>3.5154115350078261E-11</v>
      </c>
      <c r="R125">
        <v>7.3016290571271956</v>
      </c>
      <c r="S125">
        <v>7.309134947611736</v>
      </c>
      <c r="T125">
        <v>1</v>
      </c>
      <c r="U125">
        <v>2.2408765845439076</v>
      </c>
      <c r="AN125" s="7"/>
    </row>
    <row r="126" spans="1:40">
      <c r="A126">
        <v>-0.9898220624620514</v>
      </c>
      <c r="B126">
        <v>1.1125996236542832</v>
      </c>
      <c r="C126">
        <v>0.27923596851405952</v>
      </c>
      <c r="D126">
        <v>0.14998369708431097</v>
      </c>
      <c r="E126">
        <v>-0.14190665830179663</v>
      </c>
      <c r="F126">
        <v>-0.64118304970821449</v>
      </c>
      <c r="G126">
        <v>0.89790454222190541</v>
      </c>
      <c r="H126">
        <v>3.7537190462896108E-2</v>
      </c>
      <c r="I126">
        <v>0.75535529361393072</v>
      </c>
      <c r="J126">
        <v>0.49144353895200577</v>
      </c>
      <c r="L126">
        <v>0.84223332826711095</v>
      </c>
      <c r="M126">
        <v>3.3538393331412806</v>
      </c>
      <c r="N126">
        <v>4.4622315837354254</v>
      </c>
      <c r="P126">
        <v>3.9001948546356305E-11</v>
      </c>
      <c r="R126">
        <v>7.3016290571271956</v>
      </c>
      <c r="S126">
        <v>7.309134947611736</v>
      </c>
      <c r="T126">
        <v>1</v>
      </c>
      <c r="U126">
        <v>2.2408765845439076</v>
      </c>
      <c r="AN126" s="7"/>
    </row>
    <row r="127" spans="1:40">
      <c r="A127">
        <v>-0.98826319558955167</v>
      </c>
      <c r="B127">
        <v>1.1049684325424576</v>
      </c>
      <c r="C127">
        <v>0.30146279918366675</v>
      </c>
      <c r="D127">
        <v>0.3696836141657025</v>
      </c>
      <c r="E127">
        <v>-0.5540515068552847</v>
      </c>
      <c r="F127">
        <v>-0.50837007843163906</v>
      </c>
      <c r="G127">
        <v>0.14457917453969554</v>
      </c>
      <c r="H127">
        <v>0.44090073063841628</v>
      </c>
      <c r="I127">
        <v>0.18219689884431536</v>
      </c>
      <c r="J127">
        <v>0.72885464458076621</v>
      </c>
      <c r="L127">
        <v>0.84223465672481568</v>
      </c>
      <c r="M127">
        <v>3.3538372636319322</v>
      </c>
      <c r="N127">
        <v>4.4622328429027993</v>
      </c>
      <c r="P127">
        <v>2.2116583511479957E-11</v>
      </c>
      <c r="R127">
        <v>7.3016290571271956</v>
      </c>
      <c r="S127">
        <v>7.309134947611736</v>
      </c>
      <c r="T127">
        <v>1</v>
      </c>
      <c r="U127">
        <v>2.2408765845439076</v>
      </c>
      <c r="AN127" s="7"/>
    </row>
    <row r="128" spans="1:40">
      <c r="A128">
        <v>-0.98928518751776895</v>
      </c>
      <c r="B128">
        <v>1.1068968399546306</v>
      </c>
      <c r="C128">
        <v>0.32304285716136294</v>
      </c>
      <c r="D128">
        <v>-0.16407854898229607</v>
      </c>
      <c r="E128">
        <v>-6.6851704626568295E-2</v>
      </c>
      <c r="F128">
        <v>-0.75107002796218858</v>
      </c>
      <c r="G128">
        <v>6.8661362626290814E-2</v>
      </c>
      <c r="H128">
        <v>0.7500866381915996</v>
      </c>
      <c r="I128">
        <v>0.35990167410846968</v>
      </c>
      <c r="J128">
        <v>0.21791390136816399</v>
      </c>
      <c r="L128">
        <v>0.84223255825814436</v>
      </c>
      <c r="M128">
        <v>3.3538396593792354</v>
      </c>
      <c r="N128">
        <v>4.4622313593953935</v>
      </c>
      <c r="P128">
        <v>4.1881547394408773E-11</v>
      </c>
      <c r="R128">
        <v>7.3016290571271956</v>
      </c>
      <c r="S128">
        <v>7.309134947611736</v>
      </c>
      <c r="T128">
        <v>1</v>
      </c>
      <c r="U128">
        <v>2.2408765845439076</v>
      </c>
      <c r="AN128" s="7" t="s">
        <v>45</v>
      </c>
    </row>
    <row r="129" spans="1:40">
      <c r="A129">
        <v>-0.99534620555528652</v>
      </c>
      <c r="B129">
        <v>1.1149404191029981</v>
      </c>
      <c r="C129">
        <v>0.30749799799842803</v>
      </c>
      <c r="D129">
        <v>-0.18762224086754214</v>
      </c>
      <c r="E129">
        <v>0.7168608674102076</v>
      </c>
      <c r="F129">
        <v>6.073109598051217E-2</v>
      </c>
      <c r="G129">
        <v>0.93848279856528594</v>
      </c>
      <c r="H129">
        <v>0.63427170168517732</v>
      </c>
      <c r="I129">
        <v>0.73281511790845932</v>
      </c>
      <c r="J129">
        <v>0.2156134776931854</v>
      </c>
      <c r="L129">
        <v>0.84223446702776084</v>
      </c>
      <c r="M129">
        <v>3.3538381024987354</v>
      </c>
      <c r="N129">
        <v>4.4622323585410761</v>
      </c>
      <c r="P129">
        <v>2.8844695026696476E-11</v>
      </c>
      <c r="R129">
        <v>7.3016290571271956</v>
      </c>
      <c r="S129">
        <v>7.309134947611736</v>
      </c>
      <c r="T129">
        <v>1</v>
      </c>
      <c r="U129">
        <v>2.2408765845439076</v>
      </c>
      <c r="AN129" s="7"/>
    </row>
    <row r="130" spans="1:40">
      <c r="A130">
        <v>-0.98622869651745237</v>
      </c>
      <c r="B130">
        <v>1.1139470665755624</v>
      </c>
      <c r="C130">
        <v>0.32411251929377627</v>
      </c>
      <c r="D130">
        <v>-0.20285848427650804</v>
      </c>
      <c r="E130">
        <v>0.21986683770408938</v>
      </c>
      <c r="F130">
        <v>0.17964084504459857</v>
      </c>
      <c r="G130">
        <v>3.8320294324424763E-2</v>
      </c>
      <c r="H130">
        <v>0.88061527810535112</v>
      </c>
      <c r="I130">
        <v>0.68612438825714406</v>
      </c>
      <c r="J130">
        <v>0.40217631555482025</v>
      </c>
      <c r="L130">
        <v>0.84223397764833374</v>
      </c>
      <c r="M130">
        <v>3.3538388104945547</v>
      </c>
      <c r="N130">
        <v>4.4622319647844657</v>
      </c>
      <c r="P130">
        <v>3.428787166799796E-11</v>
      </c>
      <c r="R130">
        <v>7.3016290571271956</v>
      </c>
      <c r="S130">
        <v>7.309134947611736</v>
      </c>
      <c r="T130">
        <v>1</v>
      </c>
      <c r="U130">
        <v>2.2408765845439076</v>
      </c>
      <c r="AN130" s="7"/>
    </row>
    <row r="131" spans="1:40">
      <c r="A131">
        <v>-0.95459687431430784</v>
      </c>
      <c r="B131">
        <v>1.1958845201885662</v>
      </c>
      <c r="C131">
        <v>0.26208315946317495</v>
      </c>
      <c r="D131">
        <v>0.16529672574551957</v>
      </c>
      <c r="E131">
        <v>-0.4900281976031714</v>
      </c>
      <c r="F131">
        <v>-0.20503190729132342</v>
      </c>
      <c r="G131">
        <v>0.2068455431995963</v>
      </c>
      <c r="H131">
        <v>0.39389539261643597</v>
      </c>
      <c r="I131">
        <v>0.47029672871874217</v>
      </c>
      <c r="J131">
        <v>0.42551426952351562</v>
      </c>
      <c r="L131">
        <v>0.84223289100832954</v>
      </c>
      <c r="M131">
        <v>3.3538362460873921</v>
      </c>
      <c r="N131">
        <v>3.7205418453838668</v>
      </c>
      <c r="P131">
        <v>9.5132357523541495E-12</v>
      </c>
      <c r="R131">
        <v>4.7983944663273457</v>
      </c>
      <c r="S131">
        <v>4.8011093563140337</v>
      </c>
      <c r="T131">
        <v>1</v>
      </c>
      <c r="U131">
        <v>2.2145964488016245</v>
      </c>
      <c r="AN131" s="7"/>
    </row>
    <row r="132" spans="1:40">
      <c r="A132">
        <v>-0.95834710569930326</v>
      </c>
      <c r="B132">
        <v>1.2015629626463866</v>
      </c>
      <c r="C132">
        <v>0.26950602177974814</v>
      </c>
      <c r="D132">
        <v>-0.56917782322381238</v>
      </c>
      <c r="E132">
        <v>0.47791402107418773</v>
      </c>
      <c r="F132">
        <v>0.20600650362618134</v>
      </c>
      <c r="G132">
        <v>0.42763831811459641</v>
      </c>
      <c r="H132">
        <v>0.13026016684214287</v>
      </c>
      <c r="I132">
        <v>0.79095519445684381</v>
      </c>
      <c r="J132">
        <v>0.33198554070185515</v>
      </c>
      <c r="L132">
        <v>0.84223142920706373</v>
      </c>
      <c r="M132">
        <v>3.3538351140395402</v>
      </c>
      <c r="N132">
        <v>3.7205435166464067</v>
      </c>
      <c r="P132">
        <v>7.4650583105469786E-13</v>
      </c>
      <c r="R132">
        <v>4.7983944663273457</v>
      </c>
      <c r="S132">
        <v>4.8011093563140337</v>
      </c>
      <c r="T132">
        <v>1</v>
      </c>
      <c r="U132">
        <v>2.2145964488016245</v>
      </c>
      <c r="AN132" s="7" t="s">
        <v>46</v>
      </c>
    </row>
    <row r="133" spans="1:40">
      <c r="A133">
        <v>-0.95004920689815375</v>
      </c>
      <c r="B133">
        <v>1.1996765780533252</v>
      </c>
      <c r="C133">
        <v>0.26520066196798675</v>
      </c>
      <c r="D133">
        <v>3.397129517354016E-2</v>
      </c>
      <c r="E133">
        <v>-0.37357825380899046</v>
      </c>
      <c r="F133">
        <v>0.30004541179564514</v>
      </c>
      <c r="G133">
        <v>0.10039667214331432</v>
      </c>
      <c r="H133">
        <v>0.54556523686539593</v>
      </c>
      <c r="I133">
        <v>0.95458445102413958</v>
      </c>
      <c r="J133">
        <v>0.58707323041164972</v>
      </c>
      <c r="L133">
        <v>0.84223156298936652</v>
      </c>
      <c r="M133">
        <v>3.3538355695421473</v>
      </c>
      <c r="N133">
        <v>3.7205430625356906</v>
      </c>
      <c r="P133">
        <v>2.1843132290248374E-12</v>
      </c>
      <c r="R133">
        <v>4.7983944663273457</v>
      </c>
      <c r="S133">
        <v>4.8011093563140337</v>
      </c>
      <c r="T133">
        <v>1</v>
      </c>
      <c r="U133">
        <v>2.2145964488016245</v>
      </c>
      <c r="AN133" s="7"/>
    </row>
    <row r="134" spans="1:40">
      <c r="A134">
        <v>-0.95399632717183802</v>
      </c>
      <c r="B134">
        <v>1.194968627997161</v>
      </c>
      <c r="C134">
        <v>0.25707256111337312</v>
      </c>
      <c r="D134">
        <v>0.17878884566905748</v>
      </c>
      <c r="E134">
        <v>9.0490164844681288E-3</v>
      </c>
      <c r="F134">
        <v>0.5033586740961502</v>
      </c>
      <c r="G134">
        <v>7.729733014413652E-2</v>
      </c>
      <c r="H134">
        <v>0.11356598542896396</v>
      </c>
      <c r="I134">
        <v>0.9070015550878392</v>
      </c>
      <c r="J134">
        <v>0.77216755398054915</v>
      </c>
      <c r="L134">
        <v>0.84223301405014639</v>
      </c>
      <c r="M134">
        <v>3.3538361461170481</v>
      </c>
      <c r="N134">
        <v>3.7205419770065373</v>
      </c>
      <c r="P134">
        <v>8.9405288875949649E-12</v>
      </c>
      <c r="R134">
        <v>4.7983944663273457</v>
      </c>
      <c r="S134">
        <v>4.8011093563140337</v>
      </c>
      <c r="T134">
        <v>1</v>
      </c>
      <c r="U134">
        <v>2.2145964488016245</v>
      </c>
      <c r="AN134" s="7"/>
    </row>
    <row r="135" spans="1:40">
      <c r="A135">
        <v>-0.95826548078545559</v>
      </c>
      <c r="B135">
        <v>1.1963861755203995</v>
      </c>
      <c r="C135">
        <v>0.25854809452693306</v>
      </c>
      <c r="D135">
        <v>-0.45247711123277878</v>
      </c>
      <c r="E135">
        <v>-3.4797750169121441E-2</v>
      </c>
      <c r="F135">
        <v>-0.28457601160925666</v>
      </c>
      <c r="G135">
        <v>0.75891725702680179</v>
      </c>
      <c r="H135">
        <v>0.12795115080395783</v>
      </c>
      <c r="I135">
        <v>0.9622509870986673</v>
      </c>
      <c r="J135">
        <v>0.50948706137439637</v>
      </c>
      <c r="L135">
        <v>0.84223287723069395</v>
      </c>
      <c r="M135">
        <v>3.3538363551074903</v>
      </c>
      <c r="N135">
        <v>3.7205419100518515</v>
      </c>
      <c r="P135">
        <v>9.6216562672822355E-12</v>
      </c>
      <c r="R135">
        <v>4.7983944663273457</v>
      </c>
      <c r="S135">
        <v>4.8011093563140337</v>
      </c>
      <c r="T135">
        <v>1</v>
      </c>
      <c r="U135">
        <v>2.2145964488016245</v>
      </c>
      <c r="AN135" s="7"/>
    </row>
    <row r="136" spans="1:40">
      <c r="A136">
        <v>-0.95854693061901519</v>
      </c>
      <c r="B136">
        <v>1.1970408842845861</v>
      </c>
      <c r="C136">
        <v>0.25903509611564052</v>
      </c>
      <c r="D136">
        <v>0.13037279771388</v>
      </c>
      <c r="E136">
        <v>-0.5939813415384807</v>
      </c>
      <c r="F136">
        <v>3.7852571581777995E-2</v>
      </c>
      <c r="G136">
        <v>0.49112456678240096</v>
      </c>
      <c r="H136">
        <v>0.3137084412435901</v>
      </c>
      <c r="I136">
        <v>3.8487526275198462E-2</v>
      </c>
      <c r="J136">
        <v>0.42313299924506209</v>
      </c>
      <c r="L136">
        <v>0.84223313639226871</v>
      </c>
      <c r="M136">
        <v>3.3538358432493141</v>
      </c>
      <c r="N136">
        <v>3.7205423139636724</v>
      </c>
      <c r="P136">
        <v>7.1034917836330808E-12</v>
      </c>
      <c r="R136">
        <v>4.7983944663273457</v>
      </c>
      <c r="S136">
        <v>4.8011093563140337</v>
      </c>
      <c r="T136">
        <v>1</v>
      </c>
      <c r="U136">
        <v>2.2145964488016245</v>
      </c>
      <c r="AN136" s="7" t="s">
        <v>47</v>
      </c>
    </row>
    <row r="137" spans="1:40">
      <c r="A137">
        <v>-0.96307124507503139</v>
      </c>
      <c r="B137">
        <v>1.1956134276212058</v>
      </c>
      <c r="C137">
        <v>0.27008985483636311</v>
      </c>
      <c r="D137">
        <v>-0.12543990454839268</v>
      </c>
      <c r="E137">
        <v>0.22271177236557751</v>
      </c>
      <c r="F137">
        <v>7.0997738142043881E-2</v>
      </c>
      <c r="G137">
        <v>0.43936568478658783</v>
      </c>
      <c r="H137">
        <v>0.26535615752816594</v>
      </c>
      <c r="I137">
        <v>0.16313846415750355</v>
      </c>
      <c r="J137">
        <v>0.70084248907405378</v>
      </c>
      <c r="L137">
        <v>0.84223140853469869</v>
      </c>
      <c r="M137">
        <v>3.3538349550451909</v>
      </c>
      <c r="N137">
        <v>3.7205436712393873</v>
      </c>
      <c r="P137">
        <v>4.3837982950589079E-13</v>
      </c>
      <c r="R137">
        <v>4.7983944663273457</v>
      </c>
      <c r="S137">
        <v>4.8011093563140337</v>
      </c>
      <c r="T137">
        <v>1</v>
      </c>
      <c r="U137">
        <v>2.2145964488016245</v>
      </c>
      <c r="AN137" s="7"/>
    </row>
    <row r="138" spans="1:40">
      <c r="A138">
        <v>-0.95938286983160537</v>
      </c>
      <c r="B138">
        <v>1.2024007900148448</v>
      </c>
      <c r="C138">
        <v>0.27425316780200043</v>
      </c>
      <c r="D138">
        <v>0.48618974167519158</v>
      </c>
      <c r="E138">
        <v>0.66706015048797673</v>
      </c>
      <c r="F138">
        <v>0.11838651452249296</v>
      </c>
      <c r="G138">
        <v>0.20834044002752899</v>
      </c>
      <c r="H138">
        <v>0.85219267544619282</v>
      </c>
      <c r="I138">
        <v>0.51679028848209763</v>
      </c>
      <c r="J138">
        <v>8.4855312602281435E-2</v>
      </c>
      <c r="L138">
        <v>0.8422321037807019</v>
      </c>
      <c r="M138">
        <v>3.3538362636264005</v>
      </c>
      <c r="N138">
        <v>3.7205420997070315</v>
      </c>
      <c r="P138">
        <v>7.1850551850425923E-12</v>
      </c>
      <c r="R138">
        <v>4.7983944663273457</v>
      </c>
      <c r="S138">
        <v>4.8011093563140337</v>
      </c>
      <c r="T138">
        <v>1</v>
      </c>
      <c r="U138">
        <v>2.2145964488016245</v>
      </c>
      <c r="AN138" s="7"/>
    </row>
    <row r="139" spans="1:40">
      <c r="A139">
        <v>-0.96082173032957863</v>
      </c>
      <c r="B139">
        <v>1.1981934223776958</v>
      </c>
      <c r="C139">
        <v>0.25422258808310366</v>
      </c>
      <c r="D139">
        <v>0.14953374200397501</v>
      </c>
      <c r="E139">
        <v>-0.15846349847213079</v>
      </c>
      <c r="F139">
        <v>0.38257206852098807</v>
      </c>
      <c r="G139">
        <v>0.91936978665756119</v>
      </c>
      <c r="H139">
        <v>0.43550698880531358</v>
      </c>
      <c r="I139">
        <v>0.53704431756087367</v>
      </c>
      <c r="J139">
        <v>0.6469356293868338</v>
      </c>
      <c r="L139">
        <v>0.84223152027150794</v>
      </c>
      <c r="M139">
        <v>3.3538356676015009</v>
      </c>
      <c r="N139">
        <v>3.7205429066314646</v>
      </c>
      <c r="P139">
        <v>2.7363699426058781E-12</v>
      </c>
      <c r="R139">
        <v>4.7983944663273457</v>
      </c>
      <c r="S139">
        <v>4.8011093563140337</v>
      </c>
      <c r="T139">
        <v>1</v>
      </c>
      <c r="U139">
        <v>2.2145964488016245</v>
      </c>
      <c r="AN139" s="7"/>
    </row>
    <row r="140" spans="1:40">
      <c r="A140">
        <v>-0.9593324839414864</v>
      </c>
      <c r="B140">
        <v>1.2020942333090774</v>
      </c>
      <c r="C140">
        <v>0.29303488569505615</v>
      </c>
      <c r="D140">
        <v>-0.37254910872344166</v>
      </c>
      <c r="E140">
        <v>0.32570314800108019</v>
      </c>
      <c r="F140">
        <v>7.5105055048617564E-3</v>
      </c>
      <c r="G140">
        <v>0.22292390097921722</v>
      </c>
      <c r="H140">
        <v>0.95327566910564998</v>
      </c>
      <c r="I140">
        <v>0.30029259953103793</v>
      </c>
      <c r="J140">
        <v>0.67911092393656736</v>
      </c>
      <c r="L140">
        <v>0.84223310215631042</v>
      </c>
      <c r="M140">
        <v>3.353835525922924</v>
      </c>
      <c r="N140">
        <v>3.7205424954571846</v>
      </c>
      <c r="P140">
        <v>5.6202453110069169E-12</v>
      </c>
      <c r="R140">
        <v>4.7983944663273457</v>
      </c>
      <c r="S140">
        <v>4.8011093563140337</v>
      </c>
      <c r="T140">
        <v>1</v>
      </c>
      <c r="U140">
        <v>2.2145964488016245</v>
      </c>
      <c r="AN140" s="7" t="s">
        <v>48</v>
      </c>
    </row>
    <row r="141" spans="1:40">
      <c r="A141">
        <v>-1.0940266221316477</v>
      </c>
      <c r="B141">
        <v>1.0083016321171272</v>
      </c>
      <c r="C141">
        <v>0.4489877155037631</v>
      </c>
      <c r="D141">
        <v>9.3515507855160107E-2</v>
      </c>
      <c r="E141">
        <v>0.5841956506284226</v>
      </c>
      <c r="F141">
        <v>0.33330530961220423</v>
      </c>
      <c r="G141">
        <v>0.23834793479781882</v>
      </c>
      <c r="H141">
        <v>0.714857936107132</v>
      </c>
      <c r="I141">
        <v>0.90666821452757729</v>
      </c>
      <c r="J141">
        <v>0.47281373773034996</v>
      </c>
      <c r="L141">
        <v>0.84223278402056811</v>
      </c>
      <c r="M141">
        <v>0.67134343482894654</v>
      </c>
      <c r="N141">
        <v>4.462235287981966</v>
      </c>
      <c r="P141">
        <v>1.4687484941061441E-11</v>
      </c>
      <c r="R141">
        <v>5.4604225322358344</v>
      </c>
      <c r="S141">
        <v>5.4695394540896514</v>
      </c>
      <c r="T141">
        <v>1</v>
      </c>
      <c r="U141">
        <v>1.9189059612379986</v>
      </c>
      <c r="AN141" s="7"/>
    </row>
    <row r="142" spans="1:40">
      <c r="A142">
        <v>-1.0894802738572271</v>
      </c>
      <c r="B142">
        <v>1.0051205514401953</v>
      </c>
      <c r="C142">
        <v>0.46230379818409989</v>
      </c>
      <c r="D142">
        <v>-0.35946263246087445</v>
      </c>
      <c r="E142">
        <v>0.76204051866467526</v>
      </c>
      <c r="F142">
        <v>-0.32054049170910565</v>
      </c>
      <c r="G142">
        <v>6.5541593298655651E-2</v>
      </c>
      <c r="H142">
        <v>0.97182612142796043</v>
      </c>
      <c r="I142">
        <v>0.9375308324440963</v>
      </c>
      <c r="J142">
        <v>0.56968098550312207</v>
      </c>
      <c r="L142">
        <v>0.84223294738713406</v>
      </c>
      <c r="M142">
        <v>0.67134357429430114</v>
      </c>
      <c r="N142">
        <v>4.4622352501470255</v>
      </c>
      <c r="P142">
        <v>1.4078263257167605E-11</v>
      </c>
      <c r="R142">
        <v>5.4604225322358344</v>
      </c>
      <c r="S142">
        <v>5.4695394540896514</v>
      </c>
      <c r="T142">
        <v>1</v>
      </c>
      <c r="U142">
        <v>1.9189059612379986</v>
      </c>
      <c r="AN142" s="7"/>
    </row>
    <row r="143" spans="1:40">
      <c r="A143">
        <v>-1.0960693801020163</v>
      </c>
      <c r="B143">
        <v>1.0064066978055857</v>
      </c>
      <c r="C143">
        <v>0.43948666106385242</v>
      </c>
      <c r="D143">
        <v>-0.18250304404477952</v>
      </c>
      <c r="E143">
        <v>-0.56934187817284654</v>
      </c>
      <c r="F143">
        <v>0.24498370337931732</v>
      </c>
      <c r="G143">
        <v>0.53109187848228512</v>
      </c>
      <c r="H143">
        <v>0.31218137463599477</v>
      </c>
      <c r="I143">
        <v>0.55007642477076413</v>
      </c>
      <c r="J143">
        <v>0.66230247600215653</v>
      </c>
      <c r="L143">
        <v>0.84223358812535487</v>
      </c>
      <c r="M143">
        <v>0.67134470193870321</v>
      </c>
      <c r="N143">
        <v>4.4622348534607745</v>
      </c>
      <c r="P143">
        <v>9.5317892939340007E-12</v>
      </c>
      <c r="R143">
        <v>5.4604225322358344</v>
      </c>
      <c r="S143">
        <v>5.4695394540896514</v>
      </c>
      <c r="T143">
        <v>1</v>
      </c>
      <c r="U143">
        <v>1.9189059612379986</v>
      </c>
      <c r="AN143" s="7"/>
    </row>
    <row r="144" spans="1:40">
      <c r="A144">
        <v>-1.0948608497893844</v>
      </c>
      <c r="B144">
        <v>1.0063631383019589</v>
      </c>
      <c r="C144">
        <v>0.44093660633440773</v>
      </c>
      <c r="D144">
        <v>0.30366613226095451</v>
      </c>
      <c r="E144">
        <v>0.47104793023685376</v>
      </c>
      <c r="F144">
        <v>0.34342720137616251</v>
      </c>
      <c r="G144">
        <v>6.913268520186798E-2</v>
      </c>
      <c r="H144">
        <v>0.35208023117095305</v>
      </c>
      <c r="I144">
        <v>0.80830197514572688</v>
      </c>
      <c r="J144">
        <v>0.46376971909665671</v>
      </c>
      <c r="L144">
        <v>0.84223307418940585</v>
      </c>
      <c r="M144">
        <v>0.67134367041621379</v>
      </c>
      <c r="N144">
        <v>4.4622352206352538</v>
      </c>
      <c r="P144">
        <v>1.3753405470381319E-11</v>
      </c>
      <c r="R144">
        <v>5.4604225322358344</v>
      </c>
      <c r="S144">
        <v>5.4695394540896514</v>
      </c>
      <c r="T144">
        <v>1</v>
      </c>
      <c r="U144">
        <v>1.9189059612379986</v>
      </c>
      <c r="AN144" s="7" t="s">
        <v>49</v>
      </c>
    </row>
    <row r="145" spans="1:40">
      <c r="A145">
        <v>-1.1037226045208417</v>
      </c>
      <c r="B145">
        <v>0.99971994910379736</v>
      </c>
      <c r="C145">
        <v>0.43899270340705027</v>
      </c>
      <c r="D145">
        <v>0.4541383914565692</v>
      </c>
      <c r="E145">
        <v>-0.59693037848613351</v>
      </c>
      <c r="F145">
        <v>-0.32723942147809054</v>
      </c>
      <c r="G145">
        <v>0.22472178408756852</v>
      </c>
      <c r="H145">
        <v>8.6086661164643127E-2</v>
      </c>
      <c r="I145">
        <v>0.71585792710771101</v>
      </c>
      <c r="J145">
        <v>1.2562616727470463E-2</v>
      </c>
      <c r="L145">
        <v>0.84223227027640313</v>
      </c>
      <c r="M145">
        <v>0.67134320070602971</v>
      </c>
      <c r="N145">
        <v>4.4622355403433893</v>
      </c>
      <c r="P145">
        <v>1.571820011501285E-11</v>
      </c>
      <c r="R145">
        <v>5.4604225322358344</v>
      </c>
      <c r="S145">
        <v>5.4695394540896514</v>
      </c>
      <c r="T145">
        <v>1</v>
      </c>
      <c r="U145">
        <v>1.9189059612379986</v>
      </c>
      <c r="AN145" s="7"/>
    </row>
    <row r="146" spans="1:40">
      <c r="A146">
        <v>-1.0740202957076157</v>
      </c>
      <c r="B146">
        <v>1.0199084105439076</v>
      </c>
      <c r="C146">
        <v>0.41935027148837523</v>
      </c>
      <c r="D146">
        <v>-0.38141087071040353</v>
      </c>
      <c r="E146">
        <v>4.5725188404703493E-2</v>
      </c>
      <c r="F146">
        <v>-0.75580626619071334</v>
      </c>
      <c r="G146">
        <v>0.65629823569656054</v>
      </c>
      <c r="H146">
        <v>0.63309974203856367</v>
      </c>
      <c r="I146">
        <v>7.5071000515537112E-2</v>
      </c>
      <c r="J146">
        <v>0.88118468181032017</v>
      </c>
      <c r="L146">
        <v>0.84223282534267108</v>
      </c>
      <c r="M146">
        <v>0.67134347627075674</v>
      </c>
      <c r="N146">
        <v>4.4622353244808659</v>
      </c>
      <c r="P146">
        <v>1.4506125176245178E-11</v>
      </c>
      <c r="R146">
        <v>5.4604225322358344</v>
      </c>
      <c r="S146">
        <v>5.4695394540896514</v>
      </c>
      <c r="T146">
        <v>1</v>
      </c>
      <c r="U146">
        <v>1.9189059612379986</v>
      </c>
      <c r="AN146" s="7"/>
    </row>
    <row r="147" spans="1:40">
      <c r="A147">
        <v>-1.0937921927238197</v>
      </c>
      <c r="B147">
        <v>1.0085424705449699</v>
      </c>
      <c r="C147">
        <v>0.45374114161186641</v>
      </c>
      <c r="D147">
        <v>-0.18326477899634733</v>
      </c>
      <c r="E147">
        <v>-7.6858257985034373E-2</v>
      </c>
      <c r="F147">
        <v>-8.760334929990557E-2</v>
      </c>
      <c r="G147">
        <v>0.31340252184067363</v>
      </c>
      <c r="H147">
        <v>0.7761026995895649</v>
      </c>
      <c r="I147">
        <v>0.53883679933273598</v>
      </c>
      <c r="J147">
        <v>0.26305378785570882</v>
      </c>
      <c r="L147">
        <v>0.84223274312402618</v>
      </c>
      <c r="M147">
        <v>0.67134409167054865</v>
      </c>
      <c r="N147">
        <v>4.4622351408751184</v>
      </c>
      <c r="P147">
        <v>1.0183093337332906E-11</v>
      </c>
      <c r="R147">
        <v>5.4604225322358344</v>
      </c>
      <c r="S147">
        <v>5.4695394540896514</v>
      </c>
      <c r="T147">
        <v>1</v>
      </c>
      <c r="U147">
        <v>1.9189059612379986</v>
      </c>
      <c r="AN147" s="7"/>
    </row>
    <row r="148" spans="1:40">
      <c r="A148">
        <v>-1.0932760760191822</v>
      </c>
      <c r="B148">
        <v>1.0001184497943294</v>
      </c>
      <c r="C148">
        <v>0.44526595216786452</v>
      </c>
      <c r="D148">
        <v>-0.4100344097310169</v>
      </c>
      <c r="E148">
        <v>0.19781553255459319</v>
      </c>
      <c r="F148">
        <v>-0.21717085949764917</v>
      </c>
      <c r="G148">
        <v>0.10480225725423357</v>
      </c>
      <c r="H148">
        <v>0.10922798635800461</v>
      </c>
      <c r="I148">
        <v>0.91792655616086694</v>
      </c>
      <c r="J148">
        <v>0.81793778401633432</v>
      </c>
      <c r="L148">
        <v>0.84223308640628436</v>
      </c>
      <c r="M148">
        <v>0.67134377092614728</v>
      </c>
      <c r="N148">
        <v>4.4622349040087634</v>
      </c>
      <c r="P148">
        <v>1.308597162769905E-11</v>
      </c>
      <c r="R148">
        <v>5.4604225322358344</v>
      </c>
      <c r="S148">
        <v>5.4695394540896514</v>
      </c>
      <c r="T148">
        <v>1</v>
      </c>
      <c r="U148">
        <v>1.9189059612379986</v>
      </c>
      <c r="AN148" s="7" t="s">
        <v>50</v>
      </c>
    </row>
    <row r="149" spans="1:40">
      <c r="A149">
        <v>-1.0876149262911885</v>
      </c>
      <c r="B149">
        <v>1.0203073552449282</v>
      </c>
      <c r="C149">
        <v>0.40842963482872874</v>
      </c>
      <c r="D149">
        <v>0.32132784060061509</v>
      </c>
      <c r="E149">
        <v>-8.3363059184466029E-2</v>
      </c>
      <c r="F149">
        <v>1.7687967672206376E-2</v>
      </c>
      <c r="G149">
        <v>0.70273634811876751</v>
      </c>
      <c r="H149">
        <v>6.2521590649075406E-2</v>
      </c>
      <c r="I149">
        <v>0.24660310287768866</v>
      </c>
      <c r="J149">
        <v>0.23196448486791646</v>
      </c>
      <c r="L149">
        <v>0.84223323035024222</v>
      </c>
      <c r="M149">
        <v>0.67134383951519128</v>
      </c>
      <c r="N149">
        <v>4.4622350820098564</v>
      </c>
      <c r="P149">
        <v>1.3070660963050015E-11</v>
      </c>
      <c r="R149">
        <v>5.4604225322358344</v>
      </c>
      <c r="S149">
        <v>5.4695394540896514</v>
      </c>
      <c r="T149">
        <v>1</v>
      </c>
      <c r="U149">
        <v>1.9189059612379986</v>
      </c>
      <c r="AN149" s="7"/>
    </row>
    <row r="150" spans="1:40">
      <c r="A150">
        <v>-1.0786078895156288</v>
      </c>
      <c r="B150">
        <v>1.0237835580203256</v>
      </c>
      <c r="C150">
        <v>0.42513000996269407</v>
      </c>
      <c r="D150">
        <v>-0.72329956496293535</v>
      </c>
      <c r="E150">
        <v>0.16104844270391952</v>
      </c>
      <c r="F150">
        <v>-0.46950782693112447</v>
      </c>
      <c r="G150">
        <v>0.96095144569583468</v>
      </c>
      <c r="H150">
        <v>0.64644659296291296</v>
      </c>
      <c r="I150">
        <v>0.28695429370649805</v>
      </c>
      <c r="J150">
        <v>0.55568701290306277</v>
      </c>
      <c r="L150">
        <v>0.8422327538085137</v>
      </c>
      <c r="M150">
        <v>0.67134341177993673</v>
      </c>
      <c r="N150">
        <v>4.4622353373792505</v>
      </c>
      <c r="P150">
        <v>1.4815790042401501E-11</v>
      </c>
      <c r="R150">
        <v>5.4604225322358344</v>
      </c>
      <c r="S150">
        <v>5.4695394540896514</v>
      </c>
      <c r="T150">
        <v>1</v>
      </c>
      <c r="U150">
        <v>1.9189059612379986</v>
      </c>
      <c r="AN150" s="7"/>
    </row>
    <row r="151" spans="1:40">
      <c r="A151">
        <v>-1.5131535596077563</v>
      </c>
      <c r="B151">
        <v>1.1680497271076684</v>
      </c>
      <c r="C151">
        <v>1.0081812453640679</v>
      </c>
      <c r="D151">
        <v>5.8852985373367139E-2</v>
      </c>
      <c r="E151">
        <v>5.8946314331573907E-2</v>
      </c>
      <c r="F151">
        <v>-0.65267306879804809</v>
      </c>
      <c r="G151">
        <v>0.68172461334148959</v>
      </c>
      <c r="H151">
        <v>0.5496821184030195</v>
      </c>
      <c r="I151">
        <v>0.31991010661269098</v>
      </c>
      <c r="J151">
        <v>0.52308692730048767</v>
      </c>
      <c r="L151">
        <v>0.84223108453746753</v>
      </c>
      <c r="M151">
        <v>0.67134584989835366</v>
      </c>
      <c r="N151">
        <v>3.720544861971355</v>
      </c>
      <c r="P151">
        <v>2.5926258357547802E-12</v>
      </c>
      <c r="R151">
        <v>14.821063352484442</v>
      </c>
      <c r="S151">
        <v>15.029251889619651</v>
      </c>
      <c r="T151">
        <v>1</v>
      </c>
      <c r="U151">
        <v>1.9571587919109905</v>
      </c>
      <c r="AN151" s="7"/>
    </row>
    <row r="152" spans="1:40">
      <c r="A152">
        <v>-1.5073329115184824</v>
      </c>
      <c r="B152">
        <v>1.1674179869195671</v>
      </c>
      <c r="C152">
        <v>0.99168458711720475</v>
      </c>
      <c r="D152">
        <v>0.26970150849568858</v>
      </c>
      <c r="E152">
        <v>0.40704095679078212</v>
      </c>
      <c r="F152">
        <v>0.50015241471283589</v>
      </c>
      <c r="G152">
        <v>0.40621811500414573</v>
      </c>
      <c r="H152">
        <v>0.10132878638570302</v>
      </c>
      <c r="I152">
        <v>0.26005894627153581</v>
      </c>
      <c r="J152">
        <v>0.89780457402993508</v>
      </c>
      <c r="L152">
        <v>0.84223100033850562</v>
      </c>
      <c r="M152">
        <v>0.67134583066138509</v>
      </c>
      <c r="N152">
        <v>3.7205447929023467</v>
      </c>
      <c r="P152">
        <v>2.6192384610750283E-12</v>
      </c>
      <c r="R152">
        <v>14.821063352484442</v>
      </c>
      <c r="S152">
        <v>15.029251889619651</v>
      </c>
      <c r="T152">
        <v>1</v>
      </c>
      <c r="U152">
        <v>1.9571587919109905</v>
      </c>
      <c r="AN152" s="7" t="s">
        <v>51</v>
      </c>
    </row>
    <row r="153" spans="1:40">
      <c r="A153">
        <v>-1.5364070085391559</v>
      </c>
      <c r="B153">
        <v>1.1696845880406581</v>
      </c>
      <c r="C153">
        <v>1.0334166994284948</v>
      </c>
      <c r="D153">
        <v>0.29517011529477838</v>
      </c>
      <c r="E153">
        <v>-0.62241786427301071</v>
      </c>
      <c r="F153">
        <v>-0.2085410623443576</v>
      </c>
      <c r="G153">
        <v>0.44071827005758746</v>
      </c>
      <c r="H153">
        <v>0.24920959226509315</v>
      </c>
      <c r="I153">
        <v>0</v>
      </c>
      <c r="J153">
        <v>0.10980159888239588</v>
      </c>
      <c r="L153">
        <v>0.84223321892026537</v>
      </c>
      <c r="M153">
        <v>0.67134652678962703</v>
      </c>
      <c r="N153">
        <v>3.7205436823528992</v>
      </c>
      <c r="P153">
        <v>2.9337790145670156E-12</v>
      </c>
      <c r="R153">
        <v>14.821063352484442</v>
      </c>
      <c r="S153">
        <v>15.029251889619651</v>
      </c>
      <c r="T153">
        <v>1</v>
      </c>
      <c r="U153">
        <v>1.9571587919109905</v>
      </c>
      <c r="AN153" s="7"/>
    </row>
    <row r="154" spans="1:40">
      <c r="A154">
        <v>-1.5576541293828361</v>
      </c>
      <c r="B154">
        <v>1.1711277198500767</v>
      </c>
      <c r="C154">
        <v>1.0841796462424915</v>
      </c>
      <c r="D154">
        <v>5.6882485408240785E-2</v>
      </c>
      <c r="E154">
        <v>-5.6261542255764156E-3</v>
      </c>
      <c r="F154">
        <v>-0.53936703931656316</v>
      </c>
      <c r="G154">
        <v>0.22549150636303647</v>
      </c>
      <c r="H154">
        <v>0.72361924912958309</v>
      </c>
      <c r="I154">
        <v>0.46242824308140135</v>
      </c>
      <c r="J154">
        <v>0.14388205769115742</v>
      </c>
      <c r="L154">
        <v>0.84223110466427353</v>
      </c>
      <c r="M154">
        <v>0.67134583708575901</v>
      </c>
      <c r="N154">
        <v>3.7205448631031373</v>
      </c>
      <c r="P154">
        <v>2.6050128762640383E-12</v>
      </c>
      <c r="R154">
        <v>14.821063352484442</v>
      </c>
      <c r="S154">
        <v>15.029251889619651</v>
      </c>
      <c r="T154">
        <v>1</v>
      </c>
      <c r="U154">
        <v>1.9571587919109905</v>
      </c>
      <c r="AN154" s="7"/>
    </row>
    <row r="155" spans="1:40">
      <c r="A155">
        <v>-1.5476163728188277</v>
      </c>
      <c r="B155">
        <v>1.1684939509880377</v>
      </c>
      <c r="C155">
        <v>1.0521702129620814</v>
      </c>
      <c r="D155">
        <v>0.15434358346612059</v>
      </c>
      <c r="E155">
        <v>0.42944923129940227</v>
      </c>
      <c r="F155">
        <v>6.9860156546331917E-2</v>
      </c>
      <c r="G155">
        <v>0.14801517002103176</v>
      </c>
      <c r="H155">
        <v>0</v>
      </c>
      <c r="I155">
        <v>0.64468737281268396</v>
      </c>
      <c r="J155">
        <v>0.23768001143047901</v>
      </c>
      <c r="L155">
        <v>0.84223155764360946</v>
      </c>
      <c r="M155">
        <v>0.67134703653990635</v>
      </c>
      <c r="N155">
        <v>3.7205440182502159</v>
      </c>
      <c r="P155">
        <v>8.263894562126542E-15</v>
      </c>
      <c r="R155">
        <v>14.821063352484442</v>
      </c>
      <c r="S155">
        <v>15.029251889619651</v>
      </c>
      <c r="T155">
        <v>1</v>
      </c>
      <c r="U155">
        <v>1.9571587919109905</v>
      </c>
      <c r="AN155" s="7"/>
    </row>
    <row r="156" spans="1:40">
      <c r="A156">
        <v>-1.5377923169676169</v>
      </c>
      <c r="B156">
        <v>1.1767044539862392</v>
      </c>
      <c r="C156">
        <v>1.0668019343960278</v>
      </c>
      <c r="D156">
        <v>-0.33076039157222126</v>
      </c>
      <c r="E156">
        <v>0.2904665992412771</v>
      </c>
      <c r="F156">
        <v>0.25377666177042862</v>
      </c>
      <c r="G156">
        <v>0.12539242876223386</v>
      </c>
      <c r="H156">
        <v>0.68831338377831652</v>
      </c>
      <c r="I156">
        <v>0</v>
      </c>
      <c r="J156">
        <v>0.39702606871057777</v>
      </c>
      <c r="L156">
        <v>0.84223257783367811</v>
      </c>
      <c r="M156">
        <v>0.67134480341161862</v>
      </c>
      <c r="N156">
        <v>3.7205444262372267</v>
      </c>
      <c r="P156">
        <v>6.2911056750573519E-12</v>
      </c>
      <c r="R156">
        <v>14.821063352484442</v>
      </c>
      <c r="S156">
        <v>15.029251889619651</v>
      </c>
      <c r="T156">
        <v>1</v>
      </c>
      <c r="U156">
        <v>1.9571587919109905</v>
      </c>
      <c r="AN156" s="7" t="s">
        <v>52</v>
      </c>
    </row>
    <row r="157" spans="1:40">
      <c r="A157">
        <v>-1.5681682825876253</v>
      </c>
      <c r="B157">
        <v>1.1662426834928685</v>
      </c>
      <c r="C157">
        <v>1.0942385708745119</v>
      </c>
      <c r="D157">
        <v>-0.51167078374217367</v>
      </c>
      <c r="E157">
        <v>-0.41278902164186704</v>
      </c>
      <c r="F157">
        <v>-0.6243920539822595</v>
      </c>
      <c r="G157">
        <v>0.25993191617219158</v>
      </c>
      <c r="H157">
        <v>0.17052904676808256</v>
      </c>
      <c r="I157">
        <v>0.62329915799040281</v>
      </c>
      <c r="J157">
        <v>0.47344896774473466</v>
      </c>
      <c r="L157">
        <v>0.84223089744917845</v>
      </c>
      <c r="M157">
        <v>0.67134572013774674</v>
      </c>
      <c r="N157">
        <v>3.7205446468175292</v>
      </c>
      <c r="P157">
        <v>2.826060971668673E-12</v>
      </c>
      <c r="R157">
        <v>14.821063352484442</v>
      </c>
      <c r="S157">
        <v>15.029251889619651</v>
      </c>
      <c r="T157">
        <v>1</v>
      </c>
      <c r="U157">
        <v>1.9571587919109905</v>
      </c>
      <c r="AN157" s="7"/>
    </row>
    <row r="158" spans="1:40">
      <c r="A158">
        <v>-1.5352332608045074</v>
      </c>
      <c r="B158">
        <v>1.1787510763929314</v>
      </c>
      <c r="C158">
        <v>1.055165019718119</v>
      </c>
      <c r="D158">
        <v>-0.5353227624940452</v>
      </c>
      <c r="E158">
        <v>0.48940991847033011</v>
      </c>
      <c r="F158">
        <v>1.789660705063913E-2</v>
      </c>
      <c r="G158">
        <v>0.47968113150895192</v>
      </c>
      <c r="H158">
        <v>0.55267446341368442</v>
      </c>
      <c r="I158">
        <v>0.2790287667257757</v>
      </c>
      <c r="J158">
        <v>6.2372402626452134E-2</v>
      </c>
      <c r="L158">
        <v>0.84223090491789099</v>
      </c>
      <c r="M158">
        <v>0.67134570740797017</v>
      </c>
      <c r="N158">
        <v>3.7205446348369349</v>
      </c>
      <c r="P158">
        <v>2.8338901950146562E-12</v>
      </c>
      <c r="R158">
        <v>14.821063352484442</v>
      </c>
      <c r="S158">
        <v>15.029251889619651</v>
      </c>
      <c r="T158">
        <v>1</v>
      </c>
      <c r="U158">
        <v>1.9571587919109905</v>
      </c>
      <c r="AN158" s="7"/>
    </row>
    <row r="159" spans="1:40">
      <c r="A159">
        <v>-1.5037982242953056</v>
      </c>
      <c r="B159">
        <v>1.1710922033202875</v>
      </c>
      <c r="C159">
        <v>1.0022464099394113</v>
      </c>
      <c r="D159">
        <v>-3.2593610964525302E-2</v>
      </c>
      <c r="E159">
        <v>0.49566949979826302</v>
      </c>
      <c r="F159">
        <v>0.22045726946739944</v>
      </c>
      <c r="G159">
        <v>0.29986801425918191</v>
      </c>
      <c r="H159">
        <v>0.36218928954696195</v>
      </c>
      <c r="I159">
        <v>0</v>
      </c>
      <c r="J159">
        <v>0.71911007934742466</v>
      </c>
      <c r="L159">
        <v>0.84223185642378262</v>
      </c>
      <c r="M159">
        <v>0.67134581044407282</v>
      </c>
      <c r="N159">
        <v>3.7205443335076671</v>
      </c>
      <c r="P159">
        <v>1.7917966449225735E-12</v>
      </c>
      <c r="R159">
        <v>14.821063352484442</v>
      </c>
      <c r="S159">
        <v>15.029251889619651</v>
      </c>
      <c r="T159">
        <v>1</v>
      </c>
      <c r="U159">
        <v>1.9571587919109905</v>
      </c>
      <c r="AN159" s="7"/>
    </row>
    <row r="160" spans="1:40">
      <c r="A160">
        <v>-1.4748929031379485</v>
      </c>
      <c r="B160">
        <v>1.1726416053422473</v>
      </c>
      <c r="C160">
        <v>0.94846723631754937</v>
      </c>
      <c r="D160">
        <v>-0.15226322986664237</v>
      </c>
      <c r="E160">
        <v>0.57228050385249463</v>
      </c>
      <c r="F160">
        <v>-2.3535441588956554E-2</v>
      </c>
      <c r="G160">
        <v>0.8817273842016472</v>
      </c>
      <c r="H160">
        <v>0.2556026855896909</v>
      </c>
      <c r="I160">
        <v>0</v>
      </c>
      <c r="J160">
        <v>0.55739214796372516</v>
      </c>
      <c r="L160">
        <v>0.8422332606891535</v>
      </c>
      <c r="M160">
        <v>0.67134649910566901</v>
      </c>
      <c r="N160">
        <v>3.7205433936965617</v>
      </c>
      <c r="P160">
        <v>3.3487888387358669E-12</v>
      </c>
      <c r="R160">
        <v>14.821063352484442</v>
      </c>
      <c r="S160">
        <v>15.029251889619651</v>
      </c>
      <c r="T160">
        <v>1</v>
      </c>
      <c r="U160">
        <v>1.9571587919109905</v>
      </c>
      <c r="AN160" s="7" t="s">
        <v>53</v>
      </c>
    </row>
    <row r="161" spans="1:40">
      <c r="A161">
        <v>-0.90424356192634836</v>
      </c>
      <c r="B161">
        <v>1.1994424940557513</v>
      </c>
      <c r="C161">
        <v>0.18373222342527315</v>
      </c>
      <c r="D161">
        <v>0.51792942405817322</v>
      </c>
      <c r="E161">
        <v>-0.17498178737464368</v>
      </c>
      <c r="F161">
        <v>0.38873276360755465</v>
      </c>
      <c r="G161">
        <v>0.54666079005849766</v>
      </c>
      <c r="H161">
        <v>0.57829497309513067</v>
      </c>
      <c r="I161">
        <v>0.37609966528901223</v>
      </c>
      <c r="J161">
        <v>0.66285020339614953</v>
      </c>
      <c r="L161">
        <v>0.8422324739577749</v>
      </c>
      <c r="M161">
        <v>4.4622360854144585</v>
      </c>
      <c r="N161">
        <v>3.7205414896535043</v>
      </c>
      <c r="P161">
        <v>8.0116510519883143E-12</v>
      </c>
      <c r="R161">
        <v>4.7075756861261704</v>
      </c>
      <c r="S161">
        <v>4.7098691394570427</v>
      </c>
      <c r="T161">
        <v>1</v>
      </c>
      <c r="U161">
        <v>1.961416750586952</v>
      </c>
      <c r="AN161" s="7"/>
    </row>
    <row r="162" spans="1:40">
      <c r="A162">
        <v>-0.90044391318193095</v>
      </c>
      <c r="B162">
        <v>1.1998254445726386</v>
      </c>
      <c r="C162">
        <v>0.18894852698563047</v>
      </c>
      <c r="D162">
        <v>-0.53079638669909712</v>
      </c>
      <c r="E162">
        <v>-0.58178104823923538</v>
      </c>
      <c r="F162">
        <v>-0.36488821293404855</v>
      </c>
      <c r="G162">
        <v>0.40886312847200795</v>
      </c>
      <c r="H162">
        <v>4.799500557085816E-2</v>
      </c>
      <c r="I162">
        <v>0.29587578697058431</v>
      </c>
      <c r="J162">
        <v>0.33055098835885866</v>
      </c>
      <c r="L162">
        <v>0.84223244769968686</v>
      </c>
      <c r="M162">
        <v>4.4622341166009294</v>
      </c>
      <c r="N162">
        <v>3.7205437131006107</v>
      </c>
      <c r="P162">
        <v>1.5582135098814205E-12</v>
      </c>
      <c r="R162">
        <v>4.7075756861261704</v>
      </c>
      <c r="S162">
        <v>4.7098691394570427</v>
      </c>
      <c r="T162">
        <v>1</v>
      </c>
      <c r="U162">
        <v>1.961416750586952</v>
      </c>
      <c r="AN162" s="7"/>
    </row>
    <row r="163" spans="1:40">
      <c r="A163">
        <v>-0.89813895852482672</v>
      </c>
      <c r="B163">
        <v>1.2050778846396828</v>
      </c>
      <c r="C163">
        <v>0.19958132778618681</v>
      </c>
      <c r="D163">
        <v>-8.5679349528261783E-3</v>
      </c>
      <c r="E163">
        <v>0.32026526870177108</v>
      </c>
      <c r="F163">
        <v>0.38695128115322563</v>
      </c>
      <c r="G163">
        <v>0.1048219132907153</v>
      </c>
      <c r="H163">
        <v>0.67938525669815153</v>
      </c>
      <c r="I163">
        <v>0.32002673007800997</v>
      </c>
      <c r="J163">
        <v>0.46007431390722764</v>
      </c>
      <c r="L163">
        <v>0.84223265810302428</v>
      </c>
      <c r="M163">
        <v>4.4622340697156355</v>
      </c>
      <c r="N163">
        <v>3.72054370572245</v>
      </c>
      <c r="P163">
        <v>2.040309114077461E-12</v>
      </c>
      <c r="R163">
        <v>4.7075756861261704</v>
      </c>
      <c r="S163">
        <v>4.7098691394570427</v>
      </c>
      <c r="T163">
        <v>1</v>
      </c>
      <c r="U163">
        <v>1.961416750586952</v>
      </c>
      <c r="AN163" s="7"/>
    </row>
    <row r="164" spans="1:40">
      <c r="A164">
        <v>-0.90412110182408412</v>
      </c>
      <c r="B164">
        <v>1.2031864673459132</v>
      </c>
      <c r="C164">
        <v>0.19385177563995784</v>
      </c>
      <c r="D164">
        <v>-0.68523150304339808</v>
      </c>
      <c r="E164">
        <v>7.514893994493968E-2</v>
      </c>
      <c r="F164">
        <v>0.26504422390799559</v>
      </c>
      <c r="G164">
        <v>0.48968548623984015</v>
      </c>
      <c r="H164">
        <v>0</v>
      </c>
      <c r="I164">
        <v>0.14476495591781038</v>
      </c>
      <c r="J164">
        <v>0.44528831636901073</v>
      </c>
      <c r="L164">
        <v>0.84223251866305382</v>
      </c>
      <c r="M164">
        <v>4.4622344157810501</v>
      </c>
      <c r="N164">
        <v>3.7205440357987096</v>
      </c>
      <c r="P164">
        <v>1.1699795685861934E-12</v>
      </c>
      <c r="R164">
        <v>4.7075756861261704</v>
      </c>
      <c r="S164">
        <v>4.7098691394570427</v>
      </c>
      <c r="T164">
        <v>1</v>
      </c>
      <c r="U164">
        <v>1.961416750586952</v>
      </c>
      <c r="AN164" s="7" t="s">
        <v>54</v>
      </c>
    </row>
    <row r="165" spans="1:40">
      <c r="A165">
        <v>-0.89707464359281952</v>
      </c>
      <c r="B165">
        <v>1.1979333783369814</v>
      </c>
      <c r="C165">
        <v>0.19186020153235833</v>
      </c>
      <c r="D165">
        <v>2.419960515777821E-2</v>
      </c>
      <c r="E165">
        <v>-0.14683647235505853</v>
      </c>
      <c r="F165">
        <v>5.1277954759150167E-2</v>
      </c>
      <c r="G165">
        <v>0.21283302746984392</v>
      </c>
      <c r="H165">
        <v>0.57774243575974926</v>
      </c>
      <c r="I165">
        <v>0.84984933321567879</v>
      </c>
      <c r="J165">
        <v>0.92288809987492193</v>
      </c>
      <c r="L165">
        <v>0.84223455223700272</v>
      </c>
      <c r="M165">
        <v>4.4622344325826857</v>
      </c>
      <c r="N165">
        <v>3.7205426238295685</v>
      </c>
      <c r="P165">
        <v>1.0735324231781436E-11</v>
      </c>
      <c r="R165">
        <v>4.7075756861261704</v>
      </c>
      <c r="S165">
        <v>4.7098691394570427</v>
      </c>
      <c r="T165">
        <v>1</v>
      </c>
      <c r="U165">
        <v>1.961416750586952</v>
      </c>
      <c r="AN165" s="7"/>
    </row>
    <row r="166" spans="1:40">
      <c r="A166">
        <v>-0.89688964461375975</v>
      </c>
      <c r="B166">
        <v>1.2028006851636539</v>
      </c>
      <c r="C166">
        <v>0.17134692856968947</v>
      </c>
      <c r="D166">
        <v>0.11010530333775113</v>
      </c>
      <c r="E166">
        <v>-9.3599473035423778E-2</v>
      </c>
      <c r="F166">
        <v>5.2864863681139638E-3</v>
      </c>
      <c r="G166">
        <v>0.83757821716048864</v>
      </c>
      <c r="H166">
        <v>0.44772255712058856</v>
      </c>
      <c r="I166">
        <v>1.0092560984580765</v>
      </c>
      <c r="J166">
        <v>0.23472459579320046</v>
      </c>
      <c r="L166">
        <v>0.84223195488091962</v>
      </c>
      <c r="M166">
        <v>4.4622359899444621</v>
      </c>
      <c r="N166">
        <v>3.7205417911601328</v>
      </c>
      <c r="P166">
        <v>5.7981495287787073E-12</v>
      </c>
      <c r="R166">
        <v>4.7075756861261704</v>
      </c>
      <c r="S166">
        <v>4.7098691394570427</v>
      </c>
      <c r="T166">
        <v>1</v>
      </c>
      <c r="U166">
        <v>1.961416750586952</v>
      </c>
      <c r="AN166" s="7"/>
    </row>
    <row r="167" spans="1:40">
      <c r="A167">
        <v>-0.89668406104326648</v>
      </c>
      <c r="B167">
        <v>1.2037153851957021</v>
      </c>
      <c r="C167">
        <v>0.19090480967790233</v>
      </c>
      <c r="D167">
        <v>-0.33868416081307307</v>
      </c>
      <c r="E167">
        <v>0.12076858716459057</v>
      </c>
      <c r="F167">
        <v>-0.40318073047816894</v>
      </c>
      <c r="G167">
        <v>0.36888911096967497</v>
      </c>
      <c r="H167">
        <v>0.42450588089828806</v>
      </c>
      <c r="I167">
        <v>0.66626859650465597</v>
      </c>
      <c r="J167">
        <v>8.2516418672869338E-2</v>
      </c>
      <c r="L167">
        <v>0.84223476637788908</v>
      </c>
      <c r="M167">
        <v>4.4622352362871451</v>
      </c>
      <c r="N167">
        <v>3.720541779330619</v>
      </c>
      <c r="P167">
        <v>1.4726501622476579E-11</v>
      </c>
      <c r="R167">
        <v>4.7075756861261704</v>
      </c>
      <c r="S167">
        <v>4.7098691394570427</v>
      </c>
      <c r="T167">
        <v>1</v>
      </c>
      <c r="U167">
        <v>1.961416750586952</v>
      </c>
      <c r="AN167" s="7"/>
    </row>
    <row r="168" spans="1:40">
      <c r="A168">
        <v>-0.903031838573919</v>
      </c>
      <c r="B168">
        <v>1.1987670180728389</v>
      </c>
      <c r="C168">
        <v>0.19827038583856196</v>
      </c>
      <c r="D168">
        <v>-0.15225272250207242</v>
      </c>
      <c r="E168">
        <v>-0.68287804198350466</v>
      </c>
      <c r="F168">
        <v>-0.40830742672538634</v>
      </c>
      <c r="G168">
        <v>0.71670303774718991</v>
      </c>
      <c r="H168">
        <v>0.87127383491370103</v>
      </c>
      <c r="I168">
        <v>0.32724512898109576</v>
      </c>
      <c r="J168">
        <v>0.87533375225800136</v>
      </c>
      <c r="L168">
        <v>0.84223252094079437</v>
      </c>
      <c r="M168">
        <v>4.4622341026956143</v>
      </c>
      <c r="N168">
        <v>3.7205437284730558</v>
      </c>
      <c r="P168">
        <v>1.702104780083252E-12</v>
      </c>
      <c r="R168">
        <v>4.7075756861261704</v>
      </c>
      <c r="S168">
        <v>4.7098691394570427</v>
      </c>
      <c r="T168">
        <v>1</v>
      </c>
      <c r="U168">
        <v>1.961416750586952</v>
      </c>
      <c r="AN168" s="7" t="s">
        <v>55</v>
      </c>
    </row>
    <row r="169" spans="1:40">
      <c r="A169">
        <v>-0.90044403085446367</v>
      </c>
      <c r="B169">
        <v>1.202888423408659</v>
      </c>
      <c r="C169">
        <v>0.20871883422178433</v>
      </c>
      <c r="D169">
        <v>-0.30183665671106258</v>
      </c>
      <c r="E169">
        <v>0.17695925711398666</v>
      </c>
      <c r="F169">
        <v>-0.25371846351751426</v>
      </c>
      <c r="G169">
        <v>0.18213641059447633</v>
      </c>
      <c r="H169">
        <v>0.77317773698170178</v>
      </c>
      <c r="I169">
        <v>0.26842519809926263</v>
      </c>
      <c r="J169">
        <v>0.51470826812621229</v>
      </c>
      <c r="L169">
        <v>0.84223466004431924</v>
      </c>
      <c r="M169">
        <v>4.4622345542245778</v>
      </c>
      <c r="N169">
        <v>3.720542605192696</v>
      </c>
      <c r="P169">
        <v>1.130165304956288E-11</v>
      </c>
      <c r="R169">
        <v>4.7075756861261704</v>
      </c>
      <c r="S169">
        <v>4.7098691394570427</v>
      </c>
      <c r="T169">
        <v>1</v>
      </c>
      <c r="U169">
        <v>1.961416750586952</v>
      </c>
      <c r="AN169" s="7"/>
    </row>
    <row r="170" spans="1:40">
      <c r="A170">
        <v>-0.90047000179380965</v>
      </c>
      <c r="B170">
        <v>1.2045141337695251</v>
      </c>
      <c r="C170">
        <v>0.18411310366636996</v>
      </c>
      <c r="D170">
        <v>5.8465647093612634E-2</v>
      </c>
      <c r="E170">
        <v>-0.12508991578182427</v>
      </c>
      <c r="F170">
        <v>0.11640322285816694</v>
      </c>
      <c r="G170">
        <v>0.48728406041680516</v>
      </c>
      <c r="H170">
        <v>0.37387237939645784</v>
      </c>
      <c r="I170">
        <v>0.23578619337026108</v>
      </c>
      <c r="J170">
        <v>4.9266360136723079E-2</v>
      </c>
      <c r="L170">
        <v>0.84223471102012348</v>
      </c>
      <c r="M170">
        <v>4.4622354581411372</v>
      </c>
      <c r="N170">
        <v>3.7205416766394412</v>
      </c>
      <c r="P170">
        <v>1.4987982749701532E-11</v>
      </c>
      <c r="R170">
        <v>4.7075756861261704</v>
      </c>
      <c r="S170">
        <v>4.7098691394570427</v>
      </c>
      <c r="T170">
        <v>1</v>
      </c>
      <c r="U170">
        <v>1.961416750586952</v>
      </c>
      <c r="AN170" s="7"/>
    </row>
    <row r="171" spans="1:40">
      <c r="A171">
        <v>-1.0579630621709797</v>
      </c>
      <c r="B171">
        <v>1.0127634867641391</v>
      </c>
      <c r="C171">
        <v>1.3861565881465023</v>
      </c>
      <c r="D171">
        <v>0.30100918633716717</v>
      </c>
      <c r="E171">
        <v>0.18708053925509591</v>
      </c>
      <c r="F171">
        <v>-0.36609403665013607</v>
      </c>
      <c r="G171">
        <v>1.2293789681659737</v>
      </c>
      <c r="H171">
        <v>0.15330478202862305</v>
      </c>
      <c r="I171">
        <v>0</v>
      </c>
      <c r="J171">
        <v>1.318494972613468</v>
      </c>
      <c r="L171">
        <v>3.3538340812105911</v>
      </c>
      <c r="M171">
        <v>0.67134684102629594</v>
      </c>
      <c r="N171">
        <v>4.4622356211967631</v>
      </c>
      <c r="P171">
        <v>5.2399200774439388E-13</v>
      </c>
      <c r="R171">
        <v>66.763265668784001</v>
      </c>
      <c r="S171">
        <v>77.582923469237784</v>
      </c>
      <c r="T171">
        <v>1</v>
      </c>
      <c r="U171">
        <v>2.1532639894245946</v>
      </c>
      <c r="AN171" s="7"/>
    </row>
    <row r="172" spans="1:40">
      <c r="A172">
        <v>-1.0650774220617172</v>
      </c>
      <c r="B172">
        <v>1.0038365853177338</v>
      </c>
      <c r="C172">
        <v>1.7739695952964323</v>
      </c>
      <c r="D172">
        <v>7.945865659515515E-2</v>
      </c>
      <c r="E172">
        <v>0.44679459515134118</v>
      </c>
      <c r="F172">
        <v>0.13569193103390173</v>
      </c>
      <c r="G172">
        <v>0.71554805829998647</v>
      </c>
      <c r="H172">
        <v>0</v>
      </c>
      <c r="I172">
        <v>0</v>
      </c>
      <c r="J172">
        <v>0.50771501038115618</v>
      </c>
      <c r="L172">
        <v>3.3538321878356689</v>
      </c>
      <c r="M172">
        <v>0.67134447310802192</v>
      </c>
      <c r="N172">
        <v>4.4622370982014949</v>
      </c>
      <c r="P172">
        <v>1.6018474663564124E-11</v>
      </c>
      <c r="R172">
        <v>66.763265668784001</v>
      </c>
      <c r="S172">
        <v>77.582923469237784</v>
      </c>
      <c r="T172">
        <v>1</v>
      </c>
      <c r="U172">
        <v>2.1532639894245946</v>
      </c>
      <c r="AN172" s="7" t="s">
        <v>56</v>
      </c>
    </row>
    <row r="173" spans="1:40">
      <c r="A173">
        <v>-1.0618965346100595</v>
      </c>
      <c r="B173">
        <v>0.9981772416056145</v>
      </c>
      <c r="C173">
        <v>1.6550390213586563</v>
      </c>
      <c r="D173">
        <v>-0.30088873410520894</v>
      </c>
      <c r="E173">
        <v>1.2816834076934851E-3</v>
      </c>
      <c r="F173">
        <v>-0.57857703101618541</v>
      </c>
      <c r="G173">
        <v>0.73128828756173669</v>
      </c>
      <c r="H173">
        <v>5.8538418807362942E-2</v>
      </c>
      <c r="I173">
        <v>2.0166540706861177E-2</v>
      </c>
      <c r="J173">
        <v>1.1200622676938179</v>
      </c>
      <c r="L173">
        <v>3.3538391789257966</v>
      </c>
      <c r="M173">
        <v>0.67134346692188329</v>
      </c>
      <c r="N173">
        <v>4.4622379023382086</v>
      </c>
      <c r="P173">
        <v>4.4158692572038284E-11</v>
      </c>
      <c r="R173">
        <v>66.763265668784001</v>
      </c>
      <c r="S173">
        <v>77.582923469237784</v>
      </c>
      <c r="T173">
        <v>1</v>
      </c>
      <c r="U173">
        <v>2.1532639894245946</v>
      </c>
      <c r="AN173" s="7"/>
    </row>
    <row r="174" spans="1:40">
      <c r="A174">
        <v>-1.0724405708423759</v>
      </c>
      <c r="B174">
        <v>0.98441527021501118</v>
      </c>
      <c r="C174">
        <v>1.9065738316737133</v>
      </c>
      <c r="D174">
        <v>3.2225057888905513E-2</v>
      </c>
      <c r="E174">
        <v>-0.18751368814175279</v>
      </c>
      <c r="F174">
        <v>-0.30440376976889078</v>
      </c>
      <c r="G174">
        <v>0.5686197585052204</v>
      </c>
      <c r="H174">
        <v>0.13109547336736296</v>
      </c>
      <c r="I174">
        <v>0.38981691554645886</v>
      </c>
      <c r="J174">
        <v>0.89030565357927705</v>
      </c>
      <c r="L174">
        <v>3.3538328399004222</v>
      </c>
      <c r="M174">
        <v>0.67134503198605888</v>
      </c>
      <c r="N174">
        <v>4.4622371500659863</v>
      </c>
      <c r="P174">
        <v>1.1174545168070084E-11</v>
      </c>
      <c r="R174">
        <v>66.763265668784001</v>
      </c>
      <c r="S174">
        <v>77.582923469237784</v>
      </c>
      <c r="T174">
        <v>1</v>
      </c>
      <c r="U174">
        <v>2.1532639894245946</v>
      </c>
      <c r="AN174" s="7"/>
    </row>
    <row r="175" spans="1:40">
      <c r="A175">
        <v>-1.0623321965185342</v>
      </c>
      <c r="B175">
        <v>1.0053892841031697</v>
      </c>
      <c r="C175">
        <v>1.6197500061570353</v>
      </c>
      <c r="D175">
        <v>0.19242928185218897</v>
      </c>
      <c r="E175">
        <v>0.7895503941546953</v>
      </c>
      <c r="F175">
        <v>-0.42548002045657946</v>
      </c>
      <c r="G175">
        <v>1.1526187870828193</v>
      </c>
      <c r="H175">
        <v>0.45864506335437094</v>
      </c>
      <c r="I175">
        <v>0.55220542317040111</v>
      </c>
      <c r="J175">
        <v>0.95867274699964833</v>
      </c>
      <c r="L175">
        <v>3.3538325455646332</v>
      </c>
      <c r="M175">
        <v>0.67134493925228733</v>
      </c>
      <c r="N175">
        <v>4.4622368154211944</v>
      </c>
      <c r="P175">
        <v>1.1254195022078046E-11</v>
      </c>
      <c r="R175">
        <v>66.763265668784001</v>
      </c>
      <c r="S175">
        <v>77.582923469237784</v>
      </c>
      <c r="T175">
        <v>1</v>
      </c>
      <c r="U175">
        <v>2.1532639894245946</v>
      </c>
      <c r="AN175" s="7"/>
    </row>
    <row r="176" spans="1:40">
      <c r="A176">
        <v>-1.0593843913727854</v>
      </c>
      <c r="B176">
        <v>1.0092971106002331</v>
      </c>
      <c r="C176">
        <v>1.4773597404007519</v>
      </c>
      <c r="D176">
        <v>0.49307062789307998</v>
      </c>
      <c r="E176">
        <v>0.64423700015109353</v>
      </c>
      <c r="F176">
        <v>-0.79749708552285903</v>
      </c>
      <c r="G176">
        <v>0.72815872345701327</v>
      </c>
      <c r="H176">
        <v>0</v>
      </c>
      <c r="I176">
        <v>0</v>
      </c>
      <c r="J176">
        <v>0.63653993228078309</v>
      </c>
      <c r="L176">
        <v>3.3538323281408644</v>
      </c>
      <c r="M176">
        <v>0.67134461486011887</v>
      </c>
      <c r="N176">
        <v>4.4622372965802528</v>
      </c>
      <c r="P176">
        <v>1.5563204629712425E-11</v>
      </c>
      <c r="R176">
        <v>66.763265668784001</v>
      </c>
      <c r="S176">
        <v>77.582923469237784</v>
      </c>
      <c r="T176">
        <v>1</v>
      </c>
      <c r="U176">
        <v>2.1532639894245946</v>
      </c>
      <c r="AN176" s="7" t="s">
        <v>57</v>
      </c>
    </row>
    <row r="177" spans="1:40">
      <c r="A177">
        <v>-1.0608738937090336</v>
      </c>
      <c r="B177">
        <v>1.0013193414533019</v>
      </c>
      <c r="C177">
        <v>1.6701565171601873</v>
      </c>
      <c r="D177">
        <v>-0.195040706107516</v>
      </c>
      <c r="E177">
        <v>0.25937167937521277</v>
      </c>
      <c r="F177">
        <v>-0.26404492683495617</v>
      </c>
      <c r="G177">
        <v>0.71624704505434234</v>
      </c>
      <c r="H177">
        <v>0.17791130554001025</v>
      </c>
      <c r="I177">
        <v>0</v>
      </c>
      <c r="J177">
        <v>1.0775021986299977</v>
      </c>
      <c r="L177">
        <v>3.353836932615621</v>
      </c>
      <c r="M177">
        <v>0.67134583194168196</v>
      </c>
      <c r="N177">
        <v>4.4622350607458383</v>
      </c>
      <c r="P177">
        <v>7.9480638939212526E-12</v>
      </c>
      <c r="R177">
        <v>66.763265668784001</v>
      </c>
      <c r="S177">
        <v>77.582923469237784</v>
      </c>
      <c r="T177">
        <v>1</v>
      </c>
      <c r="U177">
        <v>2.1532639894245946</v>
      </c>
      <c r="AN177" s="7"/>
    </row>
    <row r="178" spans="1:40">
      <c r="A178">
        <v>-1.0550553585228482</v>
      </c>
      <c r="B178">
        <v>1.0257493535653883</v>
      </c>
      <c r="C178">
        <v>1.2556839584796999</v>
      </c>
      <c r="D178">
        <v>0.88371181067931148</v>
      </c>
      <c r="E178">
        <v>1.0760120327850149</v>
      </c>
      <c r="F178">
        <v>-0.33414452205359269</v>
      </c>
      <c r="G178">
        <v>1.2148167993999162</v>
      </c>
      <c r="H178">
        <v>0</v>
      </c>
      <c r="I178">
        <v>0</v>
      </c>
      <c r="J178">
        <v>0.74110021281462257</v>
      </c>
      <c r="L178">
        <v>3.3538323672154213</v>
      </c>
      <c r="M178">
        <v>0.67134458083412019</v>
      </c>
      <c r="N178">
        <v>4.4622373883051205</v>
      </c>
      <c r="P178">
        <v>1.5997757342673938E-11</v>
      </c>
      <c r="R178">
        <v>66.763265668784001</v>
      </c>
      <c r="S178">
        <v>77.582923469237784</v>
      </c>
      <c r="T178">
        <v>1</v>
      </c>
      <c r="U178">
        <v>2.1532639894245946</v>
      </c>
      <c r="AN178" s="7"/>
    </row>
    <row r="179" spans="1:40">
      <c r="A179">
        <v>-1.0626255059334959</v>
      </c>
      <c r="B179">
        <v>1.0143175854780058</v>
      </c>
      <c r="C179">
        <v>1.6214674531526878</v>
      </c>
      <c r="D179">
        <v>0.32261057196326209</v>
      </c>
      <c r="E179">
        <v>0.54383154049939941</v>
      </c>
      <c r="F179">
        <v>0.56624604603982109</v>
      </c>
      <c r="G179">
        <v>1.1481407197457967</v>
      </c>
      <c r="H179">
        <v>5.8048658265044559E-2</v>
      </c>
      <c r="I179">
        <v>0</v>
      </c>
      <c r="J179">
        <v>0.75262134399933101</v>
      </c>
      <c r="L179">
        <v>3.3538321771417077</v>
      </c>
      <c r="M179">
        <v>0.67134316528786298</v>
      </c>
      <c r="N179">
        <v>4.4622366850547799</v>
      </c>
      <c r="P179">
        <v>2.3038409072224582E-11</v>
      </c>
      <c r="R179">
        <v>66.763265668784001</v>
      </c>
      <c r="S179">
        <v>77.582923469237784</v>
      </c>
      <c r="T179">
        <v>1</v>
      </c>
      <c r="U179">
        <v>2.1532639894245946</v>
      </c>
      <c r="AN179" s="7"/>
    </row>
    <row r="180" spans="1:40">
      <c r="A180">
        <v>-1.0565434160252534</v>
      </c>
      <c r="B180">
        <v>1.0116180716076204</v>
      </c>
      <c r="C180">
        <v>1.5655648004477887</v>
      </c>
      <c r="D180">
        <v>-0.16927640170417674</v>
      </c>
      <c r="E180">
        <v>0.86038575240394466</v>
      </c>
      <c r="F180">
        <v>-4.9663874322543794E-2</v>
      </c>
      <c r="G180">
        <v>0.82682142178393248</v>
      </c>
      <c r="H180">
        <v>0.10013823195140011</v>
      </c>
      <c r="I180">
        <v>0</v>
      </c>
      <c r="J180">
        <v>1.0033700854768441</v>
      </c>
      <c r="L180">
        <v>3.3538373524779015</v>
      </c>
      <c r="M180">
        <v>0.67134488563133599</v>
      </c>
      <c r="N180">
        <v>4.4622351767934925</v>
      </c>
      <c r="P180">
        <v>1.3523346335821234E-11</v>
      </c>
      <c r="R180">
        <v>66.763265668784001</v>
      </c>
      <c r="S180">
        <v>77.582923469237784</v>
      </c>
      <c r="T180">
        <v>1</v>
      </c>
      <c r="U180">
        <v>2.1532639894245946</v>
      </c>
      <c r="AN180" s="7" t="s">
        <v>58</v>
      </c>
    </row>
    <row r="181" spans="1:40">
      <c r="A181">
        <v>-1.0196256073092</v>
      </c>
      <c r="B181">
        <v>0.99785998466030112</v>
      </c>
      <c r="C181">
        <v>-0.31059153281176421</v>
      </c>
      <c r="D181">
        <v>0.71113115533205673</v>
      </c>
      <c r="E181">
        <v>0.21701240397357052</v>
      </c>
      <c r="F181">
        <v>-0.74718154531914516</v>
      </c>
      <c r="G181">
        <v>0.35637583089364205</v>
      </c>
      <c r="H181">
        <v>0.5338076311721599</v>
      </c>
      <c r="I181">
        <v>0.53893461961578937</v>
      </c>
      <c r="J181">
        <v>0.24765588040056738</v>
      </c>
      <c r="L181">
        <v>3.3538338668519501</v>
      </c>
      <c r="M181">
        <v>0.67134368031955649</v>
      </c>
      <c r="N181">
        <v>3.7205451976500861</v>
      </c>
      <c r="P181">
        <v>1.3335079825707618E-11</v>
      </c>
      <c r="R181">
        <v>10.473997526322005</v>
      </c>
      <c r="S181">
        <v>10.517949300669882</v>
      </c>
      <c r="T181">
        <v>1</v>
      </c>
      <c r="U181">
        <v>2.186724076719055</v>
      </c>
      <c r="AN181" s="7"/>
    </row>
    <row r="182" spans="1:40">
      <c r="A182">
        <v>-1.016861210234524</v>
      </c>
      <c r="B182">
        <v>0.98063212294756286</v>
      </c>
      <c r="C182">
        <v>-0.378494164941027</v>
      </c>
      <c r="D182">
        <v>0.27963447236221423</v>
      </c>
      <c r="E182">
        <v>-0.11608866614343333</v>
      </c>
      <c r="F182">
        <v>-4.6316272027830318E-3</v>
      </c>
      <c r="G182">
        <v>0.13206874643498404</v>
      </c>
      <c r="H182">
        <v>0.9796275961301405</v>
      </c>
      <c r="I182">
        <v>0.92759638606728378</v>
      </c>
      <c r="J182">
        <v>0.39315483250950289</v>
      </c>
      <c r="L182">
        <v>3.3538339550691565</v>
      </c>
      <c r="M182">
        <v>0.67134348658094378</v>
      </c>
      <c r="N182">
        <v>3.7205450198146477</v>
      </c>
      <c r="P182">
        <v>1.4196351675471987E-11</v>
      </c>
      <c r="R182">
        <v>10.473997526322005</v>
      </c>
      <c r="S182">
        <v>10.517949300669882</v>
      </c>
      <c r="T182">
        <v>1</v>
      </c>
      <c r="U182">
        <v>2.186724076719055</v>
      </c>
      <c r="AN182" s="7"/>
    </row>
    <row r="183" spans="1:40">
      <c r="A183">
        <v>-1.0099564710184317</v>
      </c>
      <c r="B183">
        <v>1.0079605096826545</v>
      </c>
      <c r="C183">
        <v>-0.3037779790399513</v>
      </c>
      <c r="D183">
        <v>-0.48958395180605258</v>
      </c>
      <c r="E183">
        <v>-0.20929430521952355</v>
      </c>
      <c r="F183">
        <v>-0.54693388632332818</v>
      </c>
      <c r="G183">
        <v>0.78685755351739151</v>
      </c>
      <c r="H183">
        <v>0.88687006081325248</v>
      </c>
      <c r="I183">
        <v>0</v>
      </c>
      <c r="J183">
        <v>0.34636500101875062</v>
      </c>
      <c r="L183">
        <v>3.3538342982172336</v>
      </c>
      <c r="M183">
        <v>0.67134680956732851</v>
      </c>
      <c r="N183">
        <v>3.7205440818369708</v>
      </c>
      <c r="P183">
        <v>9.5355162649495244E-14</v>
      </c>
      <c r="R183">
        <v>10.473997526322005</v>
      </c>
      <c r="S183">
        <v>10.517949300669882</v>
      </c>
      <c r="T183">
        <v>1</v>
      </c>
      <c r="U183">
        <v>2.186724076719055</v>
      </c>
      <c r="AN183" s="7"/>
    </row>
    <row r="184" spans="1:40">
      <c r="A184">
        <v>-1.0190817499242912</v>
      </c>
      <c r="B184">
        <v>0.99019130364927788</v>
      </c>
      <c r="C184">
        <v>-0.35138077425206393</v>
      </c>
      <c r="D184">
        <v>0.30252129641408887</v>
      </c>
      <c r="E184">
        <v>-0.43494721053266583</v>
      </c>
      <c r="F184">
        <v>-0.19376869982601391</v>
      </c>
      <c r="G184">
        <v>0.55386672917339119</v>
      </c>
      <c r="H184">
        <v>0.74702865149533582</v>
      </c>
      <c r="I184">
        <v>0.65497710918054319</v>
      </c>
      <c r="J184">
        <v>0.35166830498103757</v>
      </c>
      <c r="L184">
        <v>3.353833936924989</v>
      </c>
      <c r="M184">
        <v>0.67134366051683436</v>
      </c>
      <c r="N184">
        <v>3.7205452372576002</v>
      </c>
      <c r="P184">
        <v>1.3498607557963825E-11</v>
      </c>
      <c r="R184">
        <v>10.473997526322005</v>
      </c>
      <c r="S184">
        <v>10.517949300669882</v>
      </c>
      <c r="T184">
        <v>1</v>
      </c>
      <c r="U184">
        <v>2.186724076719055</v>
      </c>
      <c r="AN184" s="7" t="s">
        <v>59</v>
      </c>
    </row>
    <row r="185" spans="1:40">
      <c r="A185">
        <v>-1.0083761567296754</v>
      </c>
      <c r="B185">
        <v>1.0056654980616269</v>
      </c>
      <c r="C185">
        <v>-0.3216427275020885</v>
      </c>
      <c r="D185">
        <v>-0.47611947843548102</v>
      </c>
      <c r="E185">
        <v>0.68338212510459562</v>
      </c>
      <c r="F185">
        <v>-3.5677661759706634E-3</v>
      </c>
      <c r="G185">
        <v>0.40365033630734692</v>
      </c>
      <c r="H185">
        <v>0.74364525126931413</v>
      </c>
      <c r="I185">
        <v>0.3373913794252002</v>
      </c>
      <c r="J185">
        <v>0.12801063777768204</v>
      </c>
      <c r="L185">
        <v>3.3538338941489334</v>
      </c>
      <c r="M185">
        <v>0.67134367401172002</v>
      </c>
      <c r="N185">
        <v>3.7205452462423434</v>
      </c>
      <c r="P185">
        <v>1.3471206496308311E-11</v>
      </c>
      <c r="R185">
        <v>10.473997526322005</v>
      </c>
      <c r="S185">
        <v>10.517949300669882</v>
      </c>
      <c r="T185">
        <v>1</v>
      </c>
      <c r="U185">
        <v>2.186724076719055</v>
      </c>
      <c r="AN185" s="7"/>
    </row>
    <row r="186" spans="1:40">
      <c r="A186">
        <v>-1.0158000479755431</v>
      </c>
      <c r="B186">
        <v>1.0029331861995867</v>
      </c>
      <c r="C186">
        <v>-0.32730339578029122</v>
      </c>
      <c r="D186">
        <v>-3.6408207586923522E-2</v>
      </c>
      <c r="E186">
        <v>-0.48539791346197292</v>
      </c>
      <c r="F186">
        <v>0.47558511969187145</v>
      </c>
      <c r="G186">
        <v>0.75529112582065572</v>
      </c>
      <c r="H186">
        <v>0.57111593914767922</v>
      </c>
      <c r="I186">
        <v>0.14195926398726946</v>
      </c>
      <c r="J186">
        <v>0.52914912473615061</v>
      </c>
      <c r="L186">
        <v>3.3538339549628207</v>
      </c>
      <c r="M186">
        <v>0.67134343771892779</v>
      </c>
      <c r="N186">
        <v>3.7205450006719465</v>
      </c>
      <c r="P186">
        <v>1.450982242292284E-11</v>
      </c>
      <c r="R186">
        <v>10.473997526322005</v>
      </c>
      <c r="S186">
        <v>10.517949300669882</v>
      </c>
      <c r="T186">
        <v>1</v>
      </c>
      <c r="U186">
        <v>2.186724076719055</v>
      </c>
      <c r="AN186" s="7"/>
    </row>
    <row r="187" spans="1:40">
      <c r="A187">
        <v>-1.0168028784355303</v>
      </c>
      <c r="B187">
        <v>0.99515105143881533</v>
      </c>
      <c r="C187">
        <v>-0.36097615542333916</v>
      </c>
      <c r="D187">
        <v>-0.43596872047288171</v>
      </c>
      <c r="E187">
        <v>-3.9859417028324962E-2</v>
      </c>
      <c r="F187">
        <v>0.32274452704857476</v>
      </c>
      <c r="G187">
        <v>0.86080606416389982</v>
      </c>
      <c r="H187">
        <v>0.47499655692735837</v>
      </c>
      <c r="I187">
        <v>0.89054251192446532</v>
      </c>
      <c r="J187">
        <v>0.22728420055190376</v>
      </c>
      <c r="L187">
        <v>3.3538338541071471</v>
      </c>
      <c r="M187">
        <v>0.67134350292213141</v>
      </c>
      <c r="N187">
        <v>3.7205450094842134</v>
      </c>
      <c r="P187">
        <v>1.4158418736919763E-11</v>
      </c>
      <c r="R187">
        <v>10.473997526322005</v>
      </c>
      <c r="S187">
        <v>10.517949300669882</v>
      </c>
      <c r="T187">
        <v>1</v>
      </c>
      <c r="U187">
        <v>2.186724076719055</v>
      </c>
      <c r="AN187" s="7"/>
    </row>
    <row r="188" spans="1:40">
      <c r="A188">
        <v>-1.0061255568017626</v>
      </c>
      <c r="B188">
        <v>0.99857940764099329</v>
      </c>
      <c r="C188">
        <v>-0.31348214807499064</v>
      </c>
      <c r="D188">
        <v>-0.68956358620950664</v>
      </c>
      <c r="E188">
        <v>0.64339066936407729</v>
      </c>
      <c r="F188">
        <v>-0.26092028272480494</v>
      </c>
      <c r="G188">
        <v>4.9839719034124756E-2</v>
      </c>
      <c r="H188">
        <v>0.86825531083397145</v>
      </c>
      <c r="I188">
        <v>0.30589225217134247</v>
      </c>
      <c r="J188">
        <v>0.80913327203174512</v>
      </c>
      <c r="L188">
        <v>3.3538339615690695</v>
      </c>
      <c r="M188">
        <v>0.67134348539456068</v>
      </c>
      <c r="N188">
        <v>3.7205450258130659</v>
      </c>
      <c r="P188">
        <v>1.4211729770085661E-11</v>
      </c>
      <c r="R188">
        <v>10.473997526322005</v>
      </c>
      <c r="S188">
        <v>10.517949300669882</v>
      </c>
      <c r="T188">
        <v>1</v>
      </c>
      <c r="U188">
        <v>2.186724076719055</v>
      </c>
      <c r="AN188" s="7" t="s">
        <v>60</v>
      </c>
    </row>
    <row r="189" spans="1:40">
      <c r="A189">
        <v>-1.0237487353998334</v>
      </c>
      <c r="B189">
        <v>0.99916978157832703</v>
      </c>
      <c r="C189">
        <v>-0.3102195282577811</v>
      </c>
      <c r="D189">
        <v>0.47015693291565142</v>
      </c>
      <c r="E189">
        <v>-0.12492216664739823</v>
      </c>
      <c r="F189">
        <v>-0.1999231591361135</v>
      </c>
      <c r="G189">
        <v>0.79224415459511499</v>
      </c>
      <c r="H189">
        <v>0.13265366323776351</v>
      </c>
      <c r="I189">
        <v>0.68282733079550118</v>
      </c>
      <c r="J189">
        <v>0.68185922365545515</v>
      </c>
      <c r="L189">
        <v>3.353834740562589</v>
      </c>
      <c r="M189">
        <v>0.67134298977422158</v>
      </c>
      <c r="N189">
        <v>3.7205444030060058</v>
      </c>
      <c r="P189">
        <v>1.7006876266400632E-11</v>
      </c>
      <c r="R189">
        <v>10.473997526322005</v>
      </c>
      <c r="S189">
        <v>10.517949300669882</v>
      </c>
      <c r="T189">
        <v>1</v>
      </c>
      <c r="U189">
        <v>2.186724076719055</v>
      </c>
      <c r="AN189" s="7"/>
    </row>
    <row r="190" spans="1:40">
      <c r="A190">
        <v>-1.0127807626246963</v>
      </c>
      <c r="B190">
        <v>0.98716150119409207</v>
      </c>
      <c r="C190">
        <v>-0.3816183372297946</v>
      </c>
      <c r="D190">
        <v>-0.25977766498399568</v>
      </c>
      <c r="E190">
        <v>4.1375063102618813E-2</v>
      </c>
      <c r="F190">
        <v>0.31309787711530745</v>
      </c>
      <c r="G190">
        <v>0.24340617038357734</v>
      </c>
      <c r="H190">
        <v>0.87197574039401138</v>
      </c>
      <c r="I190">
        <v>0.75583119604741344</v>
      </c>
      <c r="J190">
        <v>8.1418703368663206E-2</v>
      </c>
      <c r="L190">
        <v>3.3538340392085466</v>
      </c>
      <c r="M190">
        <v>0.67134356005920692</v>
      </c>
      <c r="N190">
        <v>3.7205452062023334</v>
      </c>
      <c r="P190">
        <v>1.4032290786572343E-11</v>
      </c>
      <c r="R190">
        <v>10.473997526322005</v>
      </c>
      <c r="S190">
        <v>10.517949300669882</v>
      </c>
      <c r="T190">
        <v>1</v>
      </c>
      <c r="U190">
        <v>2.186724076719055</v>
      </c>
      <c r="AN190" s="7"/>
    </row>
    <row r="191" spans="1:40">
      <c r="A191">
        <v>-0.98162877768043322</v>
      </c>
      <c r="B191">
        <v>1.1233505416160923</v>
      </c>
      <c r="C191">
        <v>4.756582401464609E-2</v>
      </c>
      <c r="D191">
        <v>0.49442852499312911</v>
      </c>
      <c r="E191">
        <v>-0.47523295177793412</v>
      </c>
      <c r="F191">
        <v>-0.27808831046124216</v>
      </c>
      <c r="G191">
        <v>0.15487471545054102</v>
      </c>
      <c r="H191">
        <v>0.36889426133617204</v>
      </c>
      <c r="I191">
        <v>0.29976962903677074</v>
      </c>
      <c r="J191">
        <v>3.4859596134976696E-2</v>
      </c>
      <c r="L191">
        <v>3.3538406787115687</v>
      </c>
      <c r="M191">
        <v>4.462230047292099</v>
      </c>
      <c r="N191">
        <v>3.7205438562326458</v>
      </c>
      <c r="P191">
        <v>6.4093400403205784E-11</v>
      </c>
      <c r="R191">
        <v>10.916004632999316</v>
      </c>
      <c r="S191">
        <v>10.938849692911305</v>
      </c>
      <c r="T191">
        <v>1</v>
      </c>
      <c r="U191">
        <v>2.1894238915603093</v>
      </c>
      <c r="AN191" s="7"/>
    </row>
    <row r="192" spans="1:40">
      <c r="A192">
        <v>-0.98429281457874196</v>
      </c>
      <c r="B192">
        <v>1.1237671137497198</v>
      </c>
      <c r="C192">
        <v>6.8088607300213197E-2</v>
      </c>
      <c r="D192">
        <v>0.51134698873637019</v>
      </c>
      <c r="E192">
        <v>5.9027098332533015E-2</v>
      </c>
      <c r="F192">
        <v>0.26488109371043217</v>
      </c>
      <c r="G192">
        <v>0.22956412380816643</v>
      </c>
      <c r="H192">
        <v>0.11263398477018832</v>
      </c>
      <c r="I192">
        <v>0.37514290331354583</v>
      </c>
      <c r="J192">
        <v>0.98190492951013664</v>
      </c>
      <c r="L192">
        <v>3.3538404936330206</v>
      </c>
      <c r="M192">
        <v>4.4622298810585246</v>
      </c>
      <c r="N192">
        <v>3.7205441271194828</v>
      </c>
      <c r="P192">
        <v>6.3497337818591138E-11</v>
      </c>
      <c r="R192">
        <v>10.916004632999316</v>
      </c>
      <c r="S192">
        <v>10.938849692911305</v>
      </c>
      <c r="T192">
        <v>1</v>
      </c>
      <c r="U192">
        <v>2.1894238915603093</v>
      </c>
      <c r="AN192" s="7" t="s">
        <v>61</v>
      </c>
    </row>
    <row r="193" spans="1:40">
      <c r="A193">
        <v>-0.97703552089977941</v>
      </c>
      <c r="B193">
        <v>1.1338548627470804</v>
      </c>
      <c r="C193">
        <v>9.1723218824614094E-2</v>
      </c>
      <c r="D193">
        <v>0.25559641216989176</v>
      </c>
      <c r="E193">
        <v>-0.11547734416924432</v>
      </c>
      <c r="F193">
        <v>0.10554122420306161</v>
      </c>
      <c r="G193">
        <v>0.32935627732678396</v>
      </c>
      <c r="H193">
        <v>0.64150127858763162</v>
      </c>
      <c r="I193">
        <v>2.6067447951282567E-2</v>
      </c>
      <c r="J193">
        <v>0.96986725838920729</v>
      </c>
      <c r="L193">
        <v>3.3538404540342213</v>
      </c>
      <c r="M193">
        <v>4.4622298101170488</v>
      </c>
      <c r="N193">
        <v>3.7205441115802227</v>
      </c>
      <c r="P193">
        <v>6.3745710149145839E-11</v>
      </c>
      <c r="R193">
        <v>10.916004632999316</v>
      </c>
      <c r="S193">
        <v>10.938849692911305</v>
      </c>
      <c r="T193">
        <v>1</v>
      </c>
      <c r="U193">
        <v>2.1894238915603093</v>
      </c>
      <c r="AN193" s="7"/>
    </row>
    <row r="194" spans="1:40">
      <c r="A194">
        <v>-0.97741585966476796</v>
      </c>
      <c r="B194">
        <v>1.1319612242461685</v>
      </c>
      <c r="C194">
        <v>6.3132330438216658E-2</v>
      </c>
      <c r="D194">
        <v>0.20876308493690149</v>
      </c>
      <c r="E194">
        <v>3.4103676942883798E-2</v>
      </c>
      <c r="F194">
        <v>0.41400388390269727</v>
      </c>
      <c r="G194">
        <v>0.22543278803103575</v>
      </c>
      <c r="H194">
        <v>0.42094765569104431</v>
      </c>
      <c r="I194">
        <v>0.23457783155567849</v>
      </c>
      <c r="J194">
        <v>0.33992426146453231</v>
      </c>
      <c r="L194">
        <v>3.353840559050246</v>
      </c>
      <c r="M194">
        <v>4.4622299012439708</v>
      </c>
      <c r="N194">
        <v>3.7205439830518192</v>
      </c>
      <c r="P194">
        <v>6.4066580241863535E-11</v>
      </c>
      <c r="R194">
        <v>10.916004632999316</v>
      </c>
      <c r="S194">
        <v>10.938849692911305</v>
      </c>
      <c r="T194">
        <v>1</v>
      </c>
      <c r="U194">
        <v>2.1894238915603093</v>
      </c>
      <c r="AN194" s="7"/>
    </row>
    <row r="195" spans="1:40">
      <c r="A195">
        <v>-0.976156016525491</v>
      </c>
      <c r="B195">
        <v>1.1280004535847126</v>
      </c>
      <c r="C195">
        <v>4.9787020007918611E-2</v>
      </c>
      <c r="D195">
        <v>-5.4988491596489136E-2</v>
      </c>
      <c r="E195">
        <v>-0.50940475846674438</v>
      </c>
      <c r="F195">
        <v>-3.4749875284778513E-2</v>
      </c>
      <c r="G195">
        <v>0.57765851134346469</v>
      </c>
      <c r="H195">
        <v>0.95830897347195987</v>
      </c>
      <c r="I195">
        <v>0.66079766673728735</v>
      </c>
      <c r="J195">
        <v>0.40857139473570775</v>
      </c>
      <c r="L195">
        <v>3.3538405984823054</v>
      </c>
      <c r="M195">
        <v>4.4622299869913826</v>
      </c>
      <c r="N195">
        <v>3.7205440656083226</v>
      </c>
      <c r="P195">
        <v>6.3692702988543295E-11</v>
      </c>
      <c r="R195">
        <v>10.916004632999316</v>
      </c>
      <c r="S195">
        <v>10.938849692911305</v>
      </c>
      <c r="T195">
        <v>1</v>
      </c>
      <c r="U195">
        <v>2.1894238915603093</v>
      </c>
      <c r="AN195" s="7"/>
    </row>
    <row r="196" spans="1:40">
      <c r="A196">
        <v>-0.98583755844940457</v>
      </c>
      <c r="B196">
        <v>1.1278555008426536</v>
      </c>
      <c r="C196">
        <v>5.4188338631887399E-2</v>
      </c>
      <c r="D196">
        <v>0.35109332471908794</v>
      </c>
      <c r="E196">
        <v>-0.4527631319801329</v>
      </c>
      <c r="F196">
        <v>0.11361449232142641</v>
      </c>
      <c r="G196">
        <v>0.97816070252832066</v>
      </c>
      <c r="H196">
        <v>0.36193974932180628</v>
      </c>
      <c r="I196">
        <v>0.1941838720320854</v>
      </c>
      <c r="J196">
        <v>0.55153456885592478</v>
      </c>
      <c r="L196">
        <v>3.35383495326146</v>
      </c>
      <c r="M196">
        <v>4.4622352937003935</v>
      </c>
      <c r="N196">
        <v>3.7205421462570145</v>
      </c>
      <c r="P196">
        <v>3.6999680339399428E-12</v>
      </c>
      <c r="R196">
        <v>10.916004632999316</v>
      </c>
      <c r="S196">
        <v>10.938849692911305</v>
      </c>
      <c r="T196">
        <v>1</v>
      </c>
      <c r="U196">
        <v>2.1894238915603093</v>
      </c>
      <c r="AN196" s="7" t="s">
        <v>62</v>
      </c>
    </row>
    <row r="197" spans="1:40">
      <c r="A197">
        <v>-0.97446585395035057</v>
      </c>
      <c r="B197">
        <v>1.1301227956173601</v>
      </c>
      <c r="C197">
        <v>6.979397902488034E-2</v>
      </c>
      <c r="D197">
        <v>-0.19494594595082254</v>
      </c>
      <c r="E197">
        <v>0.39545901295113267</v>
      </c>
      <c r="F197">
        <v>-0.69096796996023402</v>
      </c>
      <c r="G197">
        <v>0.26701764793465921</v>
      </c>
      <c r="H197">
        <v>0.66416799939140481</v>
      </c>
      <c r="I197">
        <v>0.88069814056578177</v>
      </c>
      <c r="J197">
        <v>0.17797525240172588</v>
      </c>
      <c r="L197">
        <v>3.3538405629955448</v>
      </c>
      <c r="M197">
        <v>4.4622299536048464</v>
      </c>
      <c r="N197">
        <v>3.7205441152040022</v>
      </c>
      <c r="P197">
        <v>6.3603369346593334E-11</v>
      </c>
      <c r="R197">
        <v>10.916004632999316</v>
      </c>
      <c r="S197">
        <v>10.938849692911305</v>
      </c>
      <c r="T197">
        <v>1</v>
      </c>
      <c r="U197">
        <v>2.1894238915603093</v>
      </c>
      <c r="AN197" s="7"/>
    </row>
    <row r="198" spans="1:40">
      <c r="A198">
        <v>-0.9733205374549263</v>
      </c>
      <c r="B198">
        <v>1.1266218074609498</v>
      </c>
      <c r="C198">
        <v>8.2218392055761938E-2</v>
      </c>
      <c r="D198">
        <v>-0.35888283087782302</v>
      </c>
      <c r="E198">
        <v>-0.73051827774416178</v>
      </c>
      <c r="F198">
        <v>-0.71053943151361765</v>
      </c>
      <c r="G198">
        <v>0</v>
      </c>
      <c r="H198">
        <v>0.59272073074634513</v>
      </c>
      <c r="I198">
        <v>0.35956155115270055</v>
      </c>
      <c r="J198">
        <v>0.78646214330737207</v>
      </c>
      <c r="L198">
        <v>3.3538407002295583</v>
      </c>
      <c r="M198">
        <v>4.4622300798320218</v>
      </c>
      <c r="N198">
        <v>3.7205437546040967</v>
      </c>
      <c r="P198">
        <v>6.407471885138282E-11</v>
      </c>
      <c r="R198">
        <v>10.916004632999316</v>
      </c>
      <c r="S198">
        <v>10.938849692911305</v>
      </c>
      <c r="T198">
        <v>1</v>
      </c>
      <c r="U198">
        <v>2.1894238915603093</v>
      </c>
      <c r="AN198" s="7"/>
    </row>
    <row r="199" spans="1:40">
      <c r="A199">
        <v>-0.98505915855912141</v>
      </c>
      <c r="B199">
        <v>1.1281195507820658</v>
      </c>
      <c r="C199">
        <v>4.23016784008644E-2</v>
      </c>
      <c r="D199">
        <v>4.9161890522022127E-2</v>
      </c>
      <c r="E199">
        <v>0.56421502554273983</v>
      </c>
      <c r="F199">
        <v>0.15607873377224094</v>
      </c>
      <c r="G199">
        <v>0.9511942687571785</v>
      </c>
      <c r="H199">
        <v>0.112114122824244</v>
      </c>
      <c r="I199">
        <v>0.86205096486619559</v>
      </c>
      <c r="J199">
        <v>0.17272470092427525</v>
      </c>
      <c r="L199">
        <v>3.3538406299494272</v>
      </c>
      <c r="M199">
        <v>4.4622299740525699</v>
      </c>
      <c r="N199">
        <v>3.7205440385956536</v>
      </c>
      <c r="P199">
        <v>6.4209409185021645E-11</v>
      </c>
      <c r="R199">
        <v>10.916004632999316</v>
      </c>
      <c r="S199">
        <v>10.938849692911305</v>
      </c>
      <c r="T199">
        <v>1</v>
      </c>
      <c r="U199">
        <v>2.1894238915603093</v>
      </c>
      <c r="AN199" s="7"/>
    </row>
    <row r="200" spans="1:40">
      <c r="A200">
        <v>-0.98539377128322236</v>
      </c>
      <c r="B200">
        <v>1.1203084346262067</v>
      </c>
      <c r="C200">
        <v>3.3587952925424915E-2</v>
      </c>
      <c r="D200">
        <v>0.52939634299368232</v>
      </c>
      <c r="E200">
        <v>-0.54948156301293538</v>
      </c>
      <c r="F200">
        <v>0.40677320793103511</v>
      </c>
      <c r="G200">
        <v>0.67651372480573968</v>
      </c>
      <c r="H200">
        <v>0.57024725591915604</v>
      </c>
      <c r="I200">
        <v>0.6415831569781475</v>
      </c>
      <c r="J200">
        <v>0.67468918374861275</v>
      </c>
      <c r="L200">
        <v>3.3538403681876408</v>
      </c>
      <c r="M200">
        <v>4.4622298230936162</v>
      </c>
      <c r="N200">
        <v>3.7205443232622715</v>
      </c>
      <c r="P200">
        <v>6.2684549678548024E-11</v>
      </c>
      <c r="R200">
        <v>10.916004632999316</v>
      </c>
      <c r="S200">
        <v>10.938849692911305</v>
      </c>
      <c r="T200">
        <v>1</v>
      </c>
      <c r="U200">
        <v>2.1894238915603093</v>
      </c>
      <c r="AN200" s="7" t="s">
        <v>63</v>
      </c>
    </row>
    <row r="201" spans="1:40">
      <c r="A201">
        <v>-1.0996490752915615</v>
      </c>
      <c r="B201">
        <v>1.0212346057339059</v>
      </c>
      <c r="C201">
        <v>-0.10038936759615462</v>
      </c>
      <c r="D201">
        <v>-0.43371697514826757</v>
      </c>
      <c r="E201">
        <v>7.1875644208504855E-2</v>
      </c>
      <c r="F201">
        <v>-0.76036474280703215</v>
      </c>
      <c r="G201">
        <v>0.39998339709593156</v>
      </c>
      <c r="H201">
        <v>0.30038083026998685</v>
      </c>
      <c r="I201">
        <v>0.10326108281364942</v>
      </c>
      <c r="J201">
        <v>0.61850516232245645</v>
      </c>
      <c r="L201">
        <v>0.67134108963963646</v>
      </c>
      <c r="M201">
        <v>4.4622354460754847</v>
      </c>
      <c r="N201">
        <v>3.7205438036028791</v>
      </c>
      <c r="P201">
        <v>3.6058409547279051E-11</v>
      </c>
      <c r="R201">
        <v>8.0990739794796305</v>
      </c>
      <c r="S201">
        <v>8.1126859890305525</v>
      </c>
      <c r="T201">
        <v>1</v>
      </c>
      <c r="U201">
        <v>1.8236403845865286</v>
      </c>
      <c r="AN201" s="7"/>
    </row>
    <row r="202" spans="1:40">
      <c r="A202">
        <v>-1.0925110141039702</v>
      </c>
      <c r="B202">
        <v>1.0310874682461424</v>
      </c>
      <c r="C202">
        <v>-0.10905544648038716</v>
      </c>
      <c r="D202">
        <v>-0.40505301561497536</v>
      </c>
      <c r="E202">
        <v>7.5694186472182942E-2</v>
      </c>
      <c r="F202">
        <v>-0.33455608759452493</v>
      </c>
      <c r="G202">
        <v>0.96241387959497937</v>
      </c>
      <c r="H202">
        <v>0.21182101514752791</v>
      </c>
      <c r="I202">
        <v>0.30886030678575005</v>
      </c>
      <c r="J202">
        <v>0.38297988708671205</v>
      </c>
      <c r="L202">
        <v>0.67134113492055758</v>
      </c>
      <c r="M202">
        <v>4.462234888487882</v>
      </c>
      <c r="N202">
        <v>3.720544554376473</v>
      </c>
      <c r="P202">
        <v>3.5666888187232104E-11</v>
      </c>
      <c r="R202">
        <v>8.0990739794796305</v>
      </c>
      <c r="S202">
        <v>8.1126859890305525</v>
      </c>
      <c r="T202">
        <v>1</v>
      </c>
      <c r="U202">
        <v>1.8236403845865286</v>
      </c>
      <c r="AN202" s="7"/>
    </row>
    <row r="203" spans="1:40">
      <c r="A203">
        <v>-1.0908920947798473</v>
      </c>
      <c r="B203">
        <v>1.0276998023177455</v>
      </c>
      <c r="C203">
        <v>-0.12027142580833128</v>
      </c>
      <c r="D203">
        <v>0.25628740677219169</v>
      </c>
      <c r="E203">
        <v>-0.26665356000428514</v>
      </c>
      <c r="F203">
        <v>-0.31858499243758276</v>
      </c>
      <c r="G203">
        <v>0.65112825621201287</v>
      </c>
      <c r="H203">
        <v>0.50691543486604629</v>
      </c>
      <c r="I203">
        <v>0.3146567112630354</v>
      </c>
      <c r="J203">
        <v>0.20489342192319868</v>
      </c>
      <c r="L203">
        <v>0.67134194375829193</v>
      </c>
      <c r="M203">
        <v>4.4622342412229239</v>
      </c>
      <c r="N203">
        <v>3.7205458265623155</v>
      </c>
      <c r="P203">
        <v>3.0403353340289725E-11</v>
      </c>
      <c r="R203">
        <v>8.0990739794796305</v>
      </c>
      <c r="S203">
        <v>8.1126859890305525</v>
      </c>
      <c r="T203">
        <v>1</v>
      </c>
      <c r="U203">
        <v>1.8236403845865286</v>
      </c>
      <c r="AN203" s="7"/>
    </row>
    <row r="204" spans="1:40">
      <c r="A204">
        <v>-1.0972034174099334</v>
      </c>
      <c r="B204">
        <v>1.0164182823177268</v>
      </c>
      <c r="C204">
        <v>-0.12694537818969179</v>
      </c>
      <c r="D204">
        <v>-0.3821878644162266</v>
      </c>
      <c r="E204">
        <v>-0.70289373993770088</v>
      </c>
      <c r="F204">
        <v>-0.23462662612832605</v>
      </c>
      <c r="G204">
        <v>0.43867628812533616</v>
      </c>
      <c r="H204">
        <v>0.55690121103657508</v>
      </c>
      <c r="I204">
        <v>0.34864161137305966</v>
      </c>
      <c r="J204">
        <v>0.8058130860437922</v>
      </c>
      <c r="L204">
        <v>0.67134175330993062</v>
      </c>
      <c r="M204">
        <v>4.4622341796773171</v>
      </c>
      <c r="N204">
        <v>3.7205455039561888</v>
      </c>
      <c r="P204">
        <v>3.1399558206862161E-11</v>
      </c>
      <c r="R204">
        <v>8.0990739794796305</v>
      </c>
      <c r="S204">
        <v>8.1126859890305525</v>
      </c>
      <c r="T204">
        <v>1</v>
      </c>
      <c r="U204">
        <v>1.8236403845865286</v>
      </c>
      <c r="AN204" s="7" t="s">
        <v>64</v>
      </c>
    </row>
    <row r="205" spans="1:40">
      <c r="A205">
        <v>-1.0956992964193715</v>
      </c>
      <c r="B205">
        <v>1.0215783350072012</v>
      </c>
      <c r="C205">
        <v>-0.13710531398958078</v>
      </c>
      <c r="D205">
        <v>0.18005622477799849</v>
      </c>
      <c r="E205">
        <v>0.36348220537572618</v>
      </c>
      <c r="F205">
        <v>0.14244054996860664</v>
      </c>
      <c r="G205">
        <v>0.41172537426531092</v>
      </c>
      <c r="H205">
        <v>0.63483974753416361</v>
      </c>
      <c r="I205">
        <v>0.67762450326445134</v>
      </c>
      <c r="J205">
        <v>0.20400063833739931</v>
      </c>
      <c r="L205">
        <v>0.6713420177051147</v>
      </c>
      <c r="M205">
        <v>4.4622339369138944</v>
      </c>
      <c r="N205">
        <v>3.7205457178553112</v>
      </c>
      <c r="P205">
        <v>2.9822621144518568E-11</v>
      </c>
      <c r="R205">
        <v>8.0990739794796305</v>
      </c>
      <c r="S205">
        <v>8.1126859890305525</v>
      </c>
      <c r="T205">
        <v>1</v>
      </c>
      <c r="U205">
        <v>1.8236403845865286</v>
      </c>
      <c r="AN205" s="7"/>
    </row>
    <row r="206" spans="1:40">
      <c r="A206">
        <v>-1.0856305556107508</v>
      </c>
      <c r="B206">
        <v>1.0304989854080806</v>
      </c>
      <c r="C206">
        <v>-0.11175875631584402</v>
      </c>
      <c r="D206">
        <v>-0.52069035555364251</v>
      </c>
      <c r="E206">
        <v>-0.30885129353973939</v>
      </c>
      <c r="F206">
        <v>-0.71012693802435645</v>
      </c>
      <c r="G206">
        <v>0.94087985882049241</v>
      </c>
      <c r="H206">
        <v>3.7522354381926228E-2</v>
      </c>
      <c r="I206">
        <v>0.69577727599659323</v>
      </c>
      <c r="J206">
        <v>0.42040023684274191</v>
      </c>
      <c r="L206">
        <v>0.6713415096844213</v>
      </c>
      <c r="M206">
        <v>4.4622343316179922</v>
      </c>
      <c r="N206">
        <v>3.7205452383542199</v>
      </c>
      <c r="P206">
        <v>3.3076368718354974E-11</v>
      </c>
      <c r="R206">
        <v>8.0990739794796305</v>
      </c>
      <c r="S206">
        <v>8.1126859890305525</v>
      </c>
      <c r="T206">
        <v>1</v>
      </c>
      <c r="U206">
        <v>1.8236403845865286</v>
      </c>
      <c r="AN206" s="7"/>
    </row>
    <row r="207" spans="1:40">
      <c r="A207">
        <v>-1.0974970246975473</v>
      </c>
      <c r="B207">
        <v>1.0161251474635189</v>
      </c>
      <c r="C207">
        <v>-0.13600432358001088</v>
      </c>
      <c r="D207">
        <v>-0.41853505605634705</v>
      </c>
      <c r="E207">
        <v>0.17403236020756202</v>
      </c>
      <c r="F207">
        <v>0.67852279550788119</v>
      </c>
      <c r="G207">
        <v>0</v>
      </c>
      <c r="H207">
        <v>0.20991181560386774</v>
      </c>
      <c r="I207">
        <v>0.56145501937914388</v>
      </c>
      <c r="J207">
        <v>0.76942283697989922</v>
      </c>
      <c r="L207">
        <v>0.67134118008623089</v>
      </c>
      <c r="M207">
        <v>4.4622348856871499</v>
      </c>
      <c r="N207">
        <v>3.720544602212291</v>
      </c>
      <c r="P207">
        <v>3.5191226383002272E-11</v>
      </c>
      <c r="R207">
        <v>8.0990739794796305</v>
      </c>
      <c r="S207">
        <v>8.1126859890305525</v>
      </c>
      <c r="T207">
        <v>1</v>
      </c>
      <c r="U207">
        <v>1.8236403845865286</v>
      </c>
      <c r="AN207" s="7"/>
    </row>
    <row r="208" spans="1:40">
      <c r="A208">
        <v>-1.093381222018758</v>
      </c>
      <c r="B208">
        <v>1.0192664080957561</v>
      </c>
      <c r="C208">
        <v>-0.13926299086805846</v>
      </c>
      <c r="D208">
        <v>0.20979752323696443</v>
      </c>
      <c r="E208">
        <v>0.22133718216536682</v>
      </c>
      <c r="F208">
        <v>-2.5616521271394924E-2</v>
      </c>
      <c r="G208">
        <v>0.26682788388719797</v>
      </c>
      <c r="H208">
        <v>0.60481861733122599</v>
      </c>
      <c r="I208">
        <v>0.87975802143593973</v>
      </c>
      <c r="J208">
        <v>0.26027085533154215</v>
      </c>
      <c r="L208">
        <v>0.6713421604933022</v>
      </c>
      <c r="M208">
        <v>4.4622339759869494</v>
      </c>
      <c r="N208">
        <v>3.7205458802579989</v>
      </c>
      <c r="P208">
        <v>2.8909795717852356E-11</v>
      </c>
      <c r="R208">
        <v>8.0990739794796305</v>
      </c>
      <c r="S208">
        <v>8.1126859890305525</v>
      </c>
      <c r="T208">
        <v>1</v>
      </c>
      <c r="U208">
        <v>1.8236403845865286</v>
      </c>
      <c r="AN208" s="7" t="s">
        <v>65</v>
      </c>
    </row>
    <row r="209" spans="1:40">
      <c r="A209">
        <v>-1.0873949154366569</v>
      </c>
      <c r="B209">
        <v>1.0294385811679583</v>
      </c>
      <c r="C209">
        <v>-0.10784371783889446</v>
      </c>
      <c r="D209">
        <v>0.15490893275929637</v>
      </c>
      <c r="E209">
        <v>0.11025028171908778</v>
      </c>
      <c r="F209">
        <v>-0.10291799525125808</v>
      </c>
      <c r="G209">
        <v>0.81072049978306471</v>
      </c>
      <c r="H209">
        <v>0.42656309404915055</v>
      </c>
      <c r="I209">
        <v>0.78377523168783647</v>
      </c>
      <c r="J209">
        <v>0.88947841299239416</v>
      </c>
      <c r="L209">
        <v>0.67134126895437307</v>
      </c>
      <c r="M209">
        <v>4.4622346455726207</v>
      </c>
      <c r="N209">
        <v>3.7205448533146801</v>
      </c>
      <c r="P209">
        <v>3.4653177085902206E-11</v>
      </c>
      <c r="R209">
        <v>8.0990739794796305</v>
      </c>
      <c r="S209">
        <v>8.1126859890305525</v>
      </c>
      <c r="T209">
        <v>1</v>
      </c>
      <c r="U209">
        <v>1.8236403845865286</v>
      </c>
      <c r="AN209" s="7"/>
    </row>
    <row r="210" spans="1:40">
      <c r="A210">
        <v>-1.098487124752255</v>
      </c>
      <c r="B210">
        <v>1.014419845054858</v>
      </c>
      <c r="C210">
        <v>-0.13151005497094889</v>
      </c>
      <c r="D210">
        <v>0.10643791050681528</v>
      </c>
      <c r="E210">
        <v>0.16034264231934883</v>
      </c>
      <c r="F210">
        <v>-0.21285866846171514</v>
      </c>
      <c r="G210">
        <v>0.23473554601544258</v>
      </c>
      <c r="H210">
        <v>0.81144224583324609</v>
      </c>
      <c r="I210">
        <v>0.79112687622534639</v>
      </c>
      <c r="J210">
        <v>0.64744461536531905</v>
      </c>
      <c r="L210">
        <v>0.67134191022138046</v>
      </c>
      <c r="M210">
        <v>4.462234048159945</v>
      </c>
      <c r="N210">
        <v>3.7205456277243911</v>
      </c>
      <c r="P210">
        <v>3.0386520650182494E-11</v>
      </c>
      <c r="R210">
        <v>8.0990739794796305</v>
      </c>
      <c r="S210">
        <v>8.1126859890305525</v>
      </c>
      <c r="T210">
        <v>1</v>
      </c>
      <c r="U210">
        <v>1.8236403845865286</v>
      </c>
      <c r="AN210" s="7"/>
    </row>
    <row r="211" spans="1:40">
      <c r="A211">
        <v>1.4154028740628457</v>
      </c>
      <c r="B211">
        <v>0.16241862932439041</v>
      </c>
      <c r="C211">
        <v>0.39916241420839871</v>
      </c>
      <c r="D211">
        <v>-0.92817454838689994</v>
      </c>
      <c r="E211">
        <v>-0.85539225373916894</v>
      </c>
      <c r="F211">
        <v>0.31408918670019992</v>
      </c>
      <c r="G211">
        <v>0.95042856421809097</v>
      </c>
      <c r="H211">
        <v>0.61771529981059281</v>
      </c>
      <c r="I211">
        <v>0.91178301360060909</v>
      </c>
      <c r="J211">
        <v>0.37646871362407525</v>
      </c>
      <c r="L211">
        <v>1.5768892221305748</v>
      </c>
      <c r="M211">
        <v>3.3576664928771698</v>
      </c>
      <c r="N211">
        <v>4.0809210670543967</v>
      </c>
      <c r="P211">
        <v>5.0814150644931684E-12</v>
      </c>
      <c r="R211">
        <v>8.2425102756909929</v>
      </c>
      <c r="S211">
        <v>8.2529665998791568</v>
      </c>
      <c r="T211">
        <v>1</v>
      </c>
      <c r="U211">
        <v>1.8030973505751491</v>
      </c>
      <c r="AN211" s="7"/>
    </row>
    <row r="212" spans="1:40">
      <c r="A212">
        <v>1.410290447610949</v>
      </c>
      <c r="B212">
        <v>0.12898197809414666</v>
      </c>
      <c r="C212">
        <v>0.38790623225276089</v>
      </c>
      <c r="D212">
        <v>0.47132092426390065</v>
      </c>
      <c r="E212">
        <v>-0.40943527092504906</v>
      </c>
      <c r="F212">
        <v>-0.81363818960933376</v>
      </c>
      <c r="G212">
        <v>0.65227897657301259</v>
      </c>
      <c r="H212">
        <v>8.2552823440547891E-3</v>
      </c>
      <c r="I212">
        <v>0.20538190353699462</v>
      </c>
      <c r="J212">
        <v>0.43030270178344454</v>
      </c>
      <c r="L212">
        <v>1.5768892676218489</v>
      </c>
      <c r="M212">
        <v>3.3576665408434057</v>
      </c>
      <c r="N212">
        <v>4.0809210116269456</v>
      </c>
      <c r="P212">
        <v>5.1761823401525109E-12</v>
      </c>
      <c r="R212">
        <v>8.2425102756909929</v>
      </c>
      <c r="S212">
        <v>8.2529665998791568</v>
      </c>
      <c r="T212">
        <v>1</v>
      </c>
      <c r="U212">
        <v>1.8030973505751491</v>
      </c>
      <c r="AN212" s="7" t="s">
        <v>66</v>
      </c>
    </row>
    <row r="213" spans="1:40">
      <c r="A213">
        <v>1.4103238411099173</v>
      </c>
      <c r="B213">
        <v>0.13360507870472149</v>
      </c>
      <c r="C213">
        <v>0.39751878420918152</v>
      </c>
      <c r="D213">
        <v>-0.19642025917763148</v>
      </c>
      <c r="E213">
        <v>-5.4294329725537931E-2</v>
      </c>
      <c r="F213">
        <v>-0.10395086414231756</v>
      </c>
      <c r="G213">
        <v>0.96517555697989033</v>
      </c>
      <c r="H213">
        <v>0.29511396149487334</v>
      </c>
      <c r="I213">
        <v>0.91692351991080223</v>
      </c>
      <c r="J213">
        <v>1.0012790780531955</v>
      </c>
      <c r="L213">
        <v>1.5768893251489065</v>
      </c>
      <c r="M213">
        <v>3.3576665029663699</v>
      </c>
      <c r="N213">
        <v>4.0809213780749598</v>
      </c>
      <c r="P213">
        <v>3.9487856009217887E-12</v>
      </c>
      <c r="R213">
        <v>8.2425102756909929</v>
      </c>
      <c r="S213">
        <v>8.2529665998791568</v>
      </c>
      <c r="T213">
        <v>1</v>
      </c>
      <c r="U213">
        <v>1.8030973505751491</v>
      </c>
      <c r="AN213" s="7"/>
    </row>
    <row r="214" spans="1:40">
      <c r="A214">
        <v>1.4069649173498091</v>
      </c>
      <c r="B214">
        <v>0.136801575310187</v>
      </c>
      <c r="C214">
        <v>0.40202601213657557</v>
      </c>
      <c r="D214">
        <v>-0.45267949458817025</v>
      </c>
      <c r="E214">
        <v>2.3740259241305864E-2</v>
      </c>
      <c r="F214">
        <v>-0.6506166459635464</v>
      </c>
      <c r="G214">
        <v>0.21754923332181278</v>
      </c>
      <c r="H214">
        <v>2.8668991964203822E-2</v>
      </c>
      <c r="I214">
        <v>0.91353262433712201</v>
      </c>
      <c r="J214">
        <v>0.52077638290804151</v>
      </c>
      <c r="L214">
        <v>1.5768893521729888</v>
      </c>
      <c r="M214">
        <v>3.3576664426772704</v>
      </c>
      <c r="N214">
        <v>4.0809215298455603</v>
      </c>
      <c r="P214">
        <v>3.4573959865913125E-12</v>
      </c>
      <c r="R214">
        <v>8.2425102756909929</v>
      </c>
      <c r="S214">
        <v>8.2529665998791568</v>
      </c>
      <c r="T214">
        <v>1</v>
      </c>
      <c r="U214">
        <v>1.8030973505751491</v>
      </c>
      <c r="AN214" s="7"/>
    </row>
    <row r="215" spans="1:40">
      <c r="A215">
        <v>1.4119680603633098</v>
      </c>
      <c r="B215">
        <v>0.14334278957022653</v>
      </c>
      <c r="C215">
        <v>0.4220134581205951</v>
      </c>
      <c r="D215">
        <v>-0.35557115563685288</v>
      </c>
      <c r="E215">
        <v>-0.165141381527564</v>
      </c>
      <c r="F215">
        <v>6.5018796746643195E-2</v>
      </c>
      <c r="G215">
        <v>0.34264766672924774</v>
      </c>
      <c r="H215">
        <v>0.85210093212950466</v>
      </c>
      <c r="I215">
        <v>0.47029451305611913</v>
      </c>
      <c r="J215">
        <v>0.33907117689971172</v>
      </c>
      <c r="L215">
        <v>1.5768892280875157</v>
      </c>
      <c r="M215">
        <v>3.3576664229905133</v>
      </c>
      <c r="N215">
        <v>4.0809212259108181</v>
      </c>
      <c r="P215">
        <v>4.5257111096581499E-12</v>
      </c>
      <c r="R215">
        <v>8.2425102756909929</v>
      </c>
      <c r="S215">
        <v>8.2529665998791568</v>
      </c>
      <c r="T215">
        <v>1</v>
      </c>
      <c r="U215">
        <v>1.8030973505751491</v>
      </c>
      <c r="AN215" s="7"/>
    </row>
    <row r="216" spans="1:40">
      <c r="A216">
        <v>1.4153414230722121</v>
      </c>
      <c r="B216">
        <v>0.14011204452596943</v>
      </c>
      <c r="C216">
        <v>0.42869800321594681</v>
      </c>
      <c r="D216">
        <v>-0.55222809678043716</v>
      </c>
      <c r="E216">
        <v>-5.5543328139261362E-2</v>
      </c>
      <c r="F216">
        <v>-2.0456394690312144E-2</v>
      </c>
      <c r="G216">
        <v>0.81378554311913465</v>
      </c>
      <c r="H216">
        <v>0.9553328860211483</v>
      </c>
      <c r="I216">
        <v>0.35618110534666619</v>
      </c>
      <c r="J216">
        <v>0.21174521609355096</v>
      </c>
      <c r="L216">
        <v>1.5768895795016316</v>
      </c>
      <c r="M216">
        <v>3.3576668393149367</v>
      </c>
      <c r="N216">
        <v>4.0809205391179537</v>
      </c>
      <c r="P216">
        <v>6.5320833590657183E-12</v>
      </c>
      <c r="R216">
        <v>8.2425102756909929</v>
      </c>
      <c r="S216">
        <v>8.2529665998791568</v>
      </c>
      <c r="T216">
        <v>1</v>
      </c>
      <c r="U216">
        <v>1.8030973505751491</v>
      </c>
      <c r="AN216" s="7" t="s">
        <v>67</v>
      </c>
    </row>
    <row r="217" spans="1:40">
      <c r="A217">
        <v>1.4099876462195193</v>
      </c>
      <c r="B217">
        <v>0.14545594234992881</v>
      </c>
      <c r="C217">
        <v>0.41380412558883894</v>
      </c>
      <c r="D217">
        <v>-0.81395150546293371</v>
      </c>
      <c r="E217">
        <v>-0.59501501838064785</v>
      </c>
      <c r="F217">
        <v>0.30499279500748272</v>
      </c>
      <c r="G217">
        <v>0.72074211962256218</v>
      </c>
      <c r="H217">
        <v>0.73791672272588349</v>
      </c>
      <c r="I217">
        <v>0.81754723554796926</v>
      </c>
      <c r="J217">
        <v>0.97391212341227318</v>
      </c>
      <c r="L217">
        <v>1.5768893042056502</v>
      </c>
      <c r="M217">
        <v>3.3576665903822582</v>
      </c>
      <c r="N217">
        <v>4.0809210124916167</v>
      </c>
      <c r="P217">
        <v>5.1360498566295945E-12</v>
      </c>
      <c r="R217">
        <v>8.2425102756909929</v>
      </c>
      <c r="S217">
        <v>8.2529665998791568</v>
      </c>
      <c r="T217">
        <v>1</v>
      </c>
      <c r="U217">
        <v>1.8030973505751491</v>
      </c>
      <c r="AN217" s="7"/>
    </row>
    <row r="218" spans="1:40">
      <c r="A218">
        <v>1.4168444283220498</v>
      </c>
      <c r="B218">
        <v>0.1606847548821225</v>
      </c>
      <c r="C218">
        <v>0.39344860878914228</v>
      </c>
      <c r="D218">
        <v>-2.1081758909599176E-2</v>
      </c>
      <c r="E218">
        <v>-0.24348338292130212</v>
      </c>
      <c r="F218">
        <v>0.44015244397621978</v>
      </c>
      <c r="G218">
        <v>0.6777939750101275</v>
      </c>
      <c r="H218">
        <v>0.70434472231757239</v>
      </c>
      <c r="I218">
        <v>0.91762215621452958</v>
      </c>
      <c r="J218">
        <v>0.13787311423260859</v>
      </c>
      <c r="L218">
        <v>1.5768917217184035</v>
      </c>
      <c r="M218">
        <v>3.3576664550581388</v>
      </c>
      <c r="N218">
        <v>4.0809198347445061</v>
      </c>
      <c r="P218">
        <v>8.7385208350296896E-12</v>
      </c>
      <c r="R218">
        <v>8.2425102756909929</v>
      </c>
      <c r="S218">
        <v>8.2529665998791568</v>
      </c>
      <c r="T218">
        <v>1</v>
      </c>
      <c r="U218">
        <v>1.8030973505751491</v>
      </c>
      <c r="AN218" s="7"/>
    </row>
    <row r="219" spans="1:40">
      <c r="A219">
        <v>1.4101413158589786</v>
      </c>
      <c r="B219">
        <v>0.1266170378412203</v>
      </c>
      <c r="C219">
        <v>0.39671929678607742</v>
      </c>
      <c r="D219">
        <v>0.56277269384251227</v>
      </c>
      <c r="E219">
        <v>-8.1067976154292065E-2</v>
      </c>
      <c r="F219">
        <v>-0.44110535999898864</v>
      </c>
      <c r="G219">
        <v>0.32654798838318255</v>
      </c>
      <c r="H219">
        <v>4.8638430130196891E-2</v>
      </c>
      <c r="I219">
        <v>8.0313434574551854E-2</v>
      </c>
      <c r="J219">
        <v>0.46052694497884406</v>
      </c>
      <c r="L219">
        <v>1.5768892395794942</v>
      </c>
      <c r="M219">
        <v>3.3576664808651469</v>
      </c>
      <c r="N219">
        <v>4.0809210853710978</v>
      </c>
      <c r="P219">
        <v>4.9574820894046262E-12</v>
      </c>
      <c r="R219">
        <v>8.2425102756909929</v>
      </c>
      <c r="S219">
        <v>8.2529665998791568</v>
      </c>
      <c r="T219">
        <v>1</v>
      </c>
      <c r="U219">
        <v>1.8030973505751491</v>
      </c>
      <c r="AN219" s="7"/>
    </row>
    <row r="220" spans="1:40">
      <c r="A220">
        <v>1.4108176820207818</v>
      </c>
      <c r="B220">
        <v>0.13733369942307341</v>
      </c>
      <c r="C220">
        <v>0.41347604554923195</v>
      </c>
      <c r="D220">
        <v>-0.15331739118594975</v>
      </c>
      <c r="E220">
        <v>-0.5450211187266738</v>
      </c>
      <c r="F220">
        <v>-0.15053245790849162</v>
      </c>
      <c r="G220">
        <v>0.50545456371319719</v>
      </c>
      <c r="H220">
        <v>0.65870406637316248</v>
      </c>
      <c r="I220">
        <v>0.21189217917926723</v>
      </c>
      <c r="J220">
        <v>0.52963159755467826</v>
      </c>
      <c r="L220">
        <v>1.576889238054374</v>
      </c>
      <c r="M220">
        <v>3.3576664501802864</v>
      </c>
      <c r="N220">
        <v>4.0809211902473361</v>
      </c>
      <c r="P220">
        <v>4.6241587649276035E-12</v>
      </c>
      <c r="R220">
        <v>8.2425102756909929</v>
      </c>
      <c r="S220">
        <v>8.2529665998791568</v>
      </c>
      <c r="T220">
        <v>1</v>
      </c>
      <c r="U220">
        <v>1.8030973505751491</v>
      </c>
      <c r="AN220" s="7" t="s">
        <v>68</v>
      </c>
    </row>
    <row r="221" spans="1:40">
      <c r="A221">
        <v>1.4550140575164416</v>
      </c>
      <c r="B221">
        <v>0.25699456472813514</v>
      </c>
      <c r="C221">
        <v>0.36420728417212567</v>
      </c>
      <c r="D221">
        <v>-0.59639899624693837</v>
      </c>
      <c r="E221">
        <v>-0.22515697520978009</v>
      </c>
      <c r="F221">
        <v>-0.20339579948373684</v>
      </c>
      <c r="G221">
        <v>0.71326045844841912</v>
      </c>
      <c r="H221">
        <v>0.49087452800639997</v>
      </c>
      <c r="I221">
        <v>0.4737686065803341</v>
      </c>
      <c r="J221">
        <v>0.50711360362276403</v>
      </c>
      <c r="L221">
        <v>1.5768910356057417</v>
      </c>
      <c r="M221">
        <v>3.3576647035010669</v>
      </c>
      <c r="N221">
        <v>0.91031927680535518</v>
      </c>
      <c r="P221">
        <v>1.5088367023614068E-12</v>
      </c>
      <c r="R221">
        <v>5.1389324067002251</v>
      </c>
      <c r="S221">
        <v>5.1437331426071831</v>
      </c>
      <c r="T221">
        <v>1</v>
      </c>
      <c r="U221">
        <v>1.8103307396134425</v>
      </c>
      <c r="AN221" s="7"/>
    </row>
    <row r="222" spans="1:40">
      <c r="A222">
        <v>1.4489090777537454</v>
      </c>
      <c r="B222">
        <v>0.24541382769143308</v>
      </c>
      <c r="C222">
        <v>0.37995215913691205</v>
      </c>
      <c r="D222">
        <v>-0.21377939760352813</v>
      </c>
      <c r="E222">
        <v>-0.29139429073892326</v>
      </c>
      <c r="F222">
        <v>-0.11601093428790896</v>
      </c>
      <c r="G222">
        <v>0.2179021812490006</v>
      </c>
      <c r="H222">
        <v>0.91324438106639616</v>
      </c>
      <c r="I222">
        <v>0.22834932615685896</v>
      </c>
      <c r="J222">
        <v>0.86634172522556963</v>
      </c>
      <c r="L222">
        <v>1.5768910270758076</v>
      </c>
      <c r="M222">
        <v>3.3576646591154362</v>
      </c>
      <c r="N222">
        <v>0.91031927639785715</v>
      </c>
      <c r="P222">
        <v>1.6073914145538869E-12</v>
      </c>
      <c r="R222">
        <v>5.1389324067002251</v>
      </c>
      <c r="S222">
        <v>5.1437331426071831</v>
      </c>
      <c r="T222">
        <v>1</v>
      </c>
      <c r="U222">
        <v>1.8103307396134425</v>
      </c>
      <c r="AN222" s="7"/>
    </row>
    <row r="223" spans="1:40">
      <c r="A223">
        <v>1.4540066443009076</v>
      </c>
      <c r="B223">
        <v>0.25503337133112397</v>
      </c>
      <c r="C223">
        <v>0.34811402371196676</v>
      </c>
      <c r="D223">
        <v>0.23182452400573875</v>
      </c>
      <c r="E223">
        <v>-0.16220739481947705</v>
      </c>
      <c r="F223">
        <v>0.52069826052110346</v>
      </c>
      <c r="G223">
        <v>0.36003533733039722</v>
      </c>
      <c r="H223">
        <v>0.23628458111927875</v>
      </c>
      <c r="I223">
        <v>0.31463253879210856</v>
      </c>
      <c r="J223">
        <v>0.90806728862072617</v>
      </c>
      <c r="L223">
        <v>1.576890723804359</v>
      </c>
      <c r="M223">
        <v>3.3576661312139633</v>
      </c>
      <c r="N223">
        <v>0.91031841570680994</v>
      </c>
      <c r="P223">
        <v>3.2313259514646196E-13</v>
      </c>
      <c r="R223">
        <v>5.1389324067002251</v>
      </c>
      <c r="S223">
        <v>5.1437331426071831</v>
      </c>
      <c r="T223">
        <v>1</v>
      </c>
      <c r="U223">
        <v>1.8103307396134425</v>
      </c>
      <c r="AN223" s="7"/>
    </row>
    <row r="224" spans="1:40">
      <c r="A224">
        <v>1.4527418514100017</v>
      </c>
      <c r="B224">
        <v>0.25492789477773226</v>
      </c>
      <c r="C224">
        <v>0.34349967632091838</v>
      </c>
      <c r="D224">
        <v>0.42423798541606622</v>
      </c>
      <c r="E224">
        <v>0.20550908286027039</v>
      </c>
      <c r="F224">
        <v>0.11997287212286532</v>
      </c>
      <c r="G224">
        <v>0.53306220647869296</v>
      </c>
      <c r="H224">
        <v>0.44113224268972212</v>
      </c>
      <c r="I224">
        <v>0.91357082464760975</v>
      </c>
      <c r="J224">
        <v>0.82132625493094502</v>
      </c>
      <c r="L224">
        <v>1.5768913144055916</v>
      </c>
      <c r="M224">
        <v>3.3576648310265238</v>
      </c>
      <c r="N224">
        <v>0.91031915725996992</v>
      </c>
      <c r="P224">
        <v>1.3826494645720209E-12</v>
      </c>
      <c r="R224">
        <v>5.1389324067002251</v>
      </c>
      <c r="S224">
        <v>5.1437331426071831</v>
      </c>
      <c r="T224">
        <v>1</v>
      </c>
      <c r="U224">
        <v>1.8103307396134425</v>
      </c>
      <c r="AN224" s="7" t="s">
        <v>69</v>
      </c>
    </row>
    <row r="225" spans="1:40">
      <c r="A225">
        <v>1.4543398059068449</v>
      </c>
      <c r="B225">
        <v>0.25194450716750977</v>
      </c>
      <c r="C225">
        <v>0.36207813682599133</v>
      </c>
      <c r="D225">
        <v>0.19422323312182002</v>
      </c>
      <c r="E225">
        <v>0.32220385774395849</v>
      </c>
      <c r="F225">
        <v>0.18927203904625561</v>
      </c>
      <c r="G225">
        <v>1.8189168915573817E-2</v>
      </c>
      <c r="H225">
        <v>0.28933609909180236</v>
      </c>
      <c r="I225">
        <v>0.19006938787672864</v>
      </c>
      <c r="J225">
        <v>0.5791652327419794</v>
      </c>
      <c r="L225">
        <v>1.5768908260222032</v>
      </c>
      <c r="M225">
        <v>3.3576649111469612</v>
      </c>
      <c r="N225">
        <v>0.91031933397056275</v>
      </c>
      <c r="P225">
        <v>1.0585067078008587E-12</v>
      </c>
      <c r="R225">
        <v>5.1389324067002251</v>
      </c>
      <c r="S225">
        <v>5.1437331426071831</v>
      </c>
      <c r="T225">
        <v>1</v>
      </c>
      <c r="U225">
        <v>1.8103307396134425</v>
      </c>
      <c r="AN225" s="7"/>
    </row>
    <row r="226" spans="1:40">
      <c r="A226">
        <v>1.4473519875753942</v>
      </c>
      <c r="B226">
        <v>0.26005579658376865</v>
      </c>
      <c r="C226">
        <v>0.3461853870645632</v>
      </c>
      <c r="D226">
        <v>4.5819564997823026E-2</v>
      </c>
      <c r="E226">
        <v>-0.51110464955830626</v>
      </c>
      <c r="F226">
        <v>-0.28436551480276534</v>
      </c>
      <c r="G226">
        <v>9.0157245908882425E-2</v>
      </c>
      <c r="H226">
        <v>0.48820824307455807</v>
      </c>
      <c r="I226">
        <v>0.89298034997351783</v>
      </c>
      <c r="J226">
        <v>8.7910354269460061E-2</v>
      </c>
      <c r="L226">
        <v>1.5768909616978071</v>
      </c>
      <c r="M226">
        <v>3.3576645933094422</v>
      </c>
      <c r="N226">
        <v>0.91031927252228972</v>
      </c>
      <c r="P226">
        <v>1.7360671216495399E-12</v>
      </c>
      <c r="R226">
        <v>5.1389324067002251</v>
      </c>
      <c r="S226">
        <v>5.1437331426071831</v>
      </c>
      <c r="T226">
        <v>1</v>
      </c>
      <c r="U226">
        <v>1.8103307396134425</v>
      </c>
      <c r="AN226" s="7"/>
    </row>
    <row r="227" spans="1:40">
      <c r="A227">
        <v>1.464781723745219</v>
      </c>
      <c r="B227">
        <v>0.26854072971594001</v>
      </c>
      <c r="C227">
        <v>0.36184139091931122</v>
      </c>
      <c r="D227">
        <v>-0.21432791046667715</v>
      </c>
      <c r="E227">
        <v>2.1113911406186382E-2</v>
      </c>
      <c r="F227">
        <v>2.8507171360989042E-2</v>
      </c>
      <c r="G227">
        <v>0.92077801071063492</v>
      </c>
      <c r="H227">
        <v>0.64608214485036719</v>
      </c>
      <c r="I227">
        <v>0.11660607610327224</v>
      </c>
      <c r="J227">
        <v>4.3123092219738271E-2</v>
      </c>
      <c r="L227">
        <v>1.5768908942056568</v>
      </c>
      <c r="M227">
        <v>3.3576646853266041</v>
      </c>
      <c r="N227">
        <v>0.91031931138536648</v>
      </c>
      <c r="P227">
        <v>1.5237383450936911E-12</v>
      </c>
      <c r="R227">
        <v>5.1389324067002251</v>
      </c>
      <c r="S227">
        <v>5.1437331426071831</v>
      </c>
      <c r="T227">
        <v>1</v>
      </c>
      <c r="U227">
        <v>1.8103307396134425</v>
      </c>
      <c r="AN227" s="7"/>
    </row>
    <row r="228" spans="1:40">
      <c r="A228">
        <v>1.4482598555885253</v>
      </c>
      <c r="B228">
        <v>0.24944771911241845</v>
      </c>
      <c r="C228">
        <v>0.35476859624837709</v>
      </c>
      <c r="D228">
        <v>-0.18677856582592064</v>
      </c>
      <c r="E228">
        <v>-0.46373913525171906</v>
      </c>
      <c r="F228">
        <v>-3.6813620134405735E-2</v>
      </c>
      <c r="G228">
        <v>2.0460573740234977E-2</v>
      </c>
      <c r="H228">
        <v>6.2954472588943197E-2</v>
      </c>
      <c r="I228">
        <v>0.26124648107329967</v>
      </c>
      <c r="J228">
        <v>0.69701129495209491</v>
      </c>
      <c r="L228">
        <v>1.5768914311256386</v>
      </c>
      <c r="M228">
        <v>3.3576647446728622</v>
      </c>
      <c r="N228">
        <v>0.91031907478603991</v>
      </c>
      <c r="P228">
        <v>1.6698034029543844E-12</v>
      </c>
      <c r="R228">
        <v>5.1389324067002251</v>
      </c>
      <c r="S228">
        <v>5.1437331426071831</v>
      </c>
      <c r="T228">
        <v>1</v>
      </c>
      <c r="U228">
        <v>1.8103307396134425</v>
      </c>
      <c r="AN228" s="7" t="s">
        <v>70</v>
      </c>
    </row>
    <row r="229" spans="1:40">
      <c r="A229">
        <v>1.4568018589823679</v>
      </c>
      <c r="B229">
        <v>0.25433651872994512</v>
      </c>
      <c r="C229">
        <v>0.37080302520011277</v>
      </c>
      <c r="D229">
        <v>-0.3688473881084674</v>
      </c>
      <c r="E229">
        <v>0.48959165745567151</v>
      </c>
      <c r="F229">
        <v>-0.5875622583124358</v>
      </c>
      <c r="G229">
        <v>0.31738322012196385</v>
      </c>
      <c r="H229">
        <v>0.34605962383253203</v>
      </c>
      <c r="I229">
        <v>0.33844128262157858</v>
      </c>
      <c r="J229">
        <v>9.9513845180220897E-2</v>
      </c>
      <c r="L229">
        <v>1.576891301670881</v>
      </c>
      <c r="M229">
        <v>3.3576645876011479</v>
      </c>
      <c r="N229">
        <v>0.91031914069558595</v>
      </c>
      <c r="P229">
        <v>1.9135175117578759E-12</v>
      </c>
      <c r="R229">
        <v>5.1389324067002251</v>
      </c>
      <c r="S229">
        <v>5.1437331426071831</v>
      </c>
      <c r="T229">
        <v>1</v>
      </c>
      <c r="U229">
        <v>1.8103307396134425</v>
      </c>
      <c r="AN229" s="7"/>
    </row>
    <row r="230" spans="1:40">
      <c r="A230">
        <v>1.4534902760196797</v>
      </c>
      <c r="B230">
        <v>0.2498399839109525</v>
      </c>
      <c r="C230">
        <v>0.37372390325157373</v>
      </c>
      <c r="D230">
        <v>-0.37039851915633909</v>
      </c>
      <c r="E230">
        <v>-4.91794925154866E-3</v>
      </c>
      <c r="F230">
        <v>-0.109080819066569</v>
      </c>
      <c r="G230">
        <v>0.33286593459446862</v>
      </c>
      <c r="H230">
        <v>0.51477712292632594</v>
      </c>
      <c r="I230">
        <v>0.17879980722523345</v>
      </c>
      <c r="J230">
        <v>0.67271731492993281</v>
      </c>
      <c r="L230">
        <v>1.5768913576284032</v>
      </c>
      <c r="M230">
        <v>3.3576646161573622</v>
      </c>
      <c r="N230">
        <v>0.91031911239677432</v>
      </c>
      <c r="P230">
        <v>1.8920989748512087E-12</v>
      </c>
      <c r="R230">
        <v>5.1389324067002251</v>
      </c>
      <c r="S230">
        <v>5.1437331426071831</v>
      </c>
      <c r="T230">
        <v>1</v>
      </c>
      <c r="U230">
        <v>1.8103307396134425</v>
      </c>
      <c r="AN230" s="7"/>
    </row>
    <row r="231" spans="1:40">
      <c r="A231">
        <v>1.4860202633585837</v>
      </c>
      <c r="B231">
        <v>0.34226538664658113</v>
      </c>
      <c r="C231">
        <v>0.30442566099317198</v>
      </c>
      <c r="D231">
        <v>0.14691296707324436</v>
      </c>
      <c r="E231">
        <v>0.5278312538750608</v>
      </c>
      <c r="F231">
        <v>0.27285060104501924</v>
      </c>
      <c r="G231">
        <v>0.48967993784651792</v>
      </c>
      <c r="H231">
        <v>7.5436576930317089E-3</v>
      </c>
      <c r="I231">
        <v>0.8908610036908422</v>
      </c>
      <c r="J231">
        <v>0.2395538640207609</v>
      </c>
      <c r="L231">
        <v>1.5768900493572557</v>
      </c>
      <c r="M231">
        <v>3.3576642273956754</v>
      </c>
      <c r="N231">
        <v>2.3716014289441842</v>
      </c>
      <c r="P231">
        <v>6.2728623342171121E-12</v>
      </c>
      <c r="R231">
        <v>4.7110045979904696</v>
      </c>
      <c r="S231">
        <v>4.7138939593144054</v>
      </c>
      <c r="T231">
        <v>1</v>
      </c>
      <c r="U231">
        <v>1.7634366772764949</v>
      </c>
      <c r="AN231" s="7"/>
    </row>
    <row r="232" spans="1:40">
      <c r="A232">
        <v>1.481753192681565</v>
      </c>
      <c r="B232">
        <v>0.33669216500297144</v>
      </c>
      <c r="C232">
        <v>0.29853603785270499</v>
      </c>
      <c r="D232">
        <v>0.65410947866423319</v>
      </c>
      <c r="E232">
        <v>0.58551247308736076</v>
      </c>
      <c r="F232">
        <v>-2.6582757551400788E-2</v>
      </c>
      <c r="G232">
        <v>0.18850084332221265</v>
      </c>
      <c r="H232">
        <v>7.5237065017747622E-3</v>
      </c>
      <c r="I232">
        <v>0.99635793792978267</v>
      </c>
      <c r="J232">
        <v>0.30330093077463166</v>
      </c>
      <c r="L232">
        <v>1.5768900193594593</v>
      </c>
      <c r="M232">
        <v>3.3576642859670938</v>
      </c>
      <c r="N232">
        <v>2.3716014704565178</v>
      </c>
      <c r="P232">
        <v>5.9860505393100402E-12</v>
      </c>
      <c r="R232">
        <v>4.7110045979904696</v>
      </c>
      <c r="S232">
        <v>4.7138939593144054</v>
      </c>
      <c r="T232">
        <v>1</v>
      </c>
      <c r="U232">
        <v>1.7634366772764949</v>
      </c>
      <c r="AN232" s="7" t="s">
        <v>71</v>
      </c>
    </row>
    <row r="233" spans="1:40">
      <c r="A233">
        <v>1.4793827687224861</v>
      </c>
      <c r="B233">
        <v>0.33031718592750936</v>
      </c>
      <c r="C233">
        <v>0.29784904875804152</v>
      </c>
      <c r="D233">
        <v>0.68174308344029821</v>
      </c>
      <c r="E233">
        <v>0.1006548267966418</v>
      </c>
      <c r="F233">
        <v>-0.24410085367964296</v>
      </c>
      <c r="G233">
        <v>0.30115968523616382</v>
      </c>
      <c r="H233">
        <v>0</v>
      </c>
      <c r="I233">
        <v>0.73176690159398261</v>
      </c>
      <c r="J233">
        <v>0.82874254985198181</v>
      </c>
      <c r="L233">
        <v>1.5768910730733634</v>
      </c>
      <c r="M233">
        <v>3.3576655803551994</v>
      </c>
      <c r="N233">
        <v>2.3716033426906882</v>
      </c>
      <c r="P233">
        <v>1.7958467708358514E-13</v>
      </c>
      <c r="R233">
        <v>4.7110045979904696</v>
      </c>
      <c r="S233">
        <v>4.7138939593144054</v>
      </c>
      <c r="T233">
        <v>1</v>
      </c>
      <c r="U233">
        <v>1.7634366772764949</v>
      </c>
      <c r="AN233" s="7"/>
    </row>
    <row r="234" spans="1:40">
      <c r="A234">
        <v>1.4823689385929186</v>
      </c>
      <c r="B234">
        <v>0.33276816492003325</v>
      </c>
      <c r="C234">
        <v>0.30949389649658821</v>
      </c>
      <c r="D234">
        <v>0.57637666088749195</v>
      </c>
      <c r="E234">
        <v>0.21524350064863801</v>
      </c>
      <c r="F234">
        <v>-0.61385895551934055</v>
      </c>
      <c r="G234">
        <v>0.19897091434048647</v>
      </c>
      <c r="H234">
        <v>0.15166316495033019</v>
      </c>
      <c r="I234">
        <v>0.43358379165251787</v>
      </c>
      <c r="J234">
        <v>0.48048181569898568</v>
      </c>
      <c r="L234">
        <v>1.576889903790655</v>
      </c>
      <c r="M234">
        <v>3.3576641832796761</v>
      </c>
      <c r="N234">
        <v>2.3716016612794917</v>
      </c>
      <c r="P234">
        <v>5.8812651018000323E-12</v>
      </c>
      <c r="R234">
        <v>4.7110045979904696</v>
      </c>
      <c r="S234">
        <v>4.7138939593144054</v>
      </c>
      <c r="T234">
        <v>1</v>
      </c>
      <c r="U234">
        <v>1.7634366772764949</v>
      </c>
      <c r="AN234" s="7"/>
    </row>
    <row r="235" spans="1:40">
      <c r="A235">
        <v>1.4873377454990284</v>
      </c>
      <c r="B235">
        <v>0.33721725658746055</v>
      </c>
      <c r="C235">
        <v>0.31909746390680011</v>
      </c>
      <c r="D235">
        <v>-3.7028781653344119E-2</v>
      </c>
      <c r="E235">
        <v>0.22155319809422389</v>
      </c>
      <c r="F235">
        <v>-0.45450557002996095</v>
      </c>
      <c r="G235">
        <v>0.41362912660298523</v>
      </c>
      <c r="H235">
        <v>3.9389118913584223E-2</v>
      </c>
      <c r="I235">
        <v>0.15671350468969275</v>
      </c>
      <c r="J235">
        <v>0.40422948888463844</v>
      </c>
      <c r="L235">
        <v>1.5768898816703867</v>
      </c>
      <c r="M235">
        <v>3.3576642261043346</v>
      </c>
      <c r="N235">
        <v>2.3716016792918824</v>
      </c>
      <c r="P235">
        <v>5.7247669912070357E-12</v>
      </c>
      <c r="R235">
        <v>4.7110045979904696</v>
      </c>
      <c r="S235">
        <v>4.7138939593144054</v>
      </c>
      <c r="T235">
        <v>1</v>
      </c>
      <c r="U235">
        <v>1.7634366772764949</v>
      </c>
      <c r="AN235" s="7"/>
    </row>
    <row r="236" spans="1:40">
      <c r="A236">
        <v>1.4869371454749807</v>
      </c>
      <c r="B236">
        <v>0.34889545572138919</v>
      </c>
      <c r="C236">
        <v>0.32694326833595216</v>
      </c>
      <c r="D236">
        <v>-8.3711083342235312E-3</v>
      </c>
      <c r="E236">
        <v>-0.1884792703725677</v>
      </c>
      <c r="F236">
        <v>6.9009716427528706E-2</v>
      </c>
      <c r="G236">
        <v>0.37235382143295687</v>
      </c>
      <c r="H236">
        <v>0.82940760265161484</v>
      </c>
      <c r="I236">
        <v>0.35160576681280398</v>
      </c>
      <c r="J236">
        <v>0.15952264209916053</v>
      </c>
      <c r="L236">
        <v>1.5768897853809467</v>
      </c>
      <c r="M236">
        <v>3.3576641662433317</v>
      </c>
      <c r="N236">
        <v>2.3716019025730355</v>
      </c>
      <c r="P236">
        <v>5.474523215341614E-12</v>
      </c>
      <c r="R236">
        <v>4.7110045979904696</v>
      </c>
      <c r="S236">
        <v>4.7138939593144054</v>
      </c>
      <c r="T236">
        <v>1</v>
      </c>
      <c r="U236">
        <v>1.7634366772764949</v>
      </c>
      <c r="AN236" s="7" t="s">
        <v>72</v>
      </c>
    </row>
    <row r="237" spans="1:40">
      <c r="A237">
        <v>1.4882806352875426</v>
      </c>
      <c r="B237">
        <v>0.35116244145749742</v>
      </c>
      <c r="C237">
        <v>0.31119041748465509</v>
      </c>
      <c r="D237">
        <v>0.42897116836417282</v>
      </c>
      <c r="E237">
        <v>3.5479050656170813E-3</v>
      </c>
      <c r="F237">
        <v>0.58616958964761012</v>
      </c>
      <c r="G237">
        <v>0.8415088244788268</v>
      </c>
      <c r="H237">
        <v>0.96593373086551793</v>
      </c>
      <c r="I237">
        <v>0.86426671463083504</v>
      </c>
      <c r="J237">
        <v>0.13827701931944594</v>
      </c>
      <c r="L237">
        <v>1.5768899609205795</v>
      </c>
      <c r="M237">
        <v>3.3576643247240017</v>
      </c>
      <c r="N237">
        <v>2.3716015314717018</v>
      </c>
      <c r="P237">
        <v>5.7512153763986307E-12</v>
      </c>
      <c r="R237">
        <v>4.7110045979904696</v>
      </c>
      <c r="S237">
        <v>4.7138939593144054</v>
      </c>
      <c r="T237">
        <v>1</v>
      </c>
      <c r="U237">
        <v>1.7634366772764949</v>
      </c>
      <c r="AN237" s="7"/>
    </row>
    <row r="238" spans="1:40">
      <c r="A238">
        <v>1.4812155318533173</v>
      </c>
      <c r="B238">
        <v>0.33612009103170792</v>
      </c>
      <c r="C238">
        <v>0.29491124780304834</v>
      </c>
      <c r="D238">
        <v>0.82235837525587829</v>
      </c>
      <c r="E238">
        <v>0.23561196081005428</v>
      </c>
      <c r="F238">
        <v>-0.25759305255597803</v>
      </c>
      <c r="G238">
        <v>0.27230467158385946</v>
      </c>
      <c r="H238">
        <v>8.608132410502535E-2</v>
      </c>
      <c r="I238">
        <v>0.84611267279190361</v>
      </c>
      <c r="J238">
        <v>0.1691507721382936</v>
      </c>
      <c r="L238">
        <v>1.5768897745015322</v>
      </c>
      <c r="M238">
        <v>3.3576639213075419</v>
      </c>
      <c r="N238">
        <v>2.3716025642884433</v>
      </c>
      <c r="P238">
        <v>5.1004577470617751E-12</v>
      </c>
      <c r="R238">
        <v>4.7110045979904696</v>
      </c>
      <c r="S238">
        <v>4.7138939593144054</v>
      </c>
      <c r="T238">
        <v>1</v>
      </c>
      <c r="U238">
        <v>1.7634366772764949</v>
      </c>
      <c r="AN238" s="7"/>
    </row>
    <row r="239" spans="1:40">
      <c r="A239">
        <v>1.491857769934184</v>
      </c>
      <c r="B239">
        <v>0.34879563971708105</v>
      </c>
      <c r="C239">
        <v>0.32114939589040209</v>
      </c>
      <c r="D239">
        <v>4.8502286495516606E-2</v>
      </c>
      <c r="E239">
        <v>-0.34503929133472927</v>
      </c>
      <c r="F239">
        <v>0.20354950696556626</v>
      </c>
      <c r="G239">
        <v>0.92831842353514971</v>
      </c>
      <c r="H239">
        <v>0.757021490987421</v>
      </c>
      <c r="I239">
        <v>7.7399958998283183E-2</v>
      </c>
      <c r="J239">
        <v>0.18170578207339841</v>
      </c>
      <c r="L239">
        <v>1.576890011574108</v>
      </c>
      <c r="M239">
        <v>3.3576640675778791</v>
      </c>
      <c r="N239">
        <v>2.3716017671559508</v>
      </c>
      <c r="P239">
        <v>5.7885883558778101E-12</v>
      </c>
      <c r="R239">
        <v>4.7110045979904696</v>
      </c>
      <c r="S239">
        <v>4.7138939593144054</v>
      </c>
      <c r="T239">
        <v>1</v>
      </c>
      <c r="U239">
        <v>1.7634366772764949</v>
      </c>
      <c r="AN239" s="7"/>
    </row>
    <row r="240" spans="1:40">
      <c r="A240">
        <v>1.4937242331489862</v>
      </c>
      <c r="B240">
        <v>0.34713271871540446</v>
      </c>
      <c r="C240">
        <v>0.34199173927079507</v>
      </c>
      <c r="D240">
        <v>-0.68856105214808583</v>
      </c>
      <c r="E240">
        <v>0.55599139995143554</v>
      </c>
      <c r="F240">
        <v>-0.44023613319363331</v>
      </c>
      <c r="G240">
        <v>0.56569087495404835</v>
      </c>
      <c r="H240">
        <v>0.46036517608153366</v>
      </c>
      <c r="I240">
        <v>0.10994867508725387</v>
      </c>
      <c r="J240">
        <v>9.9398974472766244E-2</v>
      </c>
      <c r="L240">
        <v>1.5768896941643706</v>
      </c>
      <c r="M240">
        <v>3.3576641287619484</v>
      </c>
      <c r="N240">
        <v>2.371602248515448</v>
      </c>
      <c r="P240">
        <v>5.0132267424432566E-12</v>
      </c>
      <c r="R240">
        <v>4.7110045979904696</v>
      </c>
      <c r="S240">
        <v>4.7138939593144054</v>
      </c>
      <c r="T240">
        <v>1</v>
      </c>
      <c r="U240">
        <v>1.7634366772764949</v>
      </c>
      <c r="AN240" s="7" t="s">
        <v>73</v>
      </c>
    </row>
    <row r="241" spans="1:40">
      <c r="A241">
        <v>1.4084471316664704</v>
      </c>
      <c r="B241">
        <v>0.28993048231055862</v>
      </c>
      <c r="C241">
        <v>0.22597877578599093</v>
      </c>
      <c r="D241">
        <v>0.2283308544511439</v>
      </c>
      <c r="E241">
        <v>0.10885777423812561</v>
      </c>
      <c r="F241">
        <v>-0.31343093871222316</v>
      </c>
      <c r="G241">
        <v>0.67287443914283418</v>
      </c>
      <c r="H241">
        <v>0.71566827542126588</v>
      </c>
      <c r="I241">
        <v>0.17873391457331864</v>
      </c>
      <c r="J241">
        <v>0</v>
      </c>
      <c r="L241">
        <v>1.5768905212961599</v>
      </c>
      <c r="M241">
        <v>4.0809201398982156</v>
      </c>
      <c r="N241">
        <v>0.91031918852409721</v>
      </c>
      <c r="P241">
        <v>6.038412928109523E-12</v>
      </c>
      <c r="R241">
        <v>6.8149974825321378</v>
      </c>
      <c r="S241">
        <v>6.8287657968734292</v>
      </c>
      <c r="T241">
        <v>1</v>
      </c>
      <c r="U241">
        <v>1.7146905315416174</v>
      </c>
      <c r="AN241" s="7"/>
    </row>
    <row r="242" spans="1:40">
      <c r="A242">
        <v>1.408216194636752</v>
      </c>
      <c r="B242">
        <v>0.27760620961589089</v>
      </c>
      <c r="C242">
        <v>0.26001703138488746</v>
      </c>
      <c r="D242">
        <v>-0.29962580864836258</v>
      </c>
      <c r="E242">
        <v>0.43264442601091968</v>
      </c>
      <c r="F242">
        <v>0.43797007640904001</v>
      </c>
      <c r="G242">
        <v>0.21570883403396443</v>
      </c>
      <c r="H242">
        <v>0.69330091165670005</v>
      </c>
      <c r="I242">
        <v>0.12299696497196336</v>
      </c>
      <c r="J242">
        <v>0.65808494240245197</v>
      </c>
      <c r="L242">
        <v>1.5768918742178795</v>
      </c>
      <c r="M242">
        <v>4.0809210685246384</v>
      </c>
      <c r="N242">
        <v>0.91031928855279409</v>
      </c>
      <c r="P242">
        <v>3.6046686081967341E-12</v>
      </c>
      <c r="R242">
        <v>6.8149974825321378</v>
      </c>
      <c r="S242">
        <v>6.8287657968734292</v>
      </c>
      <c r="T242">
        <v>1</v>
      </c>
      <c r="U242">
        <v>1.7146905315416174</v>
      </c>
      <c r="AN242" s="7"/>
    </row>
    <row r="243" spans="1:40">
      <c r="A243">
        <v>1.4064206683325662</v>
      </c>
      <c r="B243">
        <v>0.25529006593852677</v>
      </c>
      <c r="C243">
        <v>0.26982063595772354</v>
      </c>
      <c r="D243">
        <v>0.44973864659915813</v>
      </c>
      <c r="E243">
        <v>-0.17211992839392878</v>
      </c>
      <c r="F243">
        <v>-0.8423943108267592</v>
      </c>
      <c r="G243">
        <v>0.15869436525332026</v>
      </c>
      <c r="H243">
        <v>0.78078960512415985</v>
      </c>
      <c r="I243">
        <v>0.1043091017817102</v>
      </c>
      <c r="J243">
        <v>0.99313089847292935</v>
      </c>
      <c r="L243">
        <v>1.5768916680463219</v>
      </c>
      <c r="M243">
        <v>4.0809211506925047</v>
      </c>
      <c r="N243">
        <v>0.91031974094710444</v>
      </c>
      <c r="P243">
        <v>3.5068157931205733E-12</v>
      </c>
      <c r="R243">
        <v>6.8149974825321378</v>
      </c>
      <c r="S243">
        <v>6.8287657968734292</v>
      </c>
      <c r="T243">
        <v>1</v>
      </c>
      <c r="U243">
        <v>1.7146905315416174</v>
      </c>
      <c r="AN243" s="7"/>
    </row>
    <row r="244" spans="1:40">
      <c r="A244">
        <v>1.4057166972170636</v>
      </c>
      <c r="B244">
        <v>0.28559384754660672</v>
      </c>
      <c r="C244">
        <v>0.26222776995713737</v>
      </c>
      <c r="D244">
        <v>-0.75389606851646263</v>
      </c>
      <c r="E244">
        <v>0.12313200737667945</v>
      </c>
      <c r="F244">
        <v>0.35306098383362278</v>
      </c>
      <c r="G244">
        <v>0.23962960230062655</v>
      </c>
      <c r="H244">
        <v>0.95728540745213264</v>
      </c>
      <c r="I244">
        <v>0.15911842757889752</v>
      </c>
      <c r="J244">
        <v>0.23124894105640767</v>
      </c>
      <c r="L244">
        <v>1.5768915636895615</v>
      </c>
      <c r="M244">
        <v>4.0809212800237953</v>
      </c>
      <c r="N244">
        <v>0.91031984313898218</v>
      </c>
      <c r="P244">
        <v>3.1629635949633305E-12</v>
      </c>
      <c r="R244">
        <v>6.8149974825321378</v>
      </c>
      <c r="S244">
        <v>6.8287657968734292</v>
      </c>
      <c r="T244">
        <v>1</v>
      </c>
      <c r="U244">
        <v>1.7146905315416174</v>
      </c>
      <c r="AN244" s="7" t="s">
        <v>74</v>
      </c>
    </row>
    <row r="245" spans="1:40">
      <c r="A245">
        <v>1.4029666841495505</v>
      </c>
      <c r="B245">
        <v>0.28742781381675886</v>
      </c>
      <c r="C245">
        <v>0.22178629063302183</v>
      </c>
      <c r="D245">
        <v>-0.18836883870243015</v>
      </c>
      <c r="E245">
        <v>-0.25144390016373436</v>
      </c>
      <c r="F245">
        <v>0.42979694636202231</v>
      </c>
      <c r="G245">
        <v>0.61319049958191485</v>
      </c>
      <c r="H245">
        <v>0.48280262390541612</v>
      </c>
      <c r="I245">
        <v>0.59625793076930345</v>
      </c>
      <c r="J245">
        <v>0.64529171536219121</v>
      </c>
      <c r="L245">
        <v>1.5768916134043727</v>
      </c>
      <c r="M245">
        <v>4.0809212456625055</v>
      </c>
      <c r="N245">
        <v>0.9103197629541746</v>
      </c>
      <c r="P245">
        <v>3.1893727627676617E-12</v>
      </c>
      <c r="R245">
        <v>6.8149974825321378</v>
      </c>
      <c r="S245">
        <v>6.8287657968734292</v>
      </c>
      <c r="T245">
        <v>1</v>
      </c>
      <c r="U245">
        <v>1.7146905315416174</v>
      </c>
      <c r="AN245" s="7"/>
    </row>
    <row r="246" spans="1:40">
      <c r="A246">
        <v>1.407086981035093</v>
      </c>
      <c r="B246">
        <v>0.27916576873220089</v>
      </c>
      <c r="C246">
        <v>0.24229176571046673</v>
      </c>
      <c r="D246">
        <v>0.22786303148000359</v>
      </c>
      <c r="E246">
        <v>0.28969994271593397</v>
      </c>
      <c r="F246">
        <v>-0.17477827901955681</v>
      </c>
      <c r="G246">
        <v>1.895152263805357E-2</v>
      </c>
      <c r="H246">
        <v>0.43136883824803074</v>
      </c>
      <c r="I246">
        <v>7.3672917202852725E-2</v>
      </c>
      <c r="J246">
        <v>0.17149537278728111</v>
      </c>
      <c r="L246">
        <v>1.5768915533232684</v>
      </c>
      <c r="M246">
        <v>4.0809212254248797</v>
      </c>
      <c r="N246">
        <v>0.91031984493227658</v>
      </c>
      <c r="P246">
        <v>3.2936506458403379E-12</v>
      </c>
      <c r="R246">
        <v>6.8149974825321378</v>
      </c>
      <c r="S246">
        <v>6.8287657968734292</v>
      </c>
      <c r="T246">
        <v>1</v>
      </c>
      <c r="U246">
        <v>1.7146905315416174</v>
      </c>
      <c r="AN246" s="7"/>
    </row>
    <row r="247" spans="1:40">
      <c r="A247">
        <v>1.4063057812237947</v>
      </c>
      <c r="B247">
        <v>0.28178400997840808</v>
      </c>
      <c r="C247">
        <v>0.26653960339519633</v>
      </c>
      <c r="D247">
        <v>-0.55867669976106615</v>
      </c>
      <c r="E247">
        <v>0.25692309135222685</v>
      </c>
      <c r="F247">
        <v>-0.12393481757553888</v>
      </c>
      <c r="G247">
        <v>0.1376718610162963</v>
      </c>
      <c r="H247">
        <v>0.98127304048892494</v>
      </c>
      <c r="I247">
        <v>0.12897888703308982</v>
      </c>
      <c r="J247">
        <v>4.6179803011717931E-2</v>
      </c>
      <c r="L247">
        <v>1.5768916107729773</v>
      </c>
      <c r="M247">
        <v>4.0809211066971454</v>
      </c>
      <c r="N247">
        <v>0.91031977274801146</v>
      </c>
      <c r="P247">
        <v>3.5885829182932779E-12</v>
      </c>
      <c r="R247">
        <v>6.8149974825321378</v>
      </c>
      <c r="S247">
        <v>6.8287657968734292</v>
      </c>
      <c r="T247">
        <v>1</v>
      </c>
      <c r="U247">
        <v>1.7146905315416174</v>
      </c>
      <c r="AN247" s="7"/>
    </row>
    <row r="248" spans="1:40">
      <c r="A248">
        <v>1.4073080032329857</v>
      </c>
      <c r="B248">
        <v>0.29528440958207608</v>
      </c>
      <c r="C248">
        <v>0.22112452630324705</v>
      </c>
      <c r="D248">
        <v>-0.2051159078326536</v>
      </c>
      <c r="E248">
        <v>-0.17206691387186165</v>
      </c>
      <c r="F248">
        <v>0.63648790226182717</v>
      </c>
      <c r="G248">
        <v>0.76745200588458717</v>
      </c>
      <c r="H248">
        <v>0.58719466605794457</v>
      </c>
      <c r="I248">
        <v>0.16453761315349119</v>
      </c>
      <c r="J248">
        <v>0.39801481866156241</v>
      </c>
      <c r="L248">
        <v>1.5768913947661647</v>
      </c>
      <c r="M248">
        <v>4.0809212424311383</v>
      </c>
      <c r="N248">
        <v>0.9103199535433778</v>
      </c>
      <c r="P248">
        <v>3.242634582253023E-12</v>
      </c>
      <c r="R248">
        <v>6.8149974825321378</v>
      </c>
      <c r="S248">
        <v>6.8287657968734292</v>
      </c>
      <c r="T248">
        <v>1</v>
      </c>
      <c r="U248">
        <v>1.7146905315416174</v>
      </c>
      <c r="AN248" s="7" t="s">
        <v>75</v>
      </c>
    </row>
    <row r="249" spans="1:40">
      <c r="A249">
        <v>1.4055127107115775</v>
      </c>
      <c r="B249">
        <v>0.28310141862866778</v>
      </c>
      <c r="C249">
        <v>0.25580287983430267</v>
      </c>
      <c r="D249">
        <v>-0.3202775159412844</v>
      </c>
      <c r="E249">
        <v>7.6272079167351334E-2</v>
      </c>
      <c r="F249">
        <v>0.39579261061859866</v>
      </c>
      <c r="G249">
        <v>3.6593223416714907E-2</v>
      </c>
      <c r="H249">
        <v>0.79864198064079783</v>
      </c>
      <c r="I249">
        <v>6.2081453812069969E-2</v>
      </c>
      <c r="J249">
        <v>0.28766129228913345</v>
      </c>
      <c r="L249">
        <v>1.5768914889076038</v>
      </c>
      <c r="M249">
        <v>4.0809212262968773</v>
      </c>
      <c r="N249">
        <v>0.91031990316414524</v>
      </c>
      <c r="P249">
        <v>3.3080994590953703E-12</v>
      </c>
      <c r="R249">
        <v>6.8149974825321378</v>
      </c>
      <c r="S249">
        <v>6.8287657968734292</v>
      </c>
      <c r="T249">
        <v>1</v>
      </c>
      <c r="U249">
        <v>1.7146905315416174</v>
      </c>
      <c r="AN249" s="7"/>
    </row>
    <row r="250" spans="1:40">
      <c r="A250">
        <v>1.4033262541840013</v>
      </c>
      <c r="B250">
        <v>0.30412951625085177</v>
      </c>
      <c r="C250">
        <v>0.19492555113350213</v>
      </c>
      <c r="D250">
        <v>-2.5994709626451895E-2</v>
      </c>
      <c r="E250">
        <v>3.1971382063105375E-2</v>
      </c>
      <c r="F250">
        <v>0.82694866178625981</v>
      </c>
      <c r="G250">
        <v>0.56054846905793076</v>
      </c>
      <c r="H250">
        <v>0.2465136095580033</v>
      </c>
      <c r="I250">
        <v>0.61449833261670672</v>
      </c>
      <c r="J250">
        <v>9.2675190266683416E-2</v>
      </c>
      <c r="L250">
        <v>1.5768917700897727</v>
      </c>
      <c r="M250">
        <v>4.0809214512215792</v>
      </c>
      <c r="N250">
        <v>0.91031950965844177</v>
      </c>
      <c r="P250">
        <v>2.6046100844068282E-12</v>
      </c>
      <c r="R250">
        <v>6.8149974825321378</v>
      </c>
      <c r="S250">
        <v>6.8287657968734292</v>
      </c>
      <c r="T250">
        <v>1</v>
      </c>
      <c r="U250">
        <v>1.7146905315416174</v>
      </c>
      <c r="AN250" s="7"/>
    </row>
    <row r="251" spans="1:40">
      <c r="A251">
        <v>1.4039494074286274</v>
      </c>
      <c r="B251">
        <v>0.3457920355330551</v>
      </c>
      <c r="C251">
        <v>0.15664553157022074</v>
      </c>
      <c r="D251">
        <v>-4.5654313978549334E-2</v>
      </c>
      <c r="E251">
        <v>-9.0833773640673823E-3</v>
      </c>
      <c r="F251">
        <v>-0.16016285391525734</v>
      </c>
      <c r="G251">
        <v>0.38837915513217186</v>
      </c>
      <c r="H251">
        <v>0.37269485812680259</v>
      </c>
      <c r="I251">
        <v>0.11894952395437544</v>
      </c>
      <c r="J251">
        <v>0.35782470479983447</v>
      </c>
      <c r="L251">
        <v>1.5768900779863784</v>
      </c>
      <c r="M251">
        <v>4.0809209170910119</v>
      </c>
      <c r="N251">
        <v>2.3716025527503977</v>
      </c>
      <c r="P251">
        <v>3.6263550301560775E-12</v>
      </c>
      <c r="R251">
        <v>4.2899702946977838</v>
      </c>
      <c r="S251">
        <v>4.292123906712999</v>
      </c>
      <c r="T251">
        <v>1</v>
      </c>
      <c r="U251">
        <v>1.7361699959781027</v>
      </c>
      <c r="AN251" s="7"/>
    </row>
    <row r="252" spans="1:40">
      <c r="A252">
        <v>1.3972716053214753</v>
      </c>
      <c r="B252">
        <v>0.34951684208330264</v>
      </c>
      <c r="C252">
        <v>0.16483821101221022</v>
      </c>
      <c r="D252">
        <v>-0.42098403249179484</v>
      </c>
      <c r="E252">
        <v>0.17700457137399692</v>
      </c>
      <c r="F252">
        <v>-0.43400492194925389</v>
      </c>
      <c r="G252">
        <v>0.28542749301610609</v>
      </c>
      <c r="H252">
        <v>0.93501686471278322</v>
      </c>
      <c r="I252">
        <v>0.89264515009720757</v>
      </c>
      <c r="J252">
        <v>0.49985240911828754</v>
      </c>
      <c r="L252">
        <v>1.5768900276129476</v>
      </c>
      <c r="M252">
        <v>4.0809209227966656</v>
      </c>
      <c r="N252">
        <v>2.3716027542307256</v>
      </c>
      <c r="P252">
        <v>3.4604673931486611E-12</v>
      </c>
      <c r="R252">
        <v>4.2899702946977838</v>
      </c>
      <c r="S252">
        <v>4.292123906712999</v>
      </c>
      <c r="T252">
        <v>1</v>
      </c>
      <c r="U252">
        <v>1.7361699959781027</v>
      </c>
      <c r="AN252" s="7" t="s">
        <v>76</v>
      </c>
    </row>
    <row r="253" spans="1:40">
      <c r="A253">
        <v>1.4020765129086683</v>
      </c>
      <c r="B253">
        <v>0.35151266333394549</v>
      </c>
      <c r="C253">
        <v>0.14051242051264595</v>
      </c>
      <c r="D253">
        <v>0.23385359317567578</v>
      </c>
      <c r="E253">
        <v>-4.1893034635677846E-2</v>
      </c>
      <c r="F253">
        <v>0.58327379464378049</v>
      </c>
      <c r="G253">
        <v>0.96678329432020726</v>
      </c>
      <c r="H253">
        <v>0.83717617548300538</v>
      </c>
      <c r="I253">
        <v>0.69316772310691543</v>
      </c>
      <c r="J253">
        <v>0.52144420247202783</v>
      </c>
      <c r="L253">
        <v>1.576890027454223</v>
      </c>
      <c r="M253">
        <v>4.0809209134013766</v>
      </c>
      <c r="N253">
        <v>2.3716025952393225</v>
      </c>
      <c r="P253">
        <v>3.6583757688770504E-12</v>
      </c>
      <c r="R253">
        <v>4.2899702946977838</v>
      </c>
      <c r="S253">
        <v>4.292123906712999</v>
      </c>
      <c r="T253">
        <v>1</v>
      </c>
      <c r="U253">
        <v>1.7361699959781027</v>
      </c>
      <c r="AN253" s="7"/>
    </row>
    <row r="254" spans="1:40">
      <c r="A254">
        <v>1.4046890800481568</v>
      </c>
      <c r="B254">
        <v>0.34701850160610503</v>
      </c>
      <c r="C254">
        <v>0.16214717379188373</v>
      </c>
      <c r="D254">
        <v>0.44952841579550562</v>
      </c>
      <c r="E254">
        <v>0.52429510419834535</v>
      </c>
      <c r="F254">
        <v>0.77998095757383423</v>
      </c>
      <c r="G254">
        <v>0.13362415598475985</v>
      </c>
      <c r="H254">
        <v>0.74364854683898041</v>
      </c>
      <c r="I254">
        <v>0.16680202899674096</v>
      </c>
      <c r="J254">
        <v>0.85803887892999708</v>
      </c>
      <c r="L254">
        <v>1.5768902906094584</v>
      </c>
      <c r="M254">
        <v>4.0809209635219128</v>
      </c>
      <c r="N254">
        <v>2.3716024237386311</v>
      </c>
      <c r="P254">
        <v>3.4076959889643967E-12</v>
      </c>
      <c r="R254">
        <v>4.2899702946977838</v>
      </c>
      <c r="S254">
        <v>4.292123906712999</v>
      </c>
      <c r="T254">
        <v>1</v>
      </c>
      <c r="U254">
        <v>1.7361699959781027</v>
      </c>
      <c r="AN254" s="7"/>
    </row>
    <row r="255" spans="1:40">
      <c r="A255">
        <v>1.3995347824367901</v>
      </c>
      <c r="B255">
        <v>0.3434764895980606</v>
      </c>
      <c r="C255">
        <v>0.15780693365327939</v>
      </c>
      <c r="D255">
        <v>2.2095990579879751E-2</v>
      </c>
      <c r="E255">
        <v>0.71007561698064914</v>
      </c>
      <c r="F255">
        <v>-0.18911386370765265</v>
      </c>
      <c r="G255">
        <v>5.5152252589661444E-2</v>
      </c>
      <c r="H255">
        <v>0.41526067623077351</v>
      </c>
      <c r="I255">
        <v>0.88209677044620771</v>
      </c>
      <c r="J255">
        <v>0.5763843488179381</v>
      </c>
      <c r="L255">
        <v>1.5768898532255495</v>
      </c>
      <c r="M255">
        <v>4.0809211072853655</v>
      </c>
      <c r="N255">
        <v>2.3716026502773997</v>
      </c>
      <c r="P255">
        <v>3.2817540732796155E-12</v>
      </c>
      <c r="R255">
        <v>4.2899702946977838</v>
      </c>
      <c r="S255">
        <v>4.292123906712999</v>
      </c>
      <c r="T255">
        <v>1</v>
      </c>
      <c r="U255">
        <v>1.7361699959781027</v>
      </c>
      <c r="AN255" s="7"/>
    </row>
    <row r="256" spans="1:40">
      <c r="A256">
        <v>1.4061852673806803</v>
      </c>
      <c r="B256">
        <v>0.33670211451217397</v>
      </c>
      <c r="C256">
        <v>0.15010045494571764</v>
      </c>
      <c r="D256">
        <v>0.76763623734462227</v>
      </c>
      <c r="E256">
        <v>0.75022369850879778</v>
      </c>
      <c r="F256">
        <v>-3.2328084835452027E-2</v>
      </c>
      <c r="G256">
        <v>0.50993109436846507</v>
      </c>
      <c r="H256">
        <v>0.31566805229063644</v>
      </c>
      <c r="I256">
        <v>0.51144499846692182</v>
      </c>
      <c r="J256">
        <v>0.85263579726506988</v>
      </c>
      <c r="L256">
        <v>1.5768900333279472</v>
      </c>
      <c r="M256">
        <v>4.0809209018386783</v>
      </c>
      <c r="N256">
        <v>2.3716026601964093</v>
      </c>
      <c r="P256">
        <v>3.6138161697222564E-12</v>
      </c>
      <c r="R256">
        <v>4.2899702946977838</v>
      </c>
      <c r="S256">
        <v>4.292123906712999</v>
      </c>
      <c r="T256">
        <v>1</v>
      </c>
      <c r="U256">
        <v>1.7361699959781027</v>
      </c>
      <c r="AN256" s="7" t="s">
        <v>77</v>
      </c>
    </row>
    <row r="257" spans="1:40">
      <c r="A257">
        <v>1.4003947372721481</v>
      </c>
      <c r="B257">
        <v>0.35122038971623548</v>
      </c>
      <c r="C257">
        <v>0.16404765942185104</v>
      </c>
      <c r="D257">
        <v>-0.66251438897037529</v>
      </c>
      <c r="E257">
        <v>-9.9279709751177128E-2</v>
      </c>
      <c r="F257">
        <v>0.55020720508029897</v>
      </c>
      <c r="G257">
        <v>0.18646309944604153</v>
      </c>
      <c r="H257">
        <v>0.48808276136083323</v>
      </c>
      <c r="I257">
        <v>0.27512166159292917</v>
      </c>
      <c r="J257">
        <v>0.76647550061584191</v>
      </c>
      <c r="L257">
        <v>1.5768898515966434</v>
      </c>
      <c r="M257">
        <v>4.0809210917483547</v>
      </c>
      <c r="N257">
        <v>2.3716026275119693</v>
      </c>
      <c r="P257">
        <v>3.3558720921154613E-12</v>
      </c>
      <c r="R257">
        <v>4.2899702946977838</v>
      </c>
      <c r="S257">
        <v>4.292123906712999</v>
      </c>
      <c r="T257">
        <v>1</v>
      </c>
      <c r="U257">
        <v>1.7361699959781027</v>
      </c>
      <c r="AN257" s="7"/>
    </row>
    <row r="258" spans="1:40">
      <c r="A258">
        <v>1.3955077663081539</v>
      </c>
      <c r="B258">
        <v>0.35171684497438627</v>
      </c>
      <c r="C258">
        <v>0.14749685956106887</v>
      </c>
      <c r="D258">
        <v>-0.33314282344610863</v>
      </c>
      <c r="E258">
        <v>-8.5971262199134313E-2</v>
      </c>
      <c r="F258">
        <v>-0.14045646483876065</v>
      </c>
      <c r="G258">
        <v>0.32736603173356033</v>
      </c>
      <c r="H258">
        <v>0.61755983237300571</v>
      </c>
      <c r="I258">
        <v>0.99400148899581697</v>
      </c>
      <c r="J258">
        <v>0.15939846181099199</v>
      </c>
      <c r="L258">
        <v>1.5768901477383199</v>
      </c>
      <c r="M258">
        <v>4.0809209378108173</v>
      </c>
      <c r="N258">
        <v>2.3716025521585675</v>
      </c>
      <c r="P258">
        <v>3.4668752136633794E-12</v>
      </c>
      <c r="R258">
        <v>4.2899702946977838</v>
      </c>
      <c r="S258">
        <v>4.292123906712999</v>
      </c>
      <c r="T258">
        <v>1</v>
      </c>
      <c r="U258">
        <v>1.7361699959781027</v>
      </c>
      <c r="AN258" s="7"/>
    </row>
    <row r="259" spans="1:40">
      <c r="A259">
        <v>1.3965490182668361</v>
      </c>
      <c r="B259">
        <v>0.34856490927939243</v>
      </c>
      <c r="C259">
        <v>0.15550784362405307</v>
      </c>
      <c r="D259">
        <v>-0.59876249079616051</v>
      </c>
      <c r="E259">
        <v>-0.65061091253481584</v>
      </c>
      <c r="F259">
        <v>-0.19741096985428599</v>
      </c>
      <c r="G259">
        <v>0.93905682727237894</v>
      </c>
      <c r="H259">
        <v>1.0013254779033358</v>
      </c>
      <c r="I259">
        <v>0.93227879333443697</v>
      </c>
      <c r="J259">
        <v>0.98283740117960006</v>
      </c>
      <c r="L259">
        <v>1.5768898237599787</v>
      </c>
      <c r="M259">
        <v>4.0809210528446016</v>
      </c>
      <c r="N259">
        <v>2.3716026406348023</v>
      </c>
      <c r="P259">
        <v>3.509535051272169E-12</v>
      </c>
      <c r="R259">
        <v>4.2899702946977838</v>
      </c>
      <c r="S259">
        <v>4.292123906712999</v>
      </c>
      <c r="T259">
        <v>1</v>
      </c>
      <c r="U259">
        <v>1.7361699959781027</v>
      </c>
      <c r="AN259" s="7"/>
    </row>
    <row r="260" spans="1:40">
      <c r="A260">
        <v>1.3973316082271636</v>
      </c>
      <c r="B260">
        <v>0.33632409063804103</v>
      </c>
      <c r="C260">
        <v>0.15108652893598365</v>
      </c>
      <c r="D260">
        <v>6.9843528255366938E-2</v>
      </c>
      <c r="E260">
        <v>-0.14762282960913892</v>
      </c>
      <c r="F260">
        <v>-0.5630933262457446</v>
      </c>
      <c r="G260">
        <v>0.27042971466535165</v>
      </c>
      <c r="H260">
        <v>0.24101261833998552</v>
      </c>
      <c r="I260">
        <v>0.83880670362618959</v>
      </c>
      <c r="J260">
        <v>0.92951027493065386</v>
      </c>
      <c r="L260">
        <v>1.5768903098081613</v>
      </c>
      <c r="M260">
        <v>4.0809210165436625</v>
      </c>
      <c r="N260">
        <v>2.371602446379335</v>
      </c>
      <c r="P260">
        <v>3.187619922273828E-12</v>
      </c>
      <c r="R260">
        <v>4.2899702946977838</v>
      </c>
      <c r="S260">
        <v>4.292123906712999</v>
      </c>
      <c r="T260">
        <v>1</v>
      </c>
      <c r="U260">
        <v>1.7361699959781027</v>
      </c>
      <c r="AN260" s="7" t="s">
        <v>78</v>
      </c>
    </row>
    <row r="261" spans="1:40">
      <c r="A261">
        <v>1.2698077219468189</v>
      </c>
      <c r="B261">
        <v>0.35456457772241895</v>
      </c>
      <c r="C261">
        <v>-9.7824819713097616E-2</v>
      </c>
      <c r="D261">
        <v>5.0971453200588664E-2</v>
      </c>
      <c r="E261">
        <v>0.2685254033615877</v>
      </c>
      <c r="F261">
        <v>0.40726296994851346</v>
      </c>
      <c r="G261">
        <v>9.7367313435260644E-2</v>
      </c>
      <c r="H261">
        <v>0.83221249477003134</v>
      </c>
      <c r="I261">
        <v>0.10787099851609999</v>
      </c>
      <c r="J261">
        <v>0.73611596759279863</v>
      </c>
      <c r="L261">
        <v>1.5768877725886767</v>
      </c>
      <c r="M261">
        <v>0.91031454392239808</v>
      </c>
      <c r="N261">
        <v>2.3716029557664964</v>
      </c>
      <c r="P261">
        <v>2.8078609338146281E-11</v>
      </c>
      <c r="R261">
        <v>13.006562493290525</v>
      </c>
      <c r="S261">
        <v>13.161138632442416</v>
      </c>
      <c r="T261">
        <v>1</v>
      </c>
      <c r="U261">
        <v>1.7417383691774666</v>
      </c>
      <c r="AN261" s="7"/>
    </row>
    <row r="262" spans="1:40">
      <c r="A262">
        <v>1.2495403272616699</v>
      </c>
      <c r="B262">
        <v>0.35135548633655339</v>
      </c>
      <c r="C262">
        <v>-0.16464224632454075</v>
      </c>
      <c r="D262">
        <v>0.1136682321717806</v>
      </c>
      <c r="E262">
        <v>-0.31530482032075913</v>
      </c>
      <c r="F262">
        <v>6.9077821310063806E-2</v>
      </c>
      <c r="G262">
        <v>0.88508037236275805</v>
      </c>
      <c r="H262">
        <v>0.3864966174157734</v>
      </c>
      <c r="I262">
        <v>1.0313933495507732</v>
      </c>
      <c r="J262">
        <v>0.57660281770983501</v>
      </c>
      <c r="L262">
        <v>1.5768877887976325</v>
      </c>
      <c r="M262">
        <v>0.91031450245590917</v>
      </c>
      <c r="N262">
        <v>2.371602935237584</v>
      </c>
      <c r="P262">
        <v>2.8355265493881164E-11</v>
      </c>
      <c r="R262">
        <v>13.006562493290525</v>
      </c>
      <c r="S262">
        <v>13.161138632442416</v>
      </c>
      <c r="T262">
        <v>1</v>
      </c>
      <c r="U262">
        <v>1.7417383691774666</v>
      </c>
      <c r="AN262" s="7"/>
    </row>
    <row r="263" spans="1:40">
      <c r="A263">
        <v>1.2793812752103568</v>
      </c>
      <c r="B263">
        <v>0.35251402764078449</v>
      </c>
      <c r="C263">
        <v>-8.74679316177744E-2</v>
      </c>
      <c r="D263">
        <v>-0.50187493948463058</v>
      </c>
      <c r="E263">
        <v>0.25421781824040413</v>
      </c>
      <c r="F263">
        <v>-0.36769844155463416</v>
      </c>
      <c r="G263">
        <v>0.6603381148935058</v>
      </c>
      <c r="H263">
        <v>0.47817213870754044</v>
      </c>
      <c r="I263">
        <v>0.38270412935541209</v>
      </c>
      <c r="J263">
        <v>0.4635963059365848</v>
      </c>
      <c r="L263">
        <v>1.5768877188721251</v>
      </c>
      <c r="M263">
        <v>0.91031452550182324</v>
      </c>
      <c r="N263">
        <v>2.3716029697599437</v>
      </c>
      <c r="P263">
        <v>2.8558338999361359E-11</v>
      </c>
      <c r="R263">
        <v>13.006562493290525</v>
      </c>
      <c r="S263">
        <v>13.161138632442416</v>
      </c>
      <c r="T263">
        <v>1</v>
      </c>
      <c r="U263">
        <v>1.7417383691774666</v>
      </c>
      <c r="AN263" s="7"/>
    </row>
    <row r="264" spans="1:40">
      <c r="A264">
        <v>1.2367110293801338</v>
      </c>
      <c r="B264">
        <v>0.35434365387416389</v>
      </c>
      <c r="C264">
        <v>-0.17270809600364323</v>
      </c>
      <c r="D264">
        <v>6.7683006340400156E-2</v>
      </c>
      <c r="E264">
        <v>2.8577405524889625E-2</v>
      </c>
      <c r="F264">
        <v>0.63389870339522691</v>
      </c>
      <c r="G264">
        <v>0.38744309125486481</v>
      </c>
      <c r="H264">
        <v>0.69192394070016694</v>
      </c>
      <c r="I264">
        <v>0.98893141636629767</v>
      </c>
      <c r="J264">
        <v>0.96239385775330477</v>
      </c>
      <c r="L264">
        <v>1.5768879520494858</v>
      </c>
      <c r="M264">
        <v>0.91031460232496075</v>
      </c>
      <c r="N264">
        <v>2.3716026910133263</v>
      </c>
      <c r="P264">
        <v>2.6726404481115848E-11</v>
      </c>
      <c r="R264">
        <v>13.006562493290525</v>
      </c>
      <c r="S264">
        <v>13.161138632442416</v>
      </c>
      <c r="T264">
        <v>1</v>
      </c>
      <c r="U264">
        <v>1.7417383691774666</v>
      </c>
      <c r="AN264" s="7" t="s">
        <v>79</v>
      </c>
    </row>
    <row r="265" spans="1:40">
      <c r="A265">
        <v>1.2486128207363856</v>
      </c>
      <c r="B265">
        <v>0.35547457745648009</v>
      </c>
      <c r="C265">
        <v>-0.16112343447255015</v>
      </c>
      <c r="D265">
        <v>-0.23037961523754341</v>
      </c>
      <c r="E265">
        <v>4.8351842441333483E-2</v>
      </c>
      <c r="F265">
        <v>0.20151875761596472</v>
      </c>
      <c r="G265">
        <v>0.64909331939559833</v>
      </c>
      <c r="H265">
        <v>0.2978596258301488</v>
      </c>
      <c r="I265">
        <v>0.88223625940995887</v>
      </c>
      <c r="J265">
        <v>0.36211942024320842</v>
      </c>
      <c r="L265">
        <v>1.5768879507391613</v>
      </c>
      <c r="M265">
        <v>0.91031442359850323</v>
      </c>
      <c r="N265">
        <v>2.3716028850702884</v>
      </c>
      <c r="P265">
        <v>2.8143871445532578E-11</v>
      </c>
      <c r="R265">
        <v>13.006562493290525</v>
      </c>
      <c r="S265">
        <v>13.161138632442416</v>
      </c>
      <c r="T265">
        <v>1</v>
      </c>
      <c r="U265">
        <v>1.7417383691774666</v>
      </c>
      <c r="AN265" s="7"/>
    </row>
    <row r="266" spans="1:40">
      <c r="A266">
        <v>1.2345865483463778</v>
      </c>
      <c r="B266">
        <v>0.35264637073052463</v>
      </c>
      <c r="C266">
        <v>-0.17431817684851458</v>
      </c>
      <c r="D266">
        <v>-0.30021120487154623</v>
      </c>
      <c r="E266">
        <v>-0.66415752784487248</v>
      </c>
      <c r="F266">
        <v>-0.40631593958841494</v>
      </c>
      <c r="G266">
        <v>0.56059935364229274</v>
      </c>
      <c r="H266">
        <v>0.57412694840064638</v>
      </c>
      <c r="I266">
        <v>0.80726633415578475</v>
      </c>
      <c r="J266">
        <v>0.57368426873190126</v>
      </c>
      <c r="L266">
        <v>1.5768878930202002</v>
      </c>
      <c r="M266">
        <v>0.91031438436324574</v>
      </c>
      <c r="N266">
        <v>2.3716030952239286</v>
      </c>
      <c r="P266">
        <v>2.8738518389410654E-11</v>
      </c>
      <c r="R266">
        <v>13.006562493290525</v>
      </c>
      <c r="S266">
        <v>13.161138632442416</v>
      </c>
      <c r="T266">
        <v>1</v>
      </c>
      <c r="U266">
        <v>1.7417383691774666</v>
      </c>
      <c r="AN266" s="7"/>
    </row>
    <row r="267" spans="1:40">
      <c r="A267">
        <v>1.2628040354174437</v>
      </c>
      <c r="B267">
        <v>0.35294494441980184</v>
      </c>
      <c r="C267">
        <v>-0.12592547555014921</v>
      </c>
      <c r="D267">
        <v>-3.3846296988838676E-2</v>
      </c>
      <c r="E267">
        <v>0.37463766847411645</v>
      </c>
      <c r="F267">
        <v>7.8117585670641667E-3</v>
      </c>
      <c r="G267">
        <v>0.4430772595620438</v>
      </c>
      <c r="H267">
        <v>0.45154792724580822</v>
      </c>
      <c r="I267">
        <v>0.71114964407737125</v>
      </c>
      <c r="J267">
        <v>0.42152931054698611</v>
      </c>
      <c r="L267">
        <v>1.5768874141089362</v>
      </c>
      <c r="M267">
        <v>0.91031450753558107</v>
      </c>
      <c r="N267">
        <v>2.3716037422519189</v>
      </c>
      <c r="P267">
        <v>3.0913981452664913E-11</v>
      </c>
      <c r="R267">
        <v>13.006562493290525</v>
      </c>
      <c r="S267">
        <v>13.161138632442416</v>
      </c>
      <c r="T267">
        <v>1</v>
      </c>
      <c r="U267">
        <v>1.7417383691774666</v>
      </c>
      <c r="AN267" s="7"/>
    </row>
    <row r="268" spans="1:40">
      <c r="A268">
        <v>1.2742952291246197</v>
      </c>
      <c r="B268">
        <v>0.35397506824372543</v>
      </c>
      <c r="C268">
        <v>-0.10196725510464286</v>
      </c>
      <c r="D268">
        <v>3.4262983821717538E-2</v>
      </c>
      <c r="E268">
        <v>0.52595057154353952</v>
      </c>
      <c r="F268">
        <v>0.16066675281582926</v>
      </c>
      <c r="G268">
        <v>0.38576579513688863</v>
      </c>
      <c r="H268">
        <v>0.55688187558462332</v>
      </c>
      <c r="I268">
        <v>0.4339710554240841</v>
      </c>
      <c r="J268">
        <v>0.40574231795202104</v>
      </c>
      <c r="L268">
        <v>1.5768886114222258</v>
      </c>
      <c r="M268">
        <v>0.91031448985034291</v>
      </c>
      <c r="N268">
        <v>2.3716023134429736</v>
      </c>
      <c r="P268">
        <v>2.4945632482961211E-11</v>
      </c>
      <c r="R268">
        <v>13.006562493290525</v>
      </c>
      <c r="S268">
        <v>13.161138632442416</v>
      </c>
      <c r="T268">
        <v>1</v>
      </c>
      <c r="U268">
        <v>1.7417383691774666</v>
      </c>
      <c r="AN268" s="7" t="s">
        <v>80</v>
      </c>
    </row>
    <row r="269" spans="1:40">
      <c r="A269">
        <v>1.2891567413935381</v>
      </c>
      <c r="B269">
        <v>0.34828682785988863</v>
      </c>
      <c r="C269">
        <v>-7.6506233825337819E-2</v>
      </c>
      <c r="D269">
        <v>0.47571952249157329</v>
      </c>
      <c r="E269">
        <v>0.16554282321221567</v>
      </c>
      <c r="F269">
        <v>-0.49415399685093808</v>
      </c>
      <c r="G269">
        <v>0.52283302076635396</v>
      </c>
      <c r="H269">
        <v>0.64081527914858694</v>
      </c>
      <c r="I269">
        <v>0.26607303364657559</v>
      </c>
      <c r="J269">
        <v>0.28580437747737314</v>
      </c>
      <c r="L269">
        <v>1.5768882842845302</v>
      </c>
      <c r="M269">
        <v>0.91031453236971616</v>
      </c>
      <c r="N269">
        <v>2.3716023678439435</v>
      </c>
      <c r="P269">
        <v>2.6000874989228055E-11</v>
      </c>
      <c r="R269">
        <v>13.006562493290525</v>
      </c>
      <c r="S269">
        <v>13.161138632442416</v>
      </c>
      <c r="T269">
        <v>1</v>
      </c>
      <c r="U269">
        <v>1.7417383691774666</v>
      </c>
      <c r="AN269" s="7"/>
    </row>
    <row r="270" spans="1:40">
      <c r="A270">
        <v>1.2464413903144511</v>
      </c>
      <c r="B270">
        <v>0.35367149948216642</v>
      </c>
      <c r="C270">
        <v>-0.15240442456411901</v>
      </c>
      <c r="D270">
        <v>-0.4121486881462505</v>
      </c>
      <c r="E270">
        <v>-0.23063676391273791</v>
      </c>
      <c r="F270">
        <v>-0.10485441897639845</v>
      </c>
      <c r="G270">
        <v>0.30136049808694687</v>
      </c>
      <c r="H270">
        <v>0.27599627440286606</v>
      </c>
      <c r="I270">
        <v>0.57482429995697781</v>
      </c>
      <c r="J270">
        <v>0.42572935642213161</v>
      </c>
      <c r="L270">
        <v>1.576887474361248</v>
      </c>
      <c r="M270">
        <v>0.9103144326188588</v>
      </c>
      <c r="N270">
        <v>2.371603996141701</v>
      </c>
      <c r="P270">
        <v>3.151737107463732E-11</v>
      </c>
      <c r="R270">
        <v>13.006562493290525</v>
      </c>
      <c r="S270">
        <v>13.161138632442416</v>
      </c>
      <c r="T270">
        <v>1</v>
      </c>
      <c r="U270">
        <v>1.7417383691774666</v>
      </c>
      <c r="AN270" s="7"/>
    </row>
    <row r="271" spans="1:40">
      <c r="A271">
        <v>1.3852775444734651</v>
      </c>
      <c r="B271">
        <v>0.15679296513027297</v>
      </c>
      <c r="C271">
        <v>1.464736084853552</v>
      </c>
      <c r="D271">
        <v>-0.77159452510816839</v>
      </c>
      <c r="E271">
        <v>-0.44543818147691894</v>
      </c>
      <c r="F271">
        <v>-0.26961454802079882</v>
      </c>
      <c r="G271">
        <v>0</v>
      </c>
      <c r="H271">
        <v>0.577686855165922</v>
      </c>
      <c r="I271">
        <v>0</v>
      </c>
      <c r="J271">
        <v>1.2265989641710191</v>
      </c>
      <c r="L271">
        <v>3.3526950292083026</v>
      </c>
      <c r="M271">
        <v>4.0856996010365014</v>
      </c>
      <c r="N271">
        <v>0.90617532342796658</v>
      </c>
      <c r="P271">
        <v>6.469831081500177E-5</v>
      </c>
      <c r="R271">
        <v>68.524123086152116</v>
      </c>
      <c r="S271">
        <v>79.914011691529879</v>
      </c>
      <c r="T271">
        <v>1</v>
      </c>
      <c r="U271">
        <v>1.7346507905721444</v>
      </c>
      <c r="AN271" s="7"/>
    </row>
    <row r="272" spans="1:40">
      <c r="A272">
        <v>1.378218765051461</v>
      </c>
      <c r="B272">
        <v>0.15257232180798125</v>
      </c>
      <c r="C272">
        <v>1.7561202169426242</v>
      </c>
      <c r="D272">
        <v>-0.52313685811064148</v>
      </c>
      <c r="E272">
        <v>0.53717131405057394</v>
      </c>
      <c r="F272">
        <v>0.36931649014354662</v>
      </c>
      <c r="G272">
        <v>0</v>
      </c>
      <c r="H272">
        <v>0.93787860452366234</v>
      </c>
      <c r="I272">
        <v>0.44130065479060493</v>
      </c>
      <c r="J272">
        <v>0.81385238855856257</v>
      </c>
      <c r="L272">
        <v>3.3576659321535587</v>
      </c>
      <c r="M272">
        <v>4.0809214708572066</v>
      </c>
      <c r="N272">
        <v>0.91031924086171045</v>
      </c>
      <c r="P272">
        <v>1.3239580006800133E-12</v>
      </c>
      <c r="R272">
        <v>68.524123086152116</v>
      </c>
      <c r="S272">
        <v>79.914011691529879</v>
      </c>
      <c r="T272">
        <v>1</v>
      </c>
      <c r="U272">
        <v>1.7346507905721444</v>
      </c>
      <c r="AN272" s="7" t="s">
        <v>81</v>
      </c>
    </row>
    <row r="273" spans="1:40">
      <c r="A273">
        <v>1.3845917120144153</v>
      </c>
      <c r="B273">
        <v>0.16300304662752957</v>
      </c>
      <c r="C273">
        <v>1.5716613707020737</v>
      </c>
      <c r="D273">
        <v>-0.44143895110936543</v>
      </c>
      <c r="E273">
        <v>0.62876342654879802</v>
      </c>
      <c r="F273">
        <v>-0.48420150437357801</v>
      </c>
      <c r="G273">
        <v>0.22198459251264863</v>
      </c>
      <c r="H273">
        <v>1.3472035547898382</v>
      </c>
      <c r="I273">
        <v>0.32833249829352429</v>
      </c>
      <c r="J273">
        <v>0.61776598523725812</v>
      </c>
      <c r="L273">
        <v>3.3576685245286888</v>
      </c>
      <c r="M273">
        <v>4.0809197360192542</v>
      </c>
      <c r="N273">
        <v>0.91032146850352691</v>
      </c>
      <c r="P273">
        <v>2.177836360072599E-11</v>
      </c>
      <c r="R273">
        <v>68.524123086152116</v>
      </c>
      <c r="S273">
        <v>79.914011691529879</v>
      </c>
      <c r="T273">
        <v>1</v>
      </c>
      <c r="U273">
        <v>1.7346507905721444</v>
      </c>
      <c r="AN273" s="7"/>
    </row>
    <row r="274" spans="1:40">
      <c r="A274">
        <v>1.3798117511939503</v>
      </c>
      <c r="B274">
        <v>0.14746016550926963</v>
      </c>
      <c r="C274">
        <v>1.8189100546498413</v>
      </c>
      <c r="D274">
        <v>-0.53343540054441063</v>
      </c>
      <c r="E274">
        <v>-0.25854064166642854</v>
      </c>
      <c r="F274">
        <v>-2.5119322341415607E-2</v>
      </c>
      <c r="G274">
        <v>0.56321093853445225</v>
      </c>
      <c r="H274">
        <v>0.79517518039960133</v>
      </c>
      <c r="I274">
        <v>1.8541468216332448E-7</v>
      </c>
      <c r="J274">
        <v>0.90366108494917063</v>
      </c>
      <c r="L274">
        <v>3.3576676155437819</v>
      </c>
      <c r="M274">
        <v>4.0809174181346162</v>
      </c>
      <c r="N274">
        <v>0.91032084050566031</v>
      </c>
      <c r="P274">
        <v>3.3404015924004488E-11</v>
      </c>
      <c r="R274">
        <v>68.524123086152116</v>
      </c>
      <c r="S274">
        <v>79.914011691529879</v>
      </c>
      <c r="T274">
        <v>1</v>
      </c>
      <c r="U274">
        <v>1.7346507905721444</v>
      </c>
      <c r="AN274" s="7"/>
    </row>
    <row r="275" spans="1:40">
      <c r="A275">
        <v>1.3734311659242553</v>
      </c>
      <c r="B275">
        <v>0.145643303214579</v>
      </c>
      <c r="C275">
        <v>1.8202943657921966</v>
      </c>
      <c r="D275">
        <v>-0.32736338946157184</v>
      </c>
      <c r="E275">
        <v>0.11036530364585495</v>
      </c>
      <c r="F275">
        <v>0.20651241960147573</v>
      </c>
      <c r="G275">
        <v>0</v>
      </c>
      <c r="H275">
        <v>1.214425894267013</v>
      </c>
      <c r="I275">
        <v>0.6202097853003391</v>
      </c>
      <c r="J275">
        <v>0.86354953452086169</v>
      </c>
      <c r="L275">
        <v>3.3576684631278328</v>
      </c>
      <c r="M275">
        <v>4.080919833439089</v>
      </c>
      <c r="N275">
        <v>0.91032131929551374</v>
      </c>
      <c r="P275">
        <v>2.0167728872166204E-11</v>
      </c>
      <c r="R275">
        <v>68.524123086152116</v>
      </c>
      <c r="S275">
        <v>79.914011691529879</v>
      </c>
      <c r="T275">
        <v>1</v>
      </c>
      <c r="U275">
        <v>1.7346507905721444</v>
      </c>
      <c r="AN275" s="7"/>
    </row>
    <row r="276" spans="1:40">
      <c r="A276">
        <v>1.3897451314958145</v>
      </c>
      <c r="B276">
        <v>0.16259941330811198</v>
      </c>
      <c r="C276">
        <v>1.5691929217313727</v>
      </c>
      <c r="D276">
        <v>-0.33539523079913874</v>
      </c>
      <c r="E276">
        <v>1.0350328307485552</v>
      </c>
      <c r="F276">
        <v>-0.52405334040958318</v>
      </c>
      <c r="G276">
        <v>0.24455679727482932</v>
      </c>
      <c r="H276">
        <v>0.78232977560547612</v>
      </c>
      <c r="I276">
        <v>0</v>
      </c>
      <c r="J276">
        <v>0.56321850066296775</v>
      </c>
      <c r="L276">
        <v>3.3576662341804688</v>
      </c>
      <c r="M276">
        <v>4.080921429070516</v>
      </c>
      <c r="N276">
        <v>0.9103192863278271</v>
      </c>
      <c r="P276">
        <v>1.5943416260120466E-12</v>
      </c>
      <c r="R276">
        <v>68.524123086152116</v>
      </c>
      <c r="S276">
        <v>79.914011691529879</v>
      </c>
      <c r="T276">
        <v>1</v>
      </c>
      <c r="U276">
        <v>1.7346507905721444</v>
      </c>
      <c r="AN276" s="7" t="s">
        <v>82</v>
      </c>
    </row>
    <row r="277" spans="1:40">
      <c r="A277">
        <v>1.3852147878685659</v>
      </c>
      <c r="B277">
        <v>0.15387298719664291</v>
      </c>
      <c r="C277">
        <v>1.6639568240207134</v>
      </c>
      <c r="D277">
        <v>-0.69332654535507732</v>
      </c>
      <c r="E277">
        <v>0.76808594933431651</v>
      </c>
      <c r="F277">
        <v>0.14957207301700809</v>
      </c>
      <c r="G277">
        <v>0.20953060925518568</v>
      </c>
      <c r="H277">
        <v>0.40151463371758012</v>
      </c>
      <c r="I277">
        <v>0.15338650361937101</v>
      </c>
      <c r="J277">
        <v>1.0535738549821236</v>
      </c>
      <c r="L277">
        <v>3.3576685467775844</v>
      </c>
      <c r="M277">
        <v>4.0809197659829408</v>
      </c>
      <c r="N277">
        <v>0.91032141940718736</v>
      </c>
      <c r="P277">
        <v>2.147991448112343E-11</v>
      </c>
      <c r="R277">
        <v>68.524123086152116</v>
      </c>
      <c r="S277">
        <v>79.914011691529879</v>
      </c>
      <c r="T277">
        <v>1</v>
      </c>
      <c r="U277">
        <v>1.7346507905721444</v>
      </c>
      <c r="AN277" s="7"/>
    </row>
    <row r="278" spans="1:40">
      <c r="A278">
        <v>1.355052285843338</v>
      </c>
      <c r="B278">
        <v>0.10078346677754035</v>
      </c>
      <c r="C278">
        <v>2.5819996619055567</v>
      </c>
      <c r="D278">
        <v>2.5938222709959449E-2</v>
      </c>
      <c r="E278">
        <v>4.5186185538614809E-2</v>
      </c>
      <c r="F278">
        <v>0.3468744506874325</v>
      </c>
      <c r="G278">
        <v>0</v>
      </c>
      <c r="H278">
        <v>0.95151601040652478</v>
      </c>
      <c r="I278">
        <v>6.6908163771813411E-2</v>
      </c>
      <c r="J278">
        <v>0.96069035913861267</v>
      </c>
      <c r="L278">
        <v>3.3810516628797012</v>
      </c>
      <c r="M278">
        <v>4.0590898409218354</v>
      </c>
      <c r="N278">
        <v>0.92946821330405671</v>
      </c>
      <c r="P278">
        <v>1.3902605129414137E-3</v>
      </c>
      <c r="R278">
        <v>68.524123086152116</v>
      </c>
      <c r="S278">
        <v>79.914011691529879</v>
      </c>
      <c r="T278">
        <v>1</v>
      </c>
      <c r="U278">
        <v>1.7346507905721444</v>
      </c>
      <c r="AN278" s="7"/>
    </row>
    <row r="279" spans="1:40">
      <c r="A279">
        <v>1.3814768211451649</v>
      </c>
      <c r="B279">
        <v>0.1518806059148235</v>
      </c>
      <c r="C279">
        <v>1.8287064640716084</v>
      </c>
      <c r="D279">
        <v>0.30348712705706471</v>
      </c>
      <c r="E279">
        <v>0.7704681997828845</v>
      </c>
      <c r="F279">
        <v>0.54963525685702608</v>
      </c>
      <c r="G279">
        <v>0</v>
      </c>
      <c r="H279">
        <v>0.93777524995456663</v>
      </c>
      <c r="I279">
        <v>0</v>
      </c>
      <c r="J279">
        <v>0.58834340736308688</v>
      </c>
      <c r="L279">
        <v>3.3576689094269443</v>
      </c>
      <c r="M279">
        <v>4.0809193482196457</v>
      </c>
      <c r="N279">
        <v>0.91032153381761693</v>
      </c>
      <c r="P279">
        <v>2.6675499000916912E-11</v>
      </c>
      <c r="R279">
        <v>68.524123086152116</v>
      </c>
      <c r="S279">
        <v>79.914011691529879</v>
      </c>
      <c r="T279">
        <v>1</v>
      </c>
      <c r="U279">
        <v>1.7346507905721444</v>
      </c>
      <c r="AN279" s="7"/>
    </row>
    <row r="280" spans="1:40">
      <c r="A280">
        <v>1.3878729666456848</v>
      </c>
      <c r="B280">
        <v>0.15062610259663547</v>
      </c>
      <c r="C280">
        <v>1.6156050440919101</v>
      </c>
      <c r="D280">
        <v>1.9782082500706961E-2</v>
      </c>
      <c r="E280">
        <v>0.45094194714467373</v>
      </c>
      <c r="F280">
        <v>-1.2172130476163379</v>
      </c>
      <c r="G280">
        <v>0.49063595537055021</v>
      </c>
      <c r="H280">
        <v>0.84123311562995484</v>
      </c>
      <c r="I280">
        <v>0</v>
      </c>
      <c r="J280">
        <v>0.74916201825342588</v>
      </c>
      <c r="L280">
        <v>3.35766505768607</v>
      </c>
      <c r="M280">
        <v>4.0809205666764239</v>
      </c>
      <c r="N280">
        <v>0.91031917011411778</v>
      </c>
      <c r="P280">
        <v>4.6930631734024675E-12</v>
      </c>
      <c r="R280">
        <v>68.524123086152116</v>
      </c>
      <c r="S280">
        <v>79.914011691529879</v>
      </c>
      <c r="T280">
        <v>1</v>
      </c>
      <c r="U280">
        <v>1.7346507905721444</v>
      </c>
      <c r="AN280" s="7" t="s">
        <v>83</v>
      </c>
    </row>
    <row r="281" spans="1:40">
      <c r="A281">
        <v>1.4271291316258807</v>
      </c>
      <c r="B281">
        <v>0.13950721530613094</v>
      </c>
      <c r="C281">
        <v>-0.29082672410001098</v>
      </c>
      <c r="D281">
        <v>-5.2167057854420787E-2</v>
      </c>
      <c r="E281">
        <v>-0.15308986643805172</v>
      </c>
      <c r="F281">
        <v>0.53730356250804623</v>
      </c>
      <c r="G281">
        <v>0.50639924119684165</v>
      </c>
      <c r="H281">
        <v>0.55711277082289912</v>
      </c>
      <c r="I281">
        <v>0.62018641991240175</v>
      </c>
      <c r="J281">
        <v>0.68901369478720231</v>
      </c>
      <c r="L281">
        <v>3.3576666375940358</v>
      </c>
      <c r="M281">
        <v>4.0809213885484992</v>
      </c>
      <c r="N281">
        <v>2.3716038221520175</v>
      </c>
      <c r="P281">
        <v>2.407670789614125E-12</v>
      </c>
      <c r="R281">
        <v>14.243724750513845</v>
      </c>
      <c r="S281">
        <v>14.309656637068336</v>
      </c>
      <c r="T281">
        <v>1</v>
      </c>
      <c r="U281">
        <v>1.7541577763443581</v>
      </c>
      <c r="AN281" s="7"/>
    </row>
    <row r="282" spans="1:40">
      <c r="A282">
        <v>1.4330451104361015</v>
      </c>
      <c r="B282">
        <v>0.13239792132795988</v>
      </c>
      <c r="C282">
        <v>-0.29638721412576918</v>
      </c>
      <c r="D282">
        <v>0.4833474958527908</v>
      </c>
      <c r="E282">
        <v>-0.14283902291942738</v>
      </c>
      <c r="F282">
        <v>-0.10710820412801768</v>
      </c>
      <c r="G282">
        <v>0.68449730242028084</v>
      </c>
      <c r="H282">
        <v>6.9565061508130799E-2</v>
      </c>
      <c r="I282">
        <v>0.13169421272178544</v>
      </c>
      <c r="J282">
        <v>0.33514154634282067</v>
      </c>
      <c r="L282">
        <v>3.3576666457520807</v>
      </c>
      <c r="M282">
        <v>4.0809213534372262</v>
      </c>
      <c r="N282">
        <v>2.3716038166824087</v>
      </c>
      <c r="P282">
        <v>2.4979153497703229E-12</v>
      </c>
      <c r="R282">
        <v>14.243724750513845</v>
      </c>
      <c r="S282">
        <v>14.309656637068336</v>
      </c>
      <c r="T282">
        <v>1</v>
      </c>
      <c r="U282">
        <v>1.7541577763443581</v>
      </c>
      <c r="AN282" s="7"/>
    </row>
    <row r="283" spans="1:40">
      <c r="A283">
        <v>1.4322034552179015</v>
      </c>
      <c r="B283">
        <v>0.15983261264585966</v>
      </c>
      <c r="C283">
        <v>-0.23768381501689362</v>
      </c>
      <c r="D283">
        <v>-0.35015428483264704</v>
      </c>
      <c r="E283">
        <v>0.30596160935970057</v>
      </c>
      <c r="F283">
        <v>-0.53768102804880458</v>
      </c>
      <c r="G283">
        <v>0.89724636322072082</v>
      </c>
      <c r="H283">
        <v>0.76236365755839275</v>
      </c>
      <c r="I283">
        <v>0.22086113975208596</v>
      </c>
      <c r="J283">
        <v>5.6090381467238458E-2</v>
      </c>
      <c r="L283">
        <v>3.3576667413075856</v>
      </c>
      <c r="M283">
        <v>4.0809213488691505</v>
      </c>
      <c r="N283">
        <v>2.3716036292112102</v>
      </c>
      <c r="P283">
        <v>2.4748357586134155E-12</v>
      </c>
      <c r="R283">
        <v>14.243724750513845</v>
      </c>
      <c r="S283">
        <v>14.309656637068336</v>
      </c>
      <c r="T283">
        <v>1</v>
      </c>
      <c r="U283">
        <v>1.7541577763443581</v>
      </c>
      <c r="AN283" s="7"/>
    </row>
    <row r="284" spans="1:40">
      <c r="A284">
        <v>1.4309281797361055</v>
      </c>
      <c r="B284">
        <v>0.13841520393748424</v>
      </c>
      <c r="C284">
        <v>-0.2794831192291039</v>
      </c>
      <c r="D284">
        <v>-0.17024746443514929</v>
      </c>
      <c r="E284">
        <v>-9.6027230698760402E-2</v>
      </c>
      <c r="F284">
        <v>8.6037384440992723E-2</v>
      </c>
      <c r="G284">
        <v>0.81573481932057856</v>
      </c>
      <c r="H284">
        <v>0.15937776704354048</v>
      </c>
      <c r="I284">
        <v>0.39069548880769189</v>
      </c>
      <c r="J284">
        <v>0.78612489225204696</v>
      </c>
      <c r="L284">
        <v>3.3576666308175791</v>
      </c>
      <c r="M284">
        <v>4.0809213847175547</v>
      </c>
      <c r="N284">
        <v>2.3716038278969829</v>
      </c>
      <c r="P284">
        <v>2.4132074552996025E-12</v>
      </c>
      <c r="R284">
        <v>14.243724750513845</v>
      </c>
      <c r="S284">
        <v>14.309656637068336</v>
      </c>
      <c r="T284">
        <v>1</v>
      </c>
      <c r="U284">
        <v>1.7541577763443581</v>
      </c>
      <c r="AN284" s="7" t="s">
        <v>84</v>
      </c>
    </row>
    <row r="285" spans="1:40">
      <c r="A285">
        <v>1.4262381260250085</v>
      </c>
      <c r="B285">
        <v>0.14185877382604861</v>
      </c>
      <c r="C285">
        <v>-0.2705347238228854</v>
      </c>
      <c r="D285">
        <v>-0.63900710132587291</v>
      </c>
      <c r="E285">
        <v>1.9668142061052777E-2</v>
      </c>
      <c r="F285">
        <v>2.0164651536501948E-3</v>
      </c>
      <c r="G285">
        <v>0.40392534675059794</v>
      </c>
      <c r="H285">
        <v>0.17670941213008368</v>
      </c>
      <c r="I285">
        <v>0.68363155633398975</v>
      </c>
      <c r="J285">
        <v>0.74625959277698795</v>
      </c>
      <c r="L285">
        <v>3.3576667171664871</v>
      </c>
      <c r="M285">
        <v>4.0809213615156805</v>
      </c>
      <c r="N285">
        <v>2.3716036634561526</v>
      </c>
      <c r="P285">
        <v>2.4320911397501371E-12</v>
      </c>
      <c r="R285">
        <v>14.243724750513845</v>
      </c>
      <c r="S285">
        <v>14.309656637068336</v>
      </c>
      <c r="T285">
        <v>1</v>
      </c>
      <c r="U285">
        <v>1.7541577763443581</v>
      </c>
      <c r="AN285" s="7"/>
    </row>
    <row r="286" spans="1:40">
      <c r="A286">
        <v>1.4292255420425872</v>
      </c>
      <c r="B286">
        <v>0.1669008553586302</v>
      </c>
      <c r="C286">
        <v>-0.22668922832467372</v>
      </c>
      <c r="D286">
        <v>-0.6506271114517751</v>
      </c>
      <c r="E286">
        <v>0.27288459940742782</v>
      </c>
      <c r="F286">
        <v>0.83139498748250606</v>
      </c>
      <c r="G286">
        <v>0.55826531610976882</v>
      </c>
      <c r="H286">
        <v>0.90929063785862285</v>
      </c>
      <c r="I286">
        <v>0.22826688794115044</v>
      </c>
      <c r="J286">
        <v>0.77774027861972539</v>
      </c>
      <c r="L286">
        <v>3.3576667334572035</v>
      </c>
      <c r="M286">
        <v>4.0809213491720309</v>
      </c>
      <c r="N286">
        <v>2.3716036509640182</v>
      </c>
      <c r="P286">
        <v>2.479269796998862E-12</v>
      </c>
      <c r="R286">
        <v>14.243724750513845</v>
      </c>
      <c r="S286">
        <v>14.309656637068336</v>
      </c>
      <c r="T286">
        <v>1</v>
      </c>
      <c r="U286">
        <v>1.7541577763443581</v>
      </c>
      <c r="AN286" s="7"/>
    </row>
    <row r="287" spans="1:40">
      <c r="A287">
        <v>1.4264740743982978</v>
      </c>
      <c r="B287">
        <v>0.15132416056010445</v>
      </c>
      <c r="C287">
        <v>-0.27863573297541344</v>
      </c>
      <c r="D287">
        <v>-0.56896811562985805</v>
      </c>
      <c r="E287">
        <v>-1.9985113264916775E-2</v>
      </c>
      <c r="F287">
        <v>0.17218969702323728</v>
      </c>
      <c r="G287">
        <v>0.7280022448331932</v>
      </c>
      <c r="H287">
        <v>0.9136729316189931</v>
      </c>
      <c r="I287">
        <v>0.77922993859509671</v>
      </c>
      <c r="J287">
        <v>0.15768122351759961</v>
      </c>
      <c r="L287">
        <v>3.3576666226410201</v>
      </c>
      <c r="M287">
        <v>4.0809213522723917</v>
      </c>
      <c r="N287">
        <v>2.3716038695113526</v>
      </c>
      <c r="P287">
        <v>2.5322993319470671E-12</v>
      </c>
      <c r="R287">
        <v>14.243724750513845</v>
      </c>
      <c r="S287">
        <v>14.309656637068336</v>
      </c>
      <c r="T287">
        <v>1</v>
      </c>
      <c r="U287">
        <v>1.7541577763443581</v>
      </c>
      <c r="AN287" s="7"/>
    </row>
    <row r="288" spans="1:40">
      <c r="A288">
        <v>1.4274127255025164</v>
      </c>
      <c r="B288">
        <v>0.15274294046577261</v>
      </c>
      <c r="C288">
        <v>-0.26181928646431063</v>
      </c>
      <c r="D288">
        <v>-0.31846049764086842</v>
      </c>
      <c r="E288">
        <v>-0.14131629515105931</v>
      </c>
      <c r="F288">
        <v>-6.4096322691491903E-2</v>
      </c>
      <c r="G288">
        <v>0.58904102389683111</v>
      </c>
      <c r="H288">
        <v>0.89105630972563954</v>
      </c>
      <c r="I288">
        <v>0.44008485614326598</v>
      </c>
      <c r="J288">
        <v>0.24048851971662549</v>
      </c>
      <c r="L288">
        <v>3.3576667215616807</v>
      </c>
      <c r="M288">
        <v>4.0809213495008834</v>
      </c>
      <c r="N288">
        <v>2.3716036760527661</v>
      </c>
      <c r="P288">
        <v>2.4807692602693137E-12</v>
      </c>
      <c r="R288">
        <v>14.243724750513845</v>
      </c>
      <c r="S288">
        <v>14.309656637068336</v>
      </c>
      <c r="T288">
        <v>1</v>
      </c>
      <c r="U288">
        <v>1.7541577763443581</v>
      </c>
      <c r="AN288" s="7" t="s">
        <v>85</v>
      </c>
    </row>
    <row r="289" spans="1:40">
      <c r="A289">
        <v>1.4230103416950997</v>
      </c>
      <c r="B289">
        <v>0.1232265284015981</v>
      </c>
      <c r="C289">
        <v>-0.32487612850287856</v>
      </c>
      <c r="D289">
        <v>0.51110774150799632</v>
      </c>
      <c r="E289">
        <v>-0.25138294051008808</v>
      </c>
      <c r="F289">
        <v>7.7570314306121019E-2</v>
      </c>
      <c r="G289">
        <v>7.4975736096243705E-3</v>
      </c>
      <c r="H289">
        <v>0.47481286740434142</v>
      </c>
      <c r="I289">
        <v>0.96609449674539183</v>
      </c>
      <c r="J289">
        <v>0.39699978013228793</v>
      </c>
      <c r="L289">
        <v>3.3576667155894144</v>
      </c>
      <c r="M289">
        <v>4.0809213621414315</v>
      </c>
      <c r="N289">
        <v>2.3716036711980184</v>
      </c>
      <c r="P289">
        <v>2.4350845271639686E-12</v>
      </c>
      <c r="R289">
        <v>14.243724750513845</v>
      </c>
      <c r="S289">
        <v>14.309656637068336</v>
      </c>
      <c r="T289">
        <v>1</v>
      </c>
      <c r="U289">
        <v>1.7541577763443581</v>
      </c>
      <c r="AN289" s="7"/>
    </row>
    <row r="290" spans="1:40">
      <c r="A290">
        <v>1.4289562515008869</v>
      </c>
      <c r="B290">
        <v>0.15447932441692025</v>
      </c>
      <c r="C290">
        <v>-0.2107373693552432</v>
      </c>
      <c r="D290">
        <v>-0.12957512632663948</v>
      </c>
      <c r="E290">
        <v>0.60136596279388588</v>
      </c>
      <c r="F290">
        <v>-0.49892681591158083</v>
      </c>
      <c r="G290">
        <v>8.5987057033641415E-2</v>
      </c>
      <c r="H290">
        <v>0.36106491354935538</v>
      </c>
      <c r="I290">
        <v>0.22298053700641737</v>
      </c>
      <c r="J290">
        <v>0.90042853330731687</v>
      </c>
      <c r="L290">
        <v>3.3576666705337819</v>
      </c>
      <c r="M290">
        <v>4.0809213928600334</v>
      </c>
      <c r="N290">
        <v>2.3716037271396386</v>
      </c>
      <c r="P290">
        <v>2.3414636076659982E-12</v>
      </c>
      <c r="R290">
        <v>14.243724750513845</v>
      </c>
      <c r="S290">
        <v>14.309656637068336</v>
      </c>
      <c r="T290">
        <v>1</v>
      </c>
      <c r="U290">
        <v>1.7541577763443581</v>
      </c>
      <c r="AN290" s="7"/>
    </row>
    <row r="291" spans="1:40">
      <c r="A291">
        <v>1.4597642911806314</v>
      </c>
      <c r="B291">
        <v>0.26712977672908145</v>
      </c>
      <c r="C291">
        <v>7.9573833762017335E-2</v>
      </c>
      <c r="D291">
        <v>2.8672653122813557E-2</v>
      </c>
      <c r="E291">
        <v>-0.50694076387998377</v>
      </c>
      <c r="F291">
        <v>0.11643131977928892</v>
      </c>
      <c r="G291">
        <v>0.34009932784765656</v>
      </c>
      <c r="H291">
        <v>0.99142941896642856</v>
      </c>
      <c r="I291">
        <v>0.744958266047828</v>
      </c>
      <c r="J291">
        <v>0.26616297205248696</v>
      </c>
      <c r="L291">
        <v>3.3576646769033238</v>
      </c>
      <c r="M291">
        <v>0.91031719248931386</v>
      </c>
      <c r="N291">
        <v>2.3716036587329907</v>
      </c>
      <c r="P291">
        <v>4.503031511464616E-12</v>
      </c>
      <c r="R291">
        <v>6.251863420976262</v>
      </c>
      <c r="S291">
        <v>6.2639720915040158</v>
      </c>
      <c r="T291">
        <v>1</v>
      </c>
      <c r="U291">
        <v>1.7596336579247707</v>
      </c>
      <c r="AN291" s="7"/>
    </row>
    <row r="292" spans="1:40">
      <c r="A292">
        <v>1.4675863886022391</v>
      </c>
      <c r="B292">
        <v>0.2702096491002835</v>
      </c>
      <c r="C292">
        <v>0.10366754046479448</v>
      </c>
      <c r="D292">
        <v>-0.16557757070265877</v>
      </c>
      <c r="E292">
        <v>-0.71401370055372226</v>
      </c>
      <c r="F292">
        <v>-0.24557345532096567</v>
      </c>
      <c r="G292">
        <v>0.55533086969516376</v>
      </c>
      <c r="H292">
        <v>9.5353032672886182E-2</v>
      </c>
      <c r="I292">
        <v>0.37328667051108427</v>
      </c>
      <c r="J292">
        <v>0.18491139542266713</v>
      </c>
      <c r="L292">
        <v>3.3576647147222789</v>
      </c>
      <c r="M292">
        <v>0.91031720739992905</v>
      </c>
      <c r="N292">
        <v>2.371603712435205</v>
      </c>
      <c r="P292">
        <v>4.4176193695021602E-12</v>
      </c>
      <c r="R292">
        <v>6.251863420976262</v>
      </c>
      <c r="S292">
        <v>6.2639720915040158</v>
      </c>
      <c r="T292">
        <v>1</v>
      </c>
      <c r="U292">
        <v>1.7596336579247707</v>
      </c>
      <c r="AN292" s="7" t="s">
        <v>86</v>
      </c>
    </row>
    <row r="293" spans="1:40">
      <c r="A293">
        <v>1.4659208337892746</v>
      </c>
      <c r="B293">
        <v>0.26393643327995631</v>
      </c>
      <c r="C293">
        <v>0.10220094226013376</v>
      </c>
      <c r="D293">
        <v>0.80799484960687329</v>
      </c>
      <c r="E293">
        <v>-0.51240942323605421</v>
      </c>
      <c r="F293">
        <v>-0.86350271719252569</v>
      </c>
      <c r="G293">
        <v>0.60285536978347243</v>
      </c>
      <c r="H293">
        <v>0.83026097295455348</v>
      </c>
      <c r="I293">
        <v>0.886670548557696</v>
      </c>
      <c r="J293">
        <v>0.30471085399760045</v>
      </c>
      <c r="L293">
        <v>3.3576647330874327</v>
      </c>
      <c r="M293">
        <v>0.91031721834363499</v>
      </c>
      <c r="N293">
        <v>2.3716037189675494</v>
      </c>
      <c r="P293">
        <v>4.3462068136289001E-12</v>
      </c>
      <c r="R293">
        <v>6.251863420976262</v>
      </c>
      <c r="S293">
        <v>6.2639720915040158</v>
      </c>
      <c r="T293">
        <v>1</v>
      </c>
      <c r="U293">
        <v>1.7596336579247707</v>
      </c>
      <c r="AN293" s="7"/>
    </row>
    <row r="294" spans="1:40">
      <c r="A294">
        <v>1.4696638372901669</v>
      </c>
      <c r="B294">
        <v>0.28171090845485525</v>
      </c>
      <c r="C294">
        <v>0.16193210122617477</v>
      </c>
      <c r="D294">
        <v>-0.38459272462047484</v>
      </c>
      <c r="E294">
        <v>0.7326945275335347</v>
      </c>
      <c r="F294">
        <v>-0.61325314386287</v>
      </c>
      <c r="G294">
        <v>0.59265310630763079</v>
      </c>
      <c r="H294">
        <v>4.2909403329927431E-2</v>
      </c>
      <c r="I294">
        <v>0.38588602215031526</v>
      </c>
      <c r="J294">
        <v>0.7728400583764915</v>
      </c>
      <c r="L294">
        <v>3.3576646037375455</v>
      </c>
      <c r="M294">
        <v>0.91031710626502571</v>
      </c>
      <c r="N294">
        <v>2.3716035737539962</v>
      </c>
      <c r="P294">
        <v>4.9108402985794654E-12</v>
      </c>
      <c r="R294">
        <v>6.251863420976262</v>
      </c>
      <c r="S294">
        <v>6.2639720915040158</v>
      </c>
      <c r="T294">
        <v>1</v>
      </c>
      <c r="U294">
        <v>1.7596336579247707</v>
      </c>
      <c r="AN294" s="7"/>
    </row>
    <row r="295" spans="1:40">
      <c r="A295">
        <v>1.4598702714508061</v>
      </c>
      <c r="B295">
        <v>0.27666384136578515</v>
      </c>
      <c r="C295">
        <v>0.10179500105492513</v>
      </c>
      <c r="D295">
        <v>-0.59927757311327956</v>
      </c>
      <c r="E295">
        <v>6.0547678494861465E-2</v>
      </c>
      <c r="F295">
        <v>0.55493897908939405</v>
      </c>
      <c r="G295">
        <v>0.30533281690831843</v>
      </c>
      <c r="H295">
        <v>0.82263138081204512</v>
      </c>
      <c r="I295">
        <v>0.46831183437894358</v>
      </c>
      <c r="J295">
        <v>0.53002030783553356</v>
      </c>
      <c r="L295">
        <v>3.3576647039070791</v>
      </c>
      <c r="M295">
        <v>0.91031719942866185</v>
      </c>
      <c r="N295">
        <v>2.371603691436925</v>
      </c>
      <c r="P295">
        <v>4.4481537214684876E-12</v>
      </c>
      <c r="R295">
        <v>6.251863420976262</v>
      </c>
      <c r="S295">
        <v>6.2639720915040158</v>
      </c>
      <c r="T295">
        <v>1</v>
      </c>
      <c r="U295">
        <v>1.7596336579247707</v>
      </c>
      <c r="AN295" s="7"/>
    </row>
    <row r="296" spans="1:40">
      <c r="A296">
        <v>1.467279612095588</v>
      </c>
      <c r="B296">
        <v>0.27668347675113869</v>
      </c>
      <c r="C296">
        <v>9.9800253557565805E-2</v>
      </c>
      <c r="D296">
        <v>0.30758329149254876</v>
      </c>
      <c r="E296">
        <v>-0.24510568709840641</v>
      </c>
      <c r="F296">
        <v>0.12621875860531134</v>
      </c>
      <c r="G296">
        <v>0.74154945150809548</v>
      </c>
      <c r="H296">
        <v>0.95627354677275289</v>
      </c>
      <c r="I296">
        <v>0.46243862314741424</v>
      </c>
      <c r="J296">
        <v>1.611995739395268E-2</v>
      </c>
      <c r="L296">
        <v>3.3576645426415626</v>
      </c>
      <c r="M296">
        <v>0.91031732820994926</v>
      </c>
      <c r="N296">
        <v>2.3716038183572814</v>
      </c>
      <c r="P296">
        <v>4.5607062154493303E-12</v>
      </c>
      <c r="R296">
        <v>6.251863420976262</v>
      </c>
      <c r="S296">
        <v>6.2639720915040158</v>
      </c>
      <c r="T296">
        <v>1</v>
      </c>
      <c r="U296">
        <v>1.7596336579247707</v>
      </c>
      <c r="AN296" s="7" t="s">
        <v>87</v>
      </c>
    </row>
    <row r="297" spans="1:40">
      <c r="A297">
        <v>1.4683139805743464</v>
      </c>
      <c r="B297">
        <v>0.26853974413618786</v>
      </c>
      <c r="C297">
        <v>0.10998107539690806</v>
      </c>
      <c r="D297">
        <v>-0.15177261667157535</v>
      </c>
      <c r="E297">
        <v>-0.25202521439750636</v>
      </c>
      <c r="F297">
        <v>-0.40279002802420955</v>
      </c>
      <c r="G297">
        <v>0.81262900524960835</v>
      </c>
      <c r="H297">
        <v>0.13567172128630417</v>
      </c>
      <c r="I297">
        <v>0.86993986073656449</v>
      </c>
      <c r="J297">
        <v>0.53447044812381828</v>
      </c>
      <c r="L297">
        <v>3.3576644845018975</v>
      </c>
      <c r="M297">
        <v>0.91031724691923199</v>
      </c>
      <c r="N297">
        <v>2.3716036887760459</v>
      </c>
      <c r="P297">
        <v>4.8344747101952135E-12</v>
      </c>
      <c r="R297">
        <v>6.251863420976262</v>
      </c>
      <c r="S297">
        <v>6.2639720915040158</v>
      </c>
      <c r="T297">
        <v>1</v>
      </c>
      <c r="U297">
        <v>1.7596336579247707</v>
      </c>
      <c r="AN297" s="7"/>
    </row>
    <row r="298" spans="1:40">
      <c r="A298">
        <v>1.4635274923491202</v>
      </c>
      <c r="B298">
        <v>0.2712578156810862</v>
      </c>
      <c r="C298">
        <v>9.6165353120978625E-2</v>
      </c>
      <c r="D298">
        <v>-0.11532104771309147</v>
      </c>
      <c r="E298">
        <v>0.1814114432296586</v>
      </c>
      <c r="F298">
        <v>0.19153611054062017</v>
      </c>
      <c r="G298">
        <v>0.28161509546864855</v>
      </c>
      <c r="H298">
        <v>0.49032083796956388</v>
      </c>
      <c r="I298">
        <v>0.77996093595045779</v>
      </c>
      <c r="J298">
        <v>0.24204131196772843</v>
      </c>
      <c r="L298">
        <v>3.3576646453419716</v>
      </c>
      <c r="M298">
        <v>0.91031721280104816</v>
      </c>
      <c r="N298">
        <v>2.3716036942963106</v>
      </c>
      <c r="P298">
        <v>4.5425807650633393E-12</v>
      </c>
      <c r="R298">
        <v>6.251863420976262</v>
      </c>
      <c r="S298">
        <v>6.2639720915040158</v>
      </c>
      <c r="T298">
        <v>1</v>
      </c>
      <c r="U298">
        <v>1.7596336579247707</v>
      </c>
      <c r="AN298" s="7"/>
    </row>
    <row r="299" spans="1:40">
      <c r="A299">
        <v>1.4741094584510772</v>
      </c>
      <c r="B299">
        <v>0.27835935768834763</v>
      </c>
      <c r="C299">
        <v>0.12444226660210338</v>
      </c>
      <c r="D299">
        <v>4.157972170518872E-2</v>
      </c>
      <c r="E299">
        <v>-0.5533700998215656</v>
      </c>
      <c r="F299">
        <v>0.44381700927005335</v>
      </c>
      <c r="G299">
        <v>0.9108475027808155</v>
      </c>
      <c r="H299">
        <v>2.830094035611665E-2</v>
      </c>
      <c r="I299">
        <v>8.5235307701626239E-2</v>
      </c>
      <c r="J299">
        <v>0.55883008640001652</v>
      </c>
      <c r="L299">
        <v>3.3576646962488108</v>
      </c>
      <c r="M299">
        <v>0.91031717585388661</v>
      </c>
      <c r="N299">
        <v>2.3716036994404046</v>
      </c>
      <c r="P299">
        <v>4.5545455180805284E-12</v>
      </c>
      <c r="R299">
        <v>6.251863420976262</v>
      </c>
      <c r="S299">
        <v>6.2639720915040158</v>
      </c>
      <c r="T299">
        <v>1</v>
      </c>
      <c r="U299">
        <v>1.7596336579247707</v>
      </c>
      <c r="AN299" s="7"/>
    </row>
    <row r="300" spans="1:40">
      <c r="A300">
        <v>1.4630876011216241</v>
      </c>
      <c r="B300">
        <v>0.26673366545035121</v>
      </c>
      <c r="C300">
        <v>0.11071304563356053</v>
      </c>
      <c r="D300">
        <v>-0.22902877486484208</v>
      </c>
      <c r="E300">
        <v>-0.1122784135044919</v>
      </c>
      <c r="F300">
        <v>-0.1968853658640527</v>
      </c>
      <c r="G300">
        <v>0.35015542712116565</v>
      </c>
      <c r="H300">
        <v>0.27332236222985162</v>
      </c>
      <c r="I300">
        <v>0.82432371701130858</v>
      </c>
      <c r="J300">
        <v>0.82316284977598075</v>
      </c>
      <c r="L300">
        <v>3.3576646424489085</v>
      </c>
      <c r="M300">
        <v>0.91031720076238531</v>
      </c>
      <c r="N300">
        <v>2.3716036751297036</v>
      </c>
      <c r="P300">
        <v>4.5717647040449837E-12</v>
      </c>
      <c r="R300">
        <v>6.251863420976262</v>
      </c>
      <c r="S300">
        <v>6.2639720915040158</v>
      </c>
      <c r="T300">
        <v>1</v>
      </c>
      <c r="U300">
        <v>1.7596336579247707</v>
      </c>
      <c r="AN300" s="7" t="s">
        <v>88</v>
      </c>
    </row>
    <row r="301" spans="1:40">
      <c r="A301">
        <v>1.4120486726410844</v>
      </c>
      <c r="B301">
        <v>0.30175607435595381</v>
      </c>
      <c r="C301">
        <v>7.2310493058440076E-2</v>
      </c>
      <c r="D301">
        <v>4.0210991302487911E-2</v>
      </c>
      <c r="E301">
        <v>0.65558470735940211</v>
      </c>
      <c r="F301">
        <v>-0.87222619403407187</v>
      </c>
      <c r="G301">
        <v>0.9651650266456816</v>
      </c>
      <c r="H301">
        <v>0.23701297624245604</v>
      </c>
      <c r="I301">
        <v>0.79033069529124744</v>
      </c>
      <c r="J301">
        <v>0.3773077792957843</v>
      </c>
      <c r="L301">
        <v>4.0809223930172527</v>
      </c>
      <c r="M301">
        <v>0.91031839126780822</v>
      </c>
      <c r="N301">
        <v>2.371603318226057</v>
      </c>
      <c r="P301">
        <v>3.0741510859358783E-13</v>
      </c>
      <c r="R301">
        <v>6.7463396458989457</v>
      </c>
      <c r="S301">
        <v>6.7566483524299317</v>
      </c>
      <c r="T301">
        <v>1</v>
      </c>
      <c r="U301">
        <v>1.6273010010437987</v>
      </c>
      <c r="AN301" s="7"/>
    </row>
    <row r="302" spans="1:40">
      <c r="A302">
        <v>1.4146750913262036</v>
      </c>
      <c r="B302">
        <v>0.29388407406719791</v>
      </c>
      <c r="C302">
        <v>6.052139143479883E-2</v>
      </c>
      <c r="D302">
        <v>0.15560316006399799</v>
      </c>
      <c r="E302">
        <v>-0.30629502744650339</v>
      </c>
      <c r="F302">
        <v>-0.2881564881614242</v>
      </c>
      <c r="G302">
        <v>0.86509876064281166</v>
      </c>
      <c r="H302">
        <v>4.1957273132844537E-2</v>
      </c>
      <c r="I302">
        <v>0.56517465050395499</v>
      </c>
      <c r="J302">
        <v>0.75212509998057675</v>
      </c>
      <c r="L302">
        <v>4.0809224652812937</v>
      </c>
      <c r="M302">
        <v>0.91031850319960494</v>
      </c>
      <c r="N302">
        <v>2.3716031987574957</v>
      </c>
      <c r="P302">
        <v>1.7096323022855398E-13</v>
      </c>
      <c r="R302">
        <v>6.7463396458989457</v>
      </c>
      <c r="S302">
        <v>6.7566483524299317</v>
      </c>
      <c r="T302">
        <v>1</v>
      </c>
      <c r="U302">
        <v>1.6273010010437987</v>
      </c>
      <c r="AN302" s="7"/>
    </row>
    <row r="303" spans="1:40">
      <c r="A303">
        <v>1.4063082555789561</v>
      </c>
      <c r="B303">
        <v>0.29438168583398205</v>
      </c>
      <c r="C303">
        <v>3.3746540362204897E-2</v>
      </c>
      <c r="D303">
        <v>-2.7149709562660919E-2</v>
      </c>
      <c r="E303">
        <v>-0.13185991858633203</v>
      </c>
      <c r="F303">
        <v>0.37532017083968194</v>
      </c>
      <c r="G303">
        <v>0.80867748105519321</v>
      </c>
      <c r="H303">
        <v>0.94771384151947169</v>
      </c>
      <c r="I303">
        <v>0.85277845056488366</v>
      </c>
      <c r="J303">
        <v>0.85652071217889547</v>
      </c>
      <c r="L303">
        <v>4.0809224204317829</v>
      </c>
      <c r="M303">
        <v>0.91031849880938176</v>
      </c>
      <c r="N303">
        <v>2.3716034233583536</v>
      </c>
      <c r="P303">
        <v>2.3606028954718626E-13</v>
      </c>
      <c r="R303">
        <v>6.7463396458989457</v>
      </c>
      <c r="S303">
        <v>6.7566483524299317</v>
      </c>
      <c r="T303">
        <v>1</v>
      </c>
      <c r="U303">
        <v>1.6273010010437987</v>
      </c>
      <c r="AN303" s="7"/>
    </row>
    <row r="304" spans="1:40">
      <c r="A304">
        <v>1.4102519403477756</v>
      </c>
      <c r="B304">
        <v>0.29757776004323805</v>
      </c>
      <c r="C304">
        <v>5.7372931717373468E-2</v>
      </c>
      <c r="D304">
        <v>0.14141073637849921</v>
      </c>
      <c r="E304">
        <v>9.1007170831399281E-2</v>
      </c>
      <c r="F304">
        <v>0.14812216798777222</v>
      </c>
      <c r="G304">
        <v>0.22249967752080962</v>
      </c>
      <c r="H304">
        <v>0.10317859121644292</v>
      </c>
      <c r="I304">
        <v>0.27685135581135301</v>
      </c>
      <c r="J304">
        <v>0.49846703091401284</v>
      </c>
      <c r="L304">
        <v>4.0809225177514641</v>
      </c>
      <c r="M304">
        <v>0.91031863465922602</v>
      </c>
      <c r="N304">
        <v>2.3716030342684959</v>
      </c>
      <c r="P304">
        <v>1.0203980883054127E-13</v>
      </c>
      <c r="R304">
        <v>6.7463396458989457</v>
      </c>
      <c r="S304">
        <v>6.7566483524299317</v>
      </c>
      <c r="T304">
        <v>1</v>
      </c>
      <c r="U304">
        <v>1.6273010010437987</v>
      </c>
      <c r="AN304" s="7" t="s">
        <v>89</v>
      </c>
    </row>
    <row r="305" spans="1:40">
      <c r="A305">
        <v>1.4080584390238053</v>
      </c>
      <c r="B305">
        <v>0.30346082914175326</v>
      </c>
      <c r="C305">
        <v>8.9211263062215593E-2</v>
      </c>
      <c r="D305">
        <v>-0.55174844731072314</v>
      </c>
      <c r="E305">
        <v>-1.2466790875635994E-2</v>
      </c>
      <c r="F305">
        <v>-0.9414641825036405</v>
      </c>
      <c r="G305">
        <v>0.92012381414992261</v>
      </c>
      <c r="H305">
        <v>0.24489018242763577</v>
      </c>
      <c r="I305">
        <v>0.24954848529018214</v>
      </c>
      <c r="J305">
        <v>0.94610250441536059</v>
      </c>
      <c r="L305">
        <v>4.0809224442481282</v>
      </c>
      <c r="M305">
        <v>0.91031849743792781</v>
      </c>
      <c r="N305">
        <v>2.371603336439843</v>
      </c>
      <c r="P305">
        <v>1.9927129224613704E-13</v>
      </c>
      <c r="R305">
        <v>6.7463396458989457</v>
      </c>
      <c r="S305">
        <v>6.7566483524299317</v>
      </c>
      <c r="T305">
        <v>1</v>
      </c>
      <c r="U305">
        <v>1.6273010010437987</v>
      </c>
      <c r="AN305" s="7"/>
    </row>
    <row r="306" spans="1:40">
      <c r="A306">
        <v>1.4065477598091061</v>
      </c>
      <c r="B306">
        <v>0.30419684178555551</v>
      </c>
      <c r="C306">
        <v>5.9776316947859828E-2</v>
      </c>
      <c r="D306">
        <v>-0.33164246435105987</v>
      </c>
      <c r="E306">
        <v>5.0161256626359341E-2</v>
      </c>
      <c r="F306">
        <v>0.12544995794147992</v>
      </c>
      <c r="G306">
        <v>0.64592887722038461</v>
      </c>
      <c r="H306">
        <v>0.45573408368761781</v>
      </c>
      <c r="I306">
        <v>0.22477126891626145</v>
      </c>
      <c r="J306">
        <v>0.63063100854056575</v>
      </c>
      <c r="L306">
        <v>4.0809223146734297</v>
      </c>
      <c r="M306">
        <v>0.91031838957487898</v>
      </c>
      <c r="N306">
        <v>2.3716035520099674</v>
      </c>
      <c r="P306">
        <v>4.5307743059588568E-13</v>
      </c>
      <c r="R306">
        <v>6.7463396458989457</v>
      </c>
      <c r="S306">
        <v>6.7566483524299317</v>
      </c>
      <c r="T306">
        <v>1</v>
      </c>
      <c r="U306">
        <v>1.6273010010437987</v>
      </c>
      <c r="AN306" s="7"/>
    </row>
    <row r="307" spans="1:40">
      <c r="A307">
        <v>1.417873937050107</v>
      </c>
      <c r="B307">
        <v>0.28531068815960325</v>
      </c>
      <c r="C307">
        <v>3.2933264166791099E-2</v>
      </c>
      <c r="D307">
        <v>0.82893364027124772</v>
      </c>
      <c r="E307">
        <v>-0.29607401946020612</v>
      </c>
      <c r="F307">
        <v>0.87472201047636056</v>
      </c>
      <c r="G307">
        <v>0.67916053162652612</v>
      </c>
      <c r="H307">
        <v>0.12072582681918971</v>
      </c>
      <c r="I307">
        <v>0.97458106106581477</v>
      </c>
      <c r="J307">
        <v>0.99815108864232172</v>
      </c>
      <c r="L307">
        <v>4.0809224585165254</v>
      </c>
      <c r="M307">
        <v>0.91031849217781335</v>
      </c>
      <c r="N307">
        <v>2.3716031953197647</v>
      </c>
      <c r="P307">
        <v>1.8135801575387454E-13</v>
      </c>
      <c r="R307">
        <v>6.7463396458989457</v>
      </c>
      <c r="S307">
        <v>6.7566483524299317</v>
      </c>
      <c r="T307">
        <v>1</v>
      </c>
      <c r="U307">
        <v>1.6273010010437987</v>
      </c>
      <c r="AN307" s="7"/>
    </row>
    <row r="308" spans="1:40">
      <c r="A308">
        <v>1.4067808313144257</v>
      </c>
      <c r="B308">
        <v>0.28686726073810587</v>
      </c>
      <c r="C308">
        <v>1.8132829658736981E-2</v>
      </c>
      <c r="D308">
        <v>-0.59815827781587827</v>
      </c>
      <c r="E308">
        <v>-0.32254934929981816</v>
      </c>
      <c r="F308">
        <v>-0.31770691544985824</v>
      </c>
      <c r="G308">
        <v>0.27207722222064351</v>
      </c>
      <c r="H308">
        <v>0.30000685556304429</v>
      </c>
      <c r="I308">
        <v>0.84441524696734704</v>
      </c>
      <c r="J308">
        <v>6.9553522071144113E-3</v>
      </c>
      <c r="L308">
        <v>4.0809203435990433</v>
      </c>
      <c r="M308">
        <v>0.91031953067224647</v>
      </c>
      <c r="N308">
        <v>2.3716035695368567</v>
      </c>
      <c r="P308">
        <v>5.4760917907261374E-12</v>
      </c>
      <c r="R308">
        <v>6.7463396458989457</v>
      </c>
      <c r="S308">
        <v>6.7566483524299317</v>
      </c>
      <c r="T308">
        <v>1</v>
      </c>
      <c r="U308">
        <v>1.6273010010437987</v>
      </c>
      <c r="AN308" s="7" t="s">
        <v>90</v>
      </c>
    </row>
    <row r="309" spans="1:40">
      <c r="A309">
        <v>1.4079871497741976</v>
      </c>
      <c r="B309">
        <v>0.30527610938909722</v>
      </c>
      <c r="C309">
        <v>7.4094981405640276E-2</v>
      </c>
      <c r="D309">
        <v>0.79214614534444261</v>
      </c>
      <c r="E309">
        <v>0.31522996890037142</v>
      </c>
      <c r="F309">
        <v>-0.25557709998074646</v>
      </c>
      <c r="G309">
        <v>0.40033031717543149</v>
      </c>
      <c r="H309">
        <v>0.76912471775831548</v>
      </c>
      <c r="I309">
        <v>8.5112406616165412E-2</v>
      </c>
      <c r="J309">
        <v>0.44840514652645108</v>
      </c>
      <c r="L309">
        <v>4.0809224360852054</v>
      </c>
      <c r="M309">
        <v>0.91031843674621582</v>
      </c>
      <c r="N309">
        <v>2.3716032023418498</v>
      </c>
      <c r="P309">
        <v>2.3546074758682579E-13</v>
      </c>
      <c r="R309">
        <v>6.7463396458989457</v>
      </c>
      <c r="S309">
        <v>6.7566483524299317</v>
      </c>
      <c r="T309">
        <v>1</v>
      </c>
      <c r="U309">
        <v>1.6273010010437987</v>
      </c>
      <c r="AN309" s="7"/>
    </row>
    <row r="310" spans="1:40">
      <c r="A310">
        <v>1.4098703267497594</v>
      </c>
      <c r="B310">
        <v>0.30135503660076696</v>
      </c>
      <c r="C310">
        <v>5.3334289595642508E-2</v>
      </c>
      <c r="D310">
        <v>0.56303130321948147</v>
      </c>
      <c r="E310">
        <v>0.19276276711184759</v>
      </c>
      <c r="F310">
        <v>-2.377433899756428E-2</v>
      </c>
      <c r="G310">
        <v>0.38024396886443557</v>
      </c>
      <c r="H310">
        <v>0.48934606942720948</v>
      </c>
      <c r="I310">
        <v>0.26709787929990542</v>
      </c>
      <c r="J310">
        <v>0.12284464303772719</v>
      </c>
      <c r="L310">
        <v>4.0809219872308367</v>
      </c>
      <c r="M310">
        <v>0.91031970614963997</v>
      </c>
      <c r="N310">
        <v>2.3716038711813918</v>
      </c>
      <c r="P310">
        <v>1.4323862003854324E-12</v>
      </c>
      <c r="R310">
        <v>6.7463396458989457</v>
      </c>
      <c r="S310">
        <v>6.7566483524299317</v>
      </c>
      <c r="T310">
        <v>1</v>
      </c>
      <c r="U310">
        <v>1.6273010010437987</v>
      </c>
      <c r="AN310" s="7"/>
    </row>
    <row r="311" spans="1:40">
      <c r="A311">
        <v>-1.4296390176654561</v>
      </c>
      <c r="B311">
        <v>-9.1828624677553608E-2</v>
      </c>
      <c r="C311">
        <v>0.31815537240104663</v>
      </c>
      <c r="D311">
        <v>-2.1592566385947767E-2</v>
      </c>
      <c r="E311">
        <v>-0.15786953512364335</v>
      </c>
      <c r="F311">
        <v>-0.56477013073178506</v>
      </c>
      <c r="G311">
        <v>0.62254086262390562</v>
      </c>
      <c r="H311">
        <v>2.5545270963560542E-2</v>
      </c>
      <c r="I311">
        <v>0.54807128218961287</v>
      </c>
      <c r="J311">
        <v>0.65419915308596266</v>
      </c>
      <c r="L311">
        <v>1.8921143698129408</v>
      </c>
      <c r="M311">
        <v>0.66415835331959983</v>
      </c>
      <c r="N311">
        <v>4.0699023350100152</v>
      </c>
      <c r="P311">
        <v>2.3969544237499646E-14</v>
      </c>
      <c r="R311">
        <v>6.5875525061952294</v>
      </c>
      <c r="S311">
        <v>6.5952649754803758</v>
      </c>
      <c r="T311">
        <v>1</v>
      </c>
      <c r="U311">
        <v>2.67001487602466</v>
      </c>
      <c r="AN311" s="7"/>
    </row>
    <row r="312" spans="1:40">
      <c r="A312">
        <v>-1.4350292168823797</v>
      </c>
      <c r="B312">
        <v>-8.9068604595823317E-2</v>
      </c>
      <c r="C312">
        <v>0.3438175728444714</v>
      </c>
      <c r="D312">
        <v>-0.42889335098598796</v>
      </c>
      <c r="E312">
        <v>-0.50813911336839301</v>
      </c>
      <c r="F312">
        <v>0.36024226912210361</v>
      </c>
      <c r="G312">
        <v>0.77987724073537779</v>
      </c>
      <c r="H312">
        <v>0.69171689589919427</v>
      </c>
      <c r="I312">
        <v>0.53891081814069686</v>
      </c>
      <c r="J312">
        <v>0.95212422421783549</v>
      </c>
      <c r="L312">
        <v>1.892114436019374</v>
      </c>
      <c r="M312">
        <v>0.66415899613606921</v>
      </c>
      <c r="N312">
        <v>4.0699026564141541</v>
      </c>
      <c r="P312">
        <v>6.4452238624885916E-13</v>
      </c>
      <c r="R312">
        <v>6.5875525061952294</v>
      </c>
      <c r="S312">
        <v>6.5952649754803758</v>
      </c>
      <c r="T312">
        <v>1</v>
      </c>
      <c r="U312">
        <v>2.67001487602466</v>
      </c>
      <c r="AN312" s="7" t="s">
        <v>91</v>
      </c>
    </row>
    <row r="313" spans="1:40">
      <c r="A313">
        <v>-1.431102870154755</v>
      </c>
      <c r="B313">
        <v>-7.7828934101562414E-2</v>
      </c>
      <c r="C313">
        <v>0.32968378151275862</v>
      </c>
      <c r="D313">
        <v>-0.22704373935573796</v>
      </c>
      <c r="E313">
        <v>-3.7066662043588224E-3</v>
      </c>
      <c r="F313">
        <v>0.25047528588206547</v>
      </c>
      <c r="G313">
        <v>0.20190994703692272</v>
      </c>
      <c r="H313">
        <v>0.45062927527726254</v>
      </c>
      <c r="I313">
        <v>0.90766646653005467</v>
      </c>
      <c r="J313">
        <v>0.77217631176418511</v>
      </c>
      <c r="L313">
        <v>1.8921144949258324</v>
      </c>
      <c r="M313">
        <v>0.66415795744224715</v>
      </c>
      <c r="N313">
        <v>4.0699050268841699</v>
      </c>
      <c r="P313">
        <v>7.4257830959991819E-12</v>
      </c>
      <c r="R313">
        <v>6.5875525061952294</v>
      </c>
      <c r="S313">
        <v>6.5952649754803758</v>
      </c>
      <c r="T313">
        <v>1</v>
      </c>
      <c r="U313">
        <v>2.67001487602466</v>
      </c>
      <c r="AN313" s="7"/>
    </row>
    <row r="314" spans="1:40">
      <c r="A314">
        <v>-1.4303227325729826</v>
      </c>
      <c r="B314">
        <v>-8.5454107538410456E-2</v>
      </c>
      <c r="C314">
        <v>0.32266885396424011</v>
      </c>
      <c r="D314">
        <v>2.4870555480073029E-2</v>
      </c>
      <c r="E314">
        <v>-0.48810964139723789</v>
      </c>
      <c r="F314">
        <v>-4.268911276895683E-2</v>
      </c>
      <c r="G314">
        <v>0.50230924731003979</v>
      </c>
      <c r="H314">
        <v>0.38321616105605188</v>
      </c>
      <c r="I314">
        <v>0.48847049446926472</v>
      </c>
      <c r="J314">
        <v>0.95116972943333922</v>
      </c>
      <c r="L314">
        <v>1.8921142437300231</v>
      </c>
      <c r="M314">
        <v>0.66415910007272849</v>
      </c>
      <c r="N314">
        <v>4.0699027807480439</v>
      </c>
      <c r="P314">
        <v>9.6678011631335868E-13</v>
      </c>
      <c r="R314">
        <v>6.5875525061952294</v>
      </c>
      <c r="S314">
        <v>6.5952649754803758</v>
      </c>
      <c r="T314">
        <v>1</v>
      </c>
      <c r="U314">
        <v>2.67001487602466</v>
      </c>
      <c r="AN314" s="7"/>
    </row>
    <row r="315" spans="1:40">
      <c r="A315">
        <v>-1.4321355701734571</v>
      </c>
      <c r="B315">
        <v>-9.0871903918911964E-2</v>
      </c>
      <c r="C315">
        <v>0.32831017304356375</v>
      </c>
      <c r="D315">
        <v>0.39214190338732713</v>
      </c>
      <c r="E315">
        <v>0.31023509450697462</v>
      </c>
      <c r="F315">
        <v>0.10222993512546125</v>
      </c>
      <c r="G315">
        <v>0.15147740873632837</v>
      </c>
      <c r="H315">
        <v>3.6627546014444054E-2</v>
      </c>
      <c r="I315">
        <v>0.33123273364695038</v>
      </c>
      <c r="J315">
        <v>0.18002925425425789</v>
      </c>
      <c r="L315">
        <v>1.8921143256185025</v>
      </c>
      <c r="M315">
        <v>0.66415912384104103</v>
      </c>
      <c r="N315">
        <v>4.0699027938485717</v>
      </c>
      <c r="P315">
        <v>9.838762003428832E-13</v>
      </c>
      <c r="R315">
        <v>6.5875525061952294</v>
      </c>
      <c r="S315">
        <v>6.5952649754803758</v>
      </c>
      <c r="T315">
        <v>1</v>
      </c>
      <c r="U315">
        <v>2.67001487602466</v>
      </c>
      <c r="AN315" s="7"/>
    </row>
    <row r="316" spans="1:40">
      <c r="A316">
        <v>-1.4360314254733504</v>
      </c>
      <c r="B316">
        <v>-8.1857376609573027E-2</v>
      </c>
      <c r="C316">
        <v>0.33630474066973709</v>
      </c>
      <c r="D316">
        <v>-0.73539472023071217</v>
      </c>
      <c r="E316">
        <v>-0.29217351033929595</v>
      </c>
      <c r="F316">
        <v>-9.0335680372182509E-2</v>
      </c>
      <c r="G316">
        <v>0.51891233712565576</v>
      </c>
      <c r="H316">
        <v>0.14285018727898557</v>
      </c>
      <c r="I316">
        <v>0.75787469954246156</v>
      </c>
      <c r="J316">
        <v>2.5983060514507494E-2</v>
      </c>
      <c r="L316">
        <v>1.8921131950304224</v>
      </c>
      <c r="M316">
        <v>0.66415837594195781</v>
      </c>
      <c r="N316">
        <v>4.0699041305018575</v>
      </c>
      <c r="P316">
        <v>4.9911717465558217E-12</v>
      </c>
      <c r="R316">
        <v>6.5875525061952294</v>
      </c>
      <c r="S316">
        <v>6.5952649754803758</v>
      </c>
      <c r="T316">
        <v>1</v>
      </c>
      <c r="U316">
        <v>2.67001487602466</v>
      </c>
      <c r="AN316" s="7" t="s">
        <v>92</v>
      </c>
    </row>
    <row r="317" spans="1:40">
      <c r="A317">
        <v>-1.4320265718459595</v>
      </c>
      <c r="B317">
        <v>-0.1107622417765851</v>
      </c>
      <c r="C317">
        <v>0.37216299285835092</v>
      </c>
      <c r="D317">
        <v>-0.33621827452400566</v>
      </c>
      <c r="E317">
        <v>0.63050215572773638</v>
      </c>
      <c r="F317">
        <v>-0.39329226926136068</v>
      </c>
      <c r="G317">
        <v>0.57590239708069157</v>
      </c>
      <c r="H317">
        <v>0.71856234323279855</v>
      </c>
      <c r="I317">
        <v>3.4353628289888659E-2</v>
      </c>
      <c r="J317">
        <v>0.28430675155703322</v>
      </c>
      <c r="L317">
        <v>1.892113697289175</v>
      </c>
      <c r="M317">
        <v>0.66415719724079958</v>
      </c>
      <c r="N317">
        <v>4.0699043625427285</v>
      </c>
      <c r="P317">
        <v>5.9669384307677995E-12</v>
      </c>
      <c r="R317">
        <v>6.5875525061952294</v>
      </c>
      <c r="S317">
        <v>6.5952649754803758</v>
      </c>
      <c r="T317">
        <v>1</v>
      </c>
      <c r="U317">
        <v>2.67001487602466</v>
      </c>
      <c r="AN317" s="7"/>
    </row>
    <row r="318" spans="1:40">
      <c r="A318">
        <v>-1.4364331109396513</v>
      </c>
      <c r="B318">
        <v>-9.9698295506121914E-2</v>
      </c>
      <c r="C318">
        <v>0.35144602709172978</v>
      </c>
      <c r="D318">
        <v>-5.2494857000111271E-3</v>
      </c>
      <c r="E318">
        <v>-8.5547716120790065E-3</v>
      </c>
      <c r="F318">
        <v>0.57848373856662638</v>
      </c>
      <c r="G318">
        <v>0.78795583456556739</v>
      </c>
      <c r="H318">
        <v>0.66387607546340344</v>
      </c>
      <c r="I318">
        <v>0.31685629150582439</v>
      </c>
      <c r="J318">
        <v>0.80038497201384684</v>
      </c>
      <c r="L318">
        <v>1.8921143840896009</v>
      </c>
      <c r="M318">
        <v>0.66415916349056014</v>
      </c>
      <c r="N318">
        <v>4.0699028406785143</v>
      </c>
      <c r="P318">
        <v>1.0828339850778752E-12</v>
      </c>
      <c r="R318">
        <v>6.5875525061952294</v>
      </c>
      <c r="S318">
        <v>6.5952649754803758</v>
      </c>
      <c r="T318">
        <v>1</v>
      </c>
      <c r="U318">
        <v>2.67001487602466</v>
      </c>
      <c r="AN318" s="7"/>
    </row>
    <row r="319" spans="1:40">
      <c r="A319">
        <v>-1.4327612665988536</v>
      </c>
      <c r="B319">
        <v>-7.1500308251909117E-2</v>
      </c>
      <c r="C319">
        <v>0.32246478185291899</v>
      </c>
      <c r="D319">
        <v>0.61636695013607667</v>
      </c>
      <c r="E319">
        <v>-8.7438767829506492E-2</v>
      </c>
      <c r="F319">
        <v>0.10764329955632906</v>
      </c>
      <c r="G319">
        <v>3.6808912728968579E-2</v>
      </c>
      <c r="H319">
        <v>0.81573785846772018</v>
      </c>
      <c r="I319">
        <v>0.95056168034329291</v>
      </c>
      <c r="J319">
        <v>0.15170384333774975</v>
      </c>
      <c r="L319">
        <v>1.8921134252938527</v>
      </c>
      <c r="M319">
        <v>0.66415804253603206</v>
      </c>
      <c r="N319">
        <v>4.0699045755257135</v>
      </c>
      <c r="P319">
        <v>6.2936317278525811E-12</v>
      </c>
      <c r="R319">
        <v>6.5875525061952294</v>
      </c>
      <c r="S319">
        <v>6.5952649754803758</v>
      </c>
      <c r="T319">
        <v>1</v>
      </c>
      <c r="U319">
        <v>2.67001487602466</v>
      </c>
      <c r="AN319" s="7"/>
    </row>
    <row r="320" spans="1:40">
      <c r="A320">
        <v>-1.4320760623275164</v>
      </c>
      <c r="B320">
        <v>-8.8886273769864813E-2</v>
      </c>
      <c r="C320">
        <v>0.3176680267059192</v>
      </c>
      <c r="D320">
        <v>0.15566928813994002</v>
      </c>
      <c r="E320">
        <v>0.2366643264449137</v>
      </c>
      <c r="F320">
        <v>-0.10453429806936575</v>
      </c>
      <c r="G320">
        <v>0.53639649130849276</v>
      </c>
      <c r="H320">
        <v>1.24515529293439E-2</v>
      </c>
      <c r="I320">
        <v>0.86190519310780256</v>
      </c>
      <c r="J320">
        <v>0.5615799229017816</v>
      </c>
      <c r="L320">
        <v>1.8921144442597129</v>
      </c>
      <c r="M320">
        <v>0.66415918233449367</v>
      </c>
      <c r="N320">
        <v>4.0699028557162773</v>
      </c>
      <c r="P320">
        <v>1.1224910174700636E-12</v>
      </c>
      <c r="R320">
        <v>6.5875525061952294</v>
      </c>
      <c r="S320">
        <v>6.5952649754803758</v>
      </c>
      <c r="T320">
        <v>1</v>
      </c>
      <c r="U320">
        <v>2.67001487602466</v>
      </c>
      <c r="AN320" s="7" t="s">
        <v>93</v>
      </c>
    </row>
    <row r="321" spans="1:40">
      <c r="A321">
        <v>-1.4917582427909424</v>
      </c>
      <c r="B321">
        <v>-7.1022523310931812E-2</v>
      </c>
      <c r="C321">
        <v>0.42035189917073501</v>
      </c>
      <c r="D321">
        <v>0.10471999370281138</v>
      </c>
      <c r="E321">
        <v>0.10126019945809764</v>
      </c>
      <c r="F321">
        <v>-0.11676858386252376</v>
      </c>
      <c r="G321">
        <v>0.75586455253256579</v>
      </c>
      <c r="H321">
        <v>0.93877996049413626</v>
      </c>
      <c r="I321">
        <v>0.88743806680785042</v>
      </c>
      <c r="J321">
        <v>0.47095100694143383</v>
      </c>
      <c r="L321">
        <v>1.8921142597243401</v>
      </c>
      <c r="M321">
        <v>0.6641603769122475</v>
      </c>
      <c r="N321">
        <v>3.631944228789163</v>
      </c>
      <c r="P321">
        <v>7.8373178286450707E-12</v>
      </c>
      <c r="R321">
        <v>6.7023864557257129</v>
      </c>
      <c r="S321">
        <v>6.7148325139077363</v>
      </c>
      <c r="T321">
        <v>1</v>
      </c>
      <c r="U321">
        <v>2.4246060430591472</v>
      </c>
      <c r="AN321" s="7"/>
    </row>
    <row r="322" spans="1:40">
      <c r="A322">
        <v>-1.485922609261753</v>
      </c>
      <c r="B322">
        <v>-6.7066077408264049E-2</v>
      </c>
      <c r="C322">
        <v>0.41523460737333084</v>
      </c>
      <c r="D322">
        <v>-1.2621015453781328E-2</v>
      </c>
      <c r="E322">
        <v>-0.43176926642891467</v>
      </c>
      <c r="F322">
        <v>0.34770409514552403</v>
      </c>
      <c r="G322">
        <v>0.1542227410245065</v>
      </c>
      <c r="H322">
        <v>0.54035189678727846</v>
      </c>
      <c r="I322">
        <v>5.5137344919161169E-2</v>
      </c>
      <c r="J322">
        <v>0.5874754404416892</v>
      </c>
      <c r="L322">
        <v>1.8921140896898248</v>
      </c>
      <c r="M322">
        <v>0.66416040565102985</v>
      </c>
      <c r="N322">
        <v>3.6319440600335287</v>
      </c>
      <c r="P322">
        <v>7.4812426888531076E-12</v>
      </c>
      <c r="R322">
        <v>6.7023864557257129</v>
      </c>
      <c r="S322">
        <v>6.7148325139077363</v>
      </c>
      <c r="T322">
        <v>1</v>
      </c>
      <c r="U322">
        <v>2.4246060430591472</v>
      </c>
      <c r="AN322" s="7"/>
    </row>
    <row r="323" spans="1:40">
      <c r="A323">
        <v>-1.4960405333035884</v>
      </c>
      <c r="B323">
        <v>-8.0172175776417082E-2</v>
      </c>
      <c r="C323">
        <v>0.43538329249988633</v>
      </c>
      <c r="D323">
        <v>-0.21877696699465976</v>
      </c>
      <c r="E323">
        <v>0.59368508703079814</v>
      </c>
      <c r="F323">
        <v>0.60374452401450041</v>
      </c>
      <c r="G323">
        <v>0.47675526858919881</v>
      </c>
      <c r="H323">
        <v>0.15045088956905778</v>
      </c>
      <c r="I323">
        <v>0.32855121535809884</v>
      </c>
      <c r="J323">
        <v>0.57428025282274053</v>
      </c>
      <c r="L323">
        <v>1.8921141080725576</v>
      </c>
      <c r="M323">
        <v>0.66416041422609962</v>
      </c>
      <c r="N323">
        <v>3.6319440773125633</v>
      </c>
      <c r="P323">
        <v>7.5608481745331585E-12</v>
      </c>
      <c r="R323">
        <v>6.7023864557257129</v>
      </c>
      <c r="S323">
        <v>6.7148325139077363</v>
      </c>
      <c r="T323">
        <v>1</v>
      </c>
      <c r="U323">
        <v>2.4246060430591472</v>
      </c>
      <c r="AN323" s="7"/>
    </row>
    <row r="324" spans="1:40">
      <c r="A324">
        <v>-1.4864611079296879</v>
      </c>
      <c r="B324">
        <v>-7.3203595633918969E-2</v>
      </c>
      <c r="C324">
        <v>0.41798734405916532</v>
      </c>
      <c r="D324">
        <v>-0.712248200092784</v>
      </c>
      <c r="E324">
        <v>0.26493154249689849</v>
      </c>
      <c r="F324">
        <v>-0.71914921899754281</v>
      </c>
      <c r="G324">
        <v>0.58847175702592536</v>
      </c>
      <c r="H324">
        <v>0.28603854603876139</v>
      </c>
      <c r="I324">
        <v>0.78965368714321815</v>
      </c>
      <c r="J324">
        <v>0.57042067601143509</v>
      </c>
      <c r="L324">
        <v>1.8921141593199928</v>
      </c>
      <c r="M324">
        <v>0.66416043656433443</v>
      </c>
      <c r="N324">
        <v>3.6319440554927027</v>
      </c>
      <c r="P324">
        <v>7.5469761580077707E-12</v>
      </c>
      <c r="R324">
        <v>6.7023864557257129</v>
      </c>
      <c r="S324">
        <v>6.7148325139077363</v>
      </c>
      <c r="T324">
        <v>1</v>
      </c>
      <c r="U324">
        <v>2.4246060430591472</v>
      </c>
      <c r="AN324" s="7" t="s">
        <v>94</v>
      </c>
    </row>
    <row r="325" spans="1:40">
      <c r="A325">
        <v>-1.4955960501660661</v>
      </c>
      <c r="B325">
        <v>-8.3122722685203848E-2</v>
      </c>
      <c r="C325">
        <v>0.44059309067586439</v>
      </c>
      <c r="D325">
        <v>-0.32129429399895415</v>
      </c>
      <c r="E325">
        <v>0.37291568019655402</v>
      </c>
      <c r="F325">
        <v>-0.58513192402801761</v>
      </c>
      <c r="G325">
        <v>0.66263174760398758</v>
      </c>
      <c r="H325">
        <v>0.38686647858931933</v>
      </c>
      <c r="I325">
        <v>0.23784767241243823</v>
      </c>
      <c r="J325">
        <v>0.19652408479454761</v>
      </c>
      <c r="L325">
        <v>1.8921141057158533</v>
      </c>
      <c r="M325">
        <v>0.66416043163591676</v>
      </c>
      <c r="N325">
        <v>3.63194403383668</v>
      </c>
      <c r="P325">
        <v>7.4937906908554106E-12</v>
      </c>
      <c r="R325">
        <v>6.7023864557257129</v>
      </c>
      <c r="S325">
        <v>6.7148325139077363</v>
      </c>
      <c r="T325">
        <v>1</v>
      </c>
      <c r="U325">
        <v>2.4246060430591472</v>
      </c>
      <c r="AN325" s="7"/>
    </row>
    <row r="326" spans="1:40">
      <c r="A326">
        <v>-1.4767676263060137</v>
      </c>
      <c r="B326">
        <v>-5.5441834459628116E-2</v>
      </c>
      <c r="C326">
        <v>0.38155624173526836</v>
      </c>
      <c r="D326">
        <v>-0.20617779248931706</v>
      </c>
      <c r="E326">
        <v>-0.14122183674270361</v>
      </c>
      <c r="F326">
        <v>0.11134257152665067</v>
      </c>
      <c r="G326">
        <v>4.4478577204414088E-2</v>
      </c>
      <c r="H326">
        <v>0.19301031327848769</v>
      </c>
      <c r="I326">
        <v>0.95957807784399063</v>
      </c>
      <c r="J326">
        <v>0.81057768313973011</v>
      </c>
      <c r="L326">
        <v>1.8921143328152623</v>
      </c>
      <c r="M326">
        <v>0.66416043575997896</v>
      </c>
      <c r="N326">
        <v>3.6319441526637033</v>
      </c>
      <c r="P326">
        <v>7.7865589083845132E-12</v>
      </c>
      <c r="R326">
        <v>6.7023864557257129</v>
      </c>
      <c r="S326">
        <v>6.7148325139077363</v>
      </c>
      <c r="T326">
        <v>1</v>
      </c>
      <c r="U326">
        <v>2.4246060430591472</v>
      </c>
      <c r="AN326" s="7"/>
    </row>
    <row r="327" spans="1:40">
      <c r="A327">
        <v>-1.4807426598985265</v>
      </c>
      <c r="B327">
        <v>-6.3739690812158994E-2</v>
      </c>
      <c r="C327">
        <v>0.39879030249314051</v>
      </c>
      <c r="D327">
        <v>-0.3442275427563905</v>
      </c>
      <c r="E327">
        <v>0.17309124030060843</v>
      </c>
      <c r="F327">
        <v>0.14546276713315215</v>
      </c>
      <c r="G327">
        <v>9.214275416657304E-2</v>
      </c>
      <c r="H327">
        <v>0.10623079606813289</v>
      </c>
      <c r="I327">
        <v>0.72925206592919589</v>
      </c>
      <c r="J327">
        <v>0.80780266050409055</v>
      </c>
      <c r="L327">
        <v>1.8921141607015501</v>
      </c>
      <c r="M327">
        <v>0.66416044818132847</v>
      </c>
      <c r="N327">
        <v>3.631944032786397</v>
      </c>
      <c r="P327">
        <v>7.5218897412967487E-12</v>
      </c>
      <c r="R327">
        <v>6.7023864557257129</v>
      </c>
      <c r="S327">
        <v>6.7148325139077363</v>
      </c>
      <c r="T327">
        <v>1</v>
      </c>
      <c r="U327">
        <v>2.4246060430591472</v>
      </c>
      <c r="AN327" s="7"/>
    </row>
    <row r="328" spans="1:40">
      <c r="A328">
        <v>-1.4908837778470623</v>
      </c>
      <c r="B328">
        <v>-7.224584895982758E-2</v>
      </c>
      <c r="C328">
        <v>0.41437477995768568</v>
      </c>
      <c r="D328">
        <v>0.46660146302547834</v>
      </c>
      <c r="E328">
        <v>-6.1556968495564579E-2</v>
      </c>
      <c r="F328">
        <v>-0.73362603333025511</v>
      </c>
      <c r="G328">
        <v>0.72294668131359063</v>
      </c>
      <c r="H328">
        <v>0.93343783717832784</v>
      </c>
      <c r="I328">
        <v>0.66316820209072713</v>
      </c>
      <c r="J328">
        <v>0.2133895218519746</v>
      </c>
      <c r="L328">
        <v>1.892114175885355</v>
      </c>
      <c r="M328">
        <v>0.66416041692438377</v>
      </c>
      <c r="N328">
        <v>3.6319441244256865</v>
      </c>
      <c r="P328">
        <v>7.6841208864322398E-12</v>
      </c>
      <c r="R328">
        <v>6.7023864557257129</v>
      </c>
      <c r="S328">
        <v>6.7148325139077363</v>
      </c>
      <c r="T328">
        <v>1</v>
      </c>
      <c r="U328">
        <v>2.4246060430591472</v>
      </c>
      <c r="AN328" s="7" t="s">
        <v>95</v>
      </c>
    </row>
    <row r="329" spans="1:40">
      <c r="A329">
        <v>-1.4988997952087344</v>
      </c>
      <c r="B329">
        <v>-7.8489072969602489E-2</v>
      </c>
      <c r="C329">
        <v>0.43857711414098982</v>
      </c>
      <c r="D329">
        <v>-9.5303777084183194E-2</v>
      </c>
      <c r="E329">
        <v>-0.56215663804156635</v>
      </c>
      <c r="F329">
        <v>-0.28074190656837533</v>
      </c>
      <c r="G329">
        <v>0.93126879181215005</v>
      </c>
      <c r="H329">
        <v>0.81350104457970229</v>
      </c>
      <c r="I329">
        <v>3.7678871119838794E-2</v>
      </c>
      <c r="J329">
        <v>0.11711630399268319</v>
      </c>
      <c r="L329">
        <v>1.8921142414406518</v>
      </c>
      <c r="M329">
        <v>0.6641604793052428</v>
      </c>
      <c r="N329">
        <v>3.6319440558829648</v>
      </c>
      <c r="P329">
        <v>7.6861753305940298E-12</v>
      </c>
      <c r="R329">
        <v>6.7023864557257129</v>
      </c>
      <c r="S329">
        <v>6.7148325139077363</v>
      </c>
      <c r="T329">
        <v>1</v>
      </c>
      <c r="U329">
        <v>2.4246060430591472</v>
      </c>
      <c r="AN329" s="7"/>
    </row>
    <row r="330" spans="1:40">
      <c r="A330">
        <v>-1.4945422498444898</v>
      </c>
      <c r="B330">
        <v>-8.39052757625421E-2</v>
      </c>
      <c r="C330">
        <v>0.43402505907595912</v>
      </c>
      <c r="D330">
        <v>-0.14363037017052693</v>
      </c>
      <c r="E330">
        <v>0.24360805061449084</v>
      </c>
      <c r="F330">
        <v>-0.76048511916345851</v>
      </c>
      <c r="G330">
        <v>0.76117068547278388</v>
      </c>
      <c r="H330">
        <v>0.41576058687570644</v>
      </c>
      <c r="I330">
        <v>0.23310169853260801</v>
      </c>
      <c r="J330">
        <v>0.33694507146876007</v>
      </c>
      <c r="L330">
        <v>1.8921141310235698</v>
      </c>
      <c r="M330">
        <v>0.66416044672866525</v>
      </c>
      <c r="N330">
        <v>3.6319440286612279</v>
      </c>
      <c r="P330">
        <v>7.5231045635777601E-12</v>
      </c>
      <c r="R330">
        <v>6.7023864557257129</v>
      </c>
      <c r="S330">
        <v>6.7148325139077363</v>
      </c>
      <c r="T330">
        <v>1</v>
      </c>
      <c r="U330">
        <v>2.4246060430591472</v>
      </c>
      <c r="AN330" s="7"/>
    </row>
    <row r="331" spans="1:40">
      <c r="A331">
        <v>-1.8568566899454779</v>
      </c>
      <c r="B331">
        <v>7.6613254054575003E-2</v>
      </c>
      <c r="C331">
        <v>0.87652381358709552</v>
      </c>
      <c r="D331">
        <v>0.9260379640068902</v>
      </c>
      <c r="E331">
        <v>-0.37303842623736244</v>
      </c>
      <c r="F331">
        <v>-0.23271118451133088</v>
      </c>
      <c r="G331">
        <v>0</v>
      </c>
      <c r="H331">
        <v>0</v>
      </c>
      <c r="I331">
        <v>0.69078851844004541</v>
      </c>
      <c r="J331">
        <v>0.93677980799616856</v>
      </c>
      <c r="L331">
        <v>1.8921124777691696</v>
      </c>
      <c r="M331">
        <v>0.66416525265286042</v>
      </c>
      <c r="N331">
        <v>2.2139573561143644</v>
      </c>
      <c r="P331">
        <v>6.8598870767428453E-11</v>
      </c>
      <c r="R331">
        <v>13.881343079327662</v>
      </c>
      <c r="S331">
        <v>14.088858695576636</v>
      </c>
      <c r="T331">
        <v>1</v>
      </c>
      <c r="U331">
        <v>2.3947988660743218</v>
      </c>
      <c r="AN331" s="7"/>
    </row>
    <row r="332" spans="1:40">
      <c r="A332">
        <v>-1.9269133529104236</v>
      </c>
      <c r="B332">
        <v>9.2959111077766901E-2</v>
      </c>
      <c r="C332">
        <v>1.0126910841255539</v>
      </c>
      <c r="D332">
        <v>-0.36847117375892641</v>
      </c>
      <c r="E332">
        <v>-0.30937575293755065</v>
      </c>
      <c r="F332">
        <v>-9.2557550673863828E-2</v>
      </c>
      <c r="G332">
        <v>0.22660658317746585</v>
      </c>
      <c r="H332">
        <v>0.48867613184133513</v>
      </c>
      <c r="I332">
        <v>0.60827776958238522</v>
      </c>
      <c r="J332">
        <v>9.3513676015771249E-2</v>
      </c>
      <c r="L332">
        <v>1.8921143790938235</v>
      </c>
      <c r="M332">
        <v>0.66416462348683314</v>
      </c>
      <c r="N332">
        <v>2.2139578379480978</v>
      </c>
      <c r="P332">
        <v>6.0192775732408766E-11</v>
      </c>
      <c r="R332">
        <v>13.881343079327662</v>
      </c>
      <c r="S332">
        <v>14.088858695576636</v>
      </c>
      <c r="T332">
        <v>1</v>
      </c>
      <c r="U332">
        <v>2.3947988660743218</v>
      </c>
      <c r="AN332" s="7" t="s">
        <v>96</v>
      </c>
    </row>
    <row r="333" spans="1:40">
      <c r="A333">
        <v>-1.9402623915828441</v>
      </c>
      <c r="B333">
        <v>7.8592971093131528E-2</v>
      </c>
      <c r="C333">
        <v>1.0135879090921851</v>
      </c>
      <c r="D333">
        <v>0.68345255721635467</v>
      </c>
      <c r="E333">
        <v>0.17892702560273641</v>
      </c>
      <c r="F333">
        <v>-0.43563729700042814</v>
      </c>
      <c r="G333">
        <v>0.72879367169587728</v>
      </c>
      <c r="H333">
        <v>0.20259530095457015</v>
      </c>
      <c r="I333">
        <v>0.53398258261318643</v>
      </c>
      <c r="J333">
        <v>0.42434641955188696</v>
      </c>
      <c r="L333">
        <v>1.8921140460206949</v>
      </c>
      <c r="M333">
        <v>0.66416464889627813</v>
      </c>
      <c r="N333">
        <v>2.2139580311898581</v>
      </c>
      <c r="P333">
        <v>6.2465006889943657E-11</v>
      </c>
      <c r="R333">
        <v>13.881343079327662</v>
      </c>
      <c r="S333">
        <v>14.088858695576636</v>
      </c>
      <c r="T333">
        <v>1</v>
      </c>
      <c r="U333">
        <v>2.3947988660743218</v>
      </c>
      <c r="AN333" s="7"/>
    </row>
    <row r="334" spans="1:40">
      <c r="A334">
        <v>-1.9055526301824381</v>
      </c>
      <c r="B334">
        <v>8.1205730740290999E-2</v>
      </c>
      <c r="C334">
        <v>0.96424022035209667</v>
      </c>
      <c r="D334">
        <v>0.61070549382152584</v>
      </c>
      <c r="E334">
        <v>-0.12728421946800753</v>
      </c>
      <c r="F334">
        <v>4.7776093495332662E-2</v>
      </c>
      <c r="G334">
        <v>0.16517181213634921</v>
      </c>
      <c r="H334">
        <v>0.1568020453557333</v>
      </c>
      <c r="I334">
        <v>0.41253825515505849</v>
      </c>
      <c r="J334">
        <v>0.6709843763041845</v>
      </c>
      <c r="L334">
        <v>1.892114760946626</v>
      </c>
      <c r="M334">
        <v>0.66416462515619057</v>
      </c>
      <c r="N334">
        <v>2.2139576436924764</v>
      </c>
      <c r="P334">
        <v>5.857634118369238E-11</v>
      </c>
      <c r="R334">
        <v>13.881343079327662</v>
      </c>
      <c r="S334">
        <v>14.088858695576636</v>
      </c>
      <c r="T334">
        <v>1</v>
      </c>
      <c r="U334">
        <v>2.3947988660743218</v>
      </c>
      <c r="AN334" s="7"/>
    </row>
    <row r="335" spans="1:40">
      <c r="A335">
        <v>-1.9000615111132162</v>
      </c>
      <c r="B335">
        <v>9.1554608403470489E-2</v>
      </c>
      <c r="C335">
        <v>0.96261098909650367</v>
      </c>
      <c r="D335">
        <v>7.1139527343432873E-2</v>
      </c>
      <c r="E335">
        <v>-0.2571492629321202</v>
      </c>
      <c r="F335">
        <v>-0.16806033408407206</v>
      </c>
      <c r="G335">
        <v>4.4461317329175215E-2</v>
      </c>
      <c r="H335">
        <v>0.48411541775217837</v>
      </c>
      <c r="I335">
        <v>0.85553056744217071</v>
      </c>
      <c r="J335">
        <v>6.4847947017160651E-2</v>
      </c>
      <c r="L335">
        <v>1.8921136557088341</v>
      </c>
      <c r="M335">
        <v>0.6641650009647887</v>
      </c>
      <c r="N335">
        <v>2.2139575918236529</v>
      </c>
      <c r="P335">
        <v>6.3698788764475277E-11</v>
      </c>
      <c r="R335">
        <v>13.881343079327662</v>
      </c>
      <c r="S335">
        <v>14.088858695576636</v>
      </c>
      <c r="T335">
        <v>1</v>
      </c>
      <c r="U335">
        <v>2.3947988660743218</v>
      </c>
      <c r="AN335" s="7"/>
    </row>
    <row r="336" spans="1:40">
      <c r="A336">
        <v>-1.9469869919573881</v>
      </c>
      <c r="B336">
        <v>8.7085812811105778E-2</v>
      </c>
      <c r="C336">
        <v>1.0442410023638775</v>
      </c>
      <c r="D336">
        <v>0.73741439118976249</v>
      </c>
      <c r="E336">
        <v>0.14191297573872899</v>
      </c>
      <c r="F336">
        <v>-7.7998189688941871E-2</v>
      </c>
      <c r="G336">
        <v>0.21900628712836467</v>
      </c>
      <c r="H336">
        <v>0.80593039165444325</v>
      </c>
      <c r="I336">
        <v>0.22944129743414005</v>
      </c>
      <c r="J336">
        <v>0.15154983625513688</v>
      </c>
      <c r="L336">
        <v>1.8921136919806021</v>
      </c>
      <c r="M336">
        <v>0.66416498696202197</v>
      </c>
      <c r="N336">
        <v>2.2139576744954623</v>
      </c>
      <c r="P336">
        <v>6.4152683922002779E-11</v>
      </c>
      <c r="R336">
        <v>13.881343079327662</v>
      </c>
      <c r="S336">
        <v>14.088858695576636</v>
      </c>
      <c r="T336">
        <v>1</v>
      </c>
      <c r="U336">
        <v>2.3947988660743218</v>
      </c>
      <c r="AN336" s="7" t="s">
        <v>97</v>
      </c>
    </row>
    <row r="337" spans="1:40">
      <c r="A337">
        <v>-1.9044190309346156</v>
      </c>
      <c r="B337">
        <v>8.4272333681911615E-2</v>
      </c>
      <c r="C337">
        <v>0.97396762581739826</v>
      </c>
      <c r="D337">
        <v>0.50568927854077317</v>
      </c>
      <c r="E337">
        <v>1.906464135934759E-2</v>
      </c>
      <c r="F337">
        <v>-0.67631807608236605</v>
      </c>
      <c r="G337">
        <v>0.31779497656212918</v>
      </c>
      <c r="H337">
        <v>0.90286659313029993</v>
      </c>
      <c r="I337">
        <v>0.92349800041386021</v>
      </c>
      <c r="J337">
        <v>0.554300686390514</v>
      </c>
      <c r="L337">
        <v>1.892114021476988</v>
      </c>
      <c r="M337">
        <v>0.66416479965856079</v>
      </c>
      <c r="N337">
        <v>2.213957741216809</v>
      </c>
      <c r="P337">
        <v>6.1824618465399436E-11</v>
      </c>
      <c r="R337">
        <v>13.881343079327662</v>
      </c>
      <c r="S337">
        <v>14.088858695576636</v>
      </c>
      <c r="T337">
        <v>1</v>
      </c>
      <c r="U337">
        <v>2.3947988660743218</v>
      </c>
      <c r="AN337" s="7"/>
    </row>
    <row r="338" spans="1:40">
      <c r="A338">
        <v>-1.9035675723079926</v>
      </c>
      <c r="B338">
        <v>8.7935924029703849E-2</v>
      </c>
      <c r="C338">
        <v>0.94603594145259573</v>
      </c>
      <c r="D338">
        <v>3.2700545258279458E-2</v>
      </c>
      <c r="E338">
        <v>-0.70191726054269288</v>
      </c>
      <c r="F338">
        <v>-6.5752213807595244E-2</v>
      </c>
      <c r="G338">
        <v>0.58170929106916425</v>
      </c>
      <c r="H338">
        <v>0</v>
      </c>
      <c r="I338">
        <v>0.89298137653133447</v>
      </c>
      <c r="J338">
        <v>0.16520779289272386</v>
      </c>
      <c r="L338">
        <v>1.8921115448082404</v>
      </c>
      <c r="M338">
        <v>0.66415826064368733</v>
      </c>
      <c r="N338">
        <v>2.2139566013663079</v>
      </c>
      <c r="P338">
        <v>1.906281411931699E-11</v>
      </c>
      <c r="R338">
        <v>13.881343079327662</v>
      </c>
      <c r="S338">
        <v>14.088858695576636</v>
      </c>
      <c r="T338">
        <v>1</v>
      </c>
      <c r="U338">
        <v>2.3947988660743218</v>
      </c>
      <c r="AN338" s="7"/>
    </row>
    <row r="339" spans="1:40">
      <c r="A339">
        <v>-1.9168244125430074</v>
      </c>
      <c r="B339">
        <v>8.3047256917572712E-2</v>
      </c>
      <c r="C339">
        <v>0.98521662497047124</v>
      </c>
      <c r="D339">
        <v>0.21961028801005228</v>
      </c>
      <c r="E339">
        <v>-0.17818035924509179</v>
      </c>
      <c r="F339">
        <v>-0.60889616041849715</v>
      </c>
      <c r="G339">
        <v>0.74540577338948977</v>
      </c>
      <c r="H339">
        <v>0.68711204204366971</v>
      </c>
      <c r="I339">
        <v>0.99039212928842912</v>
      </c>
      <c r="J339">
        <v>0.69142152373542476</v>
      </c>
      <c r="L339">
        <v>1.8921138773976292</v>
      </c>
      <c r="M339">
        <v>0.66416488187289868</v>
      </c>
      <c r="N339">
        <v>2.2139577444437024</v>
      </c>
      <c r="P339">
        <v>6.3091635565763627E-11</v>
      </c>
      <c r="R339">
        <v>13.881343079327662</v>
      </c>
      <c r="S339">
        <v>14.088858695576636</v>
      </c>
      <c r="T339">
        <v>1</v>
      </c>
      <c r="U339">
        <v>2.3947988660743218</v>
      </c>
      <c r="AN339" s="7"/>
    </row>
    <row r="340" spans="1:40">
      <c r="A340">
        <v>-1.8992444979388672</v>
      </c>
      <c r="B340">
        <v>9.1984554450934286E-2</v>
      </c>
      <c r="C340">
        <v>0.9791177758809877</v>
      </c>
      <c r="D340">
        <v>-0.46539890211590862</v>
      </c>
      <c r="E340">
        <v>-0.47506078052036016</v>
      </c>
      <c r="F340">
        <v>-0.67172481408228146</v>
      </c>
      <c r="G340">
        <v>0</v>
      </c>
      <c r="H340">
        <v>0.76639334278053417</v>
      </c>
      <c r="I340">
        <v>0.68510250751321056</v>
      </c>
      <c r="J340">
        <v>0.25077724621900538</v>
      </c>
      <c r="L340">
        <v>1.8921117645188061</v>
      </c>
      <c r="M340">
        <v>0.6641581124220779</v>
      </c>
      <c r="N340">
        <v>2.2139564267988048</v>
      </c>
      <c r="P340">
        <v>1.6745699338994466E-11</v>
      </c>
      <c r="R340">
        <v>13.881343079327662</v>
      </c>
      <c r="S340">
        <v>14.088858695576636</v>
      </c>
      <c r="T340">
        <v>1</v>
      </c>
      <c r="U340">
        <v>2.3947988660743218</v>
      </c>
      <c r="AN340" s="7" t="s">
        <v>98</v>
      </c>
    </row>
    <row r="341" spans="1:40">
      <c r="A341">
        <v>-1.4389286126755307</v>
      </c>
      <c r="B341">
        <v>6.1124026122078783E-2</v>
      </c>
      <c r="C341">
        <v>0.13199629293017368</v>
      </c>
      <c r="D341">
        <v>0.10783591609810592</v>
      </c>
      <c r="E341">
        <v>-0.73498557923600527</v>
      </c>
      <c r="F341">
        <v>8.9814917649698248E-2</v>
      </c>
      <c r="G341">
        <v>0.93301014684601125</v>
      </c>
      <c r="H341">
        <v>0.46784947225622803</v>
      </c>
      <c r="I341">
        <v>0.68588998676118618</v>
      </c>
      <c r="J341">
        <v>0.86019717792047035</v>
      </c>
      <c r="L341">
        <v>1.892113394476828</v>
      </c>
      <c r="M341">
        <v>4.0699055855875965</v>
      </c>
      <c r="N341">
        <v>3.631941613725429</v>
      </c>
      <c r="P341">
        <v>1.2505758712309964E-11</v>
      </c>
      <c r="R341">
        <v>10.943573082961072</v>
      </c>
      <c r="S341">
        <v>10.969037156132696</v>
      </c>
      <c r="T341">
        <v>1</v>
      </c>
      <c r="U341">
        <v>2.6563445829729218</v>
      </c>
      <c r="AN341" s="7"/>
    </row>
    <row r="342" spans="1:40">
      <c r="A342">
        <v>-1.4463261039079656</v>
      </c>
      <c r="B342">
        <v>6.5993523324573089E-2</v>
      </c>
      <c r="C342">
        <v>0.13697235559503795</v>
      </c>
      <c r="D342">
        <v>-0.18672174279738768</v>
      </c>
      <c r="E342">
        <v>-2.5550372692093638E-2</v>
      </c>
      <c r="F342">
        <v>0.5944587035565384</v>
      </c>
      <c r="G342">
        <v>0.90141740980613994</v>
      </c>
      <c r="H342">
        <v>0.11900749136951877</v>
      </c>
      <c r="I342">
        <v>7.7707325106776498E-2</v>
      </c>
      <c r="J342">
        <v>0.17435804146931869</v>
      </c>
      <c r="L342">
        <v>1.8921132607301998</v>
      </c>
      <c r="M342">
        <v>4.0699055754750493</v>
      </c>
      <c r="N342">
        <v>3.6319417168285679</v>
      </c>
      <c r="P342">
        <v>1.2601564977077971E-11</v>
      </c>
      <c r="R342">
        <v>10.943573082961072</v>
      </c>
      <c r="S342">
        <v>10.969037156132696</v>
      </c>
      <c r="T342">
        <v>1</v>
      </c>
      <c r="U342">
        <v>2.6563445829729218</v>
      </c>
      <c r="AN342" s="7"/>
    </row>
    <row r="343" spans="1:40">
      <c r="A343">
        <v>-1.4355563841895946</v>
      </c>
      <c r="B343">
        <v>6.1634247944675417E-2</v>
      </c>
      <c r="C343">
        <v>0.12086679681617621</v>
      </c>
      <c r="D343">
        <v>0.49607194171712737</v>
      </c>
      <c r="E343">
        <v>-0.89803394887247356</v>
      </c>
      <c r="F343">
        <v>-0.18850980607704251</v>
      </c>
      <c r="G343">
        <v>0.47283548692182503</v>
      </c>
      <c r="H343">
        <v>2.397353145553769E-2</v>
      </c>
      <c r="I343">
        <v>0.39514958542242823</v>
      </c>
      <c r="J343">
        <v>0.57384805706878594</v>
      </c>
      <c r="L343">
        <v>1.8921133244217569</v>
      </c>
      <c r="M343">
        <v>4.0699055520539709</v>
      </c>
      <c r="N343">
        <v>3.6319416403802816</v>
      </c>
      <c r="P343">
        <v>1.240632600704526E-11</v>
      </c>
      <c r="R343">
        <v>10.943573082961072</v>
      </c>
      <c r="S343">
        <v>10.969037156132696</v>
      </c>
      <c r="T343">
        <v>1</v>
      </c>
      <c r="U343">
        <v>2.6563445829729218</v>
      </c>
      <c r="AN343" s="7"/>
    </row>
    <row r="344" spans="1:40">
      <c r="A344">
        <v>-1.4364549835890574</v>
      </c>
      <c r="B344">
        <v>4.8554865731208152E-2</v>
      </c>
      <c r="C344">
        <v>0.16556825935186412</v>
      </c>
      <c r="D344">
        <v>0.2831565661188965</v>
      </c>
      <c r="E344">
        <v>-0.52455692043053326</v>
      </c>
      <c r="F344">
        <v>-3.5287452540269409E-2</v>
      </c>
      <c r="G344">
        <v>0.18638066640559203</v>
      </c>
      <c r="H344">
        <v>0.54520710903271807</v>
      </c>
      <c r="I344">
        <v>0.15973591131963355</v>
      </c>
      <c r="J344">
        <v>0.78630978694168863</v>
      </c>
      <c r="L344">
        <v>1.892113326668678</v>
      </c>
      <c r="M344">
        <v>4.0699055088710256</v>
      </c>
      <c r="N344">
        <v>3.6319416341779842</v>
      </c>
      <c r="P344">
        <v>1.2133236346900186E-11</v>
      </c>
      <c r="R344">
        <v>10.943573082961072</v>
      </c>
      <c r="S344">
        <v>10.969037156132696</v>
      </c>
      <c r="T344">
        <v>1</v>
      </c>
      <c r="U344">
        <v>2.6563445829729218</v>
      </c>
      <c r="AN344" s="7" t="s">
        <v>99</v>
      </c>
    </row>
    <row r="345" spans="1:40">
      <c r="A345">
        <v>-1.4432763920005505</v>
      </c>
      <c r="B345">
        <v>3.713994519732651E-2</v>
      </c>
      <c r="C345">
        <v>0.19390644876809474</v>
      </c>
      <c r="D345">
        <v>-0.68388327721212339</v>
      </c>
      <c r="E345">
        <v>0.13653682270291181</v>
      </c>
      <c r="F345">
        <v>-0.23889581843995683</v>
      </c>
      <c r="G345">
        <v>0.76693517818836754</v>
      </c>
      <c r="H345">
        <v>0.55406378231868325</v>
      </c>
      <c r="I345">
        <v>0.40502892985708627</v>
      </c>
      <c r="J345">
        <v>0.99239899186373692</v>
      </c>
      <c r="L345">
        <v>1.8921132982634936</v>
      </c>
      <c r="M345">
        <v>4.0699054893994031</v>
      </c>
      <c r="N345">
        <v>3.6319416463084728</v>
      </c>
      <c r="P345">
        <v>1.2058401029363328E-11</v>
      </c>
      <c r="R345">
        <v>10.943573082961072</v>
      </c>
      <c r="S345">
        <v>10.969037156132696</v>
      </c>
      <c r="T345">
        <v>1</v>
      </c>
      <c r="U345">
        <v>2.6563445829729218</v>
      </c>
      <c r="AN345" s="7"/>
    </row>
    <row r="346" spans="1:40">
      <c r="A346">
        <v>-1.4428714258494155</v>
      </c>
      <c r="B346">
        <v>4.6884639594553613E-2</v>
      </c>
      <c r="C346">
        <v>0.19897162304957022</v>
      </c>
      <c r="D346">
        <v>-0.46657542703859894</v>
      </c>
      <c r="E346">
        <v>0.45232877928763182</v>
      </c>
      <c r="F346">
        <v>-0.53982355646482061</v>
      </c>
      <c r="G346">
        <v>0.33741528198448345</v>
      </c>
      <c r="H346">
        <v>0.94232395147816528</v>
      </c>
      <c r="I346">
        <v>0.28446362150473287</v>
      </c>
      <c r="J346">
        <v>0</v>
      </c>
      <c r="L346">
        <v>1.8921143575261092</v>
      </c>
      <c r="M346">
        <v>4.0699061599812225</v>
      </c>
      <c r="N346">
        <v>3.6319427934660551</v>
      </c>
      <c r="P346">
        <v>1.4920821060948694E-11</v>
      </c>
      <c r="R346">
        <v>10.943573082961072</v>
      </c>
      <c r="S346">
        <v>10.969037156132696</v>
      </c>
      <c r="T346">
        <v>1</v>
      </c>
      <c r="U346">
        <v>2.6563445829729218</v>
      </c>
      <c r="AN346" s="7"/>
    </row>
    <row r="347" spans="1:40">
      <c r="A347">
        <v>-1.4425582985112428</v>
      </c>
      <c r="B347">
        <v>5.8566354287974944E-2</v>
      </c>
      <c r="C347">
        <v>0.15648383737726435</v>
      </c>
      <c r="D347">
        <v>9.7464688523839729E-2</v>
      </c>
      <c r="E347">
        <v>-0.10468662464287892</v>
      </c>
      <c r="F347">
        <v>0.55404767073545558</v>
      </c>
      <c r="G347">
        <v>0.73192395232531837</v>
      </c>
      <c r="H347">
        <v>0.79447446084732498</v>
      </c>
      <c r="I347">
        <v>0.39665466999089272</v>
      </c>
      <c r="J347">
        <v>0.65061693834122103</v>
      </c>
      <c r="L347">
        <v>1.8921131539219433</v>
      </c>
      <c r="M347">
        <v>4.0699053122420228</v>
      </c>
      <c r="N347">
        <v>3.6319415661021357</v>
      </c>
      <c r="P347">
        <v>1.146185102824123E-11</v>
      </c>
      <c r="R347">
        <v>10.943573082961072</v>
      </c>
      <c r="S347">
        <v>10.969037156132696</v>
      </c>
      <c r="T347">
        <v>1</v>
      </c>
      <c r="U347">
        <v>2.6563445829729218</v>
      </c>
      <c r="AN347" s="7"/>
    </row>
    <row r="348" spans="1:40">
      <c r="A348">
        <v>-1.4436241446026896</v>
      </c>
      <c r="B348">
        <v>5.7503317347069038E-2</v>
      </c>
      <c r="C348">
        <v>0.16090753678034217</v>
      </c>
      <c r="D348">
        <v>-0.15483635882011326</v>
      </c>
      <c r="E348">
        <v>-0.48636603574551085</v>
      </c>
      <c r="F348">
        <v>0.43368452037870531</v>
      </c>
      <c r="G348">
        <v>0.91462094390517057</v>
      </c>
      <c r="H348">
        <v>0.87016993215038485</v>
      </c>
      <c r="I348">
        <v>0.12950740858220061</v>
      </c>
      <c r="J348">
        <v>0.68827405734958003</v>
      </c>
      <c r="L348">
        <v>1.8921133209875294</v>
      </c>
      <c r="M348">
        <v>4.0699055286574817</v>
      </c>
      <c r="N348">
        <v>3.6319416293147246</v>
      </c>
      <c r="P348">
        <v>1.2280666334216735E-11</v>
      </c>
      <c r="R348">
        <v>10.943573082961072</v>
      </c>
      <c r="S348">
        <v>10.969037156132696</v>
      </c>
      <c r="T348">
        <v>1</v>
      </c>
      <c r="U348">
        <v>2.6563445829729218</v>
      </c>
      <c r="AN348" s="7" t="s">
        <v>100</v>
      </c>
    </row>
    <row r="349" spans="1:40">
      <c r="A349">
        <v>-1.4345932800295114</v>
      </c>
      <c r="B349">
        <v>5.7568145822865763E-2</v>
      </c>
      <c r="C349">
        <v>0.15524945999527501</v>
      </c>
      <c r="D349">
        <v>0.28758035473291182</v>
      </c>
      <c r="E349">
        <v>-0.63206719563190272</v>
      </c>
      <c r="F349">
        <v>-0.60315311998147081</v>
      </c>
      <c r="G349">
        <v>0.30807135186485185</v>
      </c>
      <c r="H349">
        <v>0.89979301413893131</v>
      </c>
      <c r="I349">
        <v>0.65862264065523035</v>
      </c>
      <c r="J349">
        <v>0.37594211757413043</v>
      </c>
      <c r="L349">
        <v>1.892113311281153</v>
      </c>
      <c r="M349">
        <v>4.0699055015050263</v>
      </c>
      <c r="N349">
        <v>3.6319416361143042</v>
      </c>
      <c r="P349">
        <v>1.2119673036710461E-11</v>
      </c>
      <c r="R349">
        <v>10.943573082961072</v>
      </c>
      <c r="S349">
        <v>10.969037156132696</v>
      </c>
      <c r="T349">
        <v>1</v>
      </c>
      <c r="U349">
        <v>2.6563445829729218</v>
      </c>
      <c r="AN349" s="7"/>
    </row>
    <row r="350" spans="1:40">
      <c r="A350">
        <v>-1.4422802175696612</v>
      </c>
      <c r="B350">
        <v>5.5803344691590741E-2</v>
      </c>
      <c r="C350">
        <v>0.15097594373881684</v>
      </c>
      <c r="D350">
        <v>8.1428734901053929E-2</v>
      </c>
      <c r="E350">
        <v>0.415172472180871</v>
      </c>
      <c r="F350">
        <v>0.21950971338425138</v>
      </c>
      <c r="G350">
        <v>0.82309179887016126</v>
      </c>
      <c r="H350">
        <v>0.5464709223603883</v>
      </c>
      <c r="I350">
        <v>1.0085580511921421</v>
      </c>
      <c r="J350">
        <v>0.69243465360908651</v>
      </c>
      <c r="L350">
        <v>1.8921132896721486</v>
      </c>
      <c r="M350">
        <v>4.0699055882238264</v>
      </c>
      <c r="N350">
        <v>3.6319417393903621</v>
      </c>
      <c r="P350">
        <v>1.2583512416694715E-11</v>
      </c>
      <c r="R350">
        <v>10.943573082961072</v>
      </c>
      <c r="S350">
        <v>10.969037156132696</v>
      </c>
      <c r="T350">
        <v>1</v>
      </c>
      <c r="U350">
        <v>2.6563445829729218</v>
      </c>
      <c r="AN350" s="7"/>
    </row>
    <row r="351" spans="1:40">
      <c r="A351">
        <v>-1.4427841756333646</v>
      </c>
      <c r="B351">
        <v>0.11130264098073873</v>
      </c>
      <c r="C351">
        <v>8.0465937684962102E-2</v>
      </c>
      <c r="D351">
        <v>-0.26168134777959839</v>
      </c>
      <c r="E351">
        <v>-0.17340131458938887</v>
      </c>
      <c r="F351">
        <v>-0.65079896800872816</v>
      </c>
      <c r="G351">
        <v>0.60280905135224649</v>
      </c>
      <c r="H351">
        <v>8.9698428286085263E-2</v>
      </c>
      <c r="I351">
        <v>0.5188530588753304</v>
      </c>
      <c r="J351">
        <v>0.58300717045110606</v>
      </c>
      <c r="L351">
        <v>1.8921155371167542</v>
      </c>
      <c r="M351">
        <v>4.0699039692595056</v>
      </c>
      <c r="N351">
        <v>2.2139538801473089</v>
      </c>
      <c r="P351">
        <v>4.0406379568335059E-12</v>
      </c>
      <c r="R351">
        <v>4.4451075772253921</v>
      </c>
      <c r="S351">
        <v>4.4471433415054369</v>
      </c>
      <c r="T351">
        <v>1</v>
      </c>
      <c r="U351">
        <v>2.6455701951716675</v>
      </c>
      <c r="AN351" s="7"/>
    </row>
    <row r="352" spans="1:40">
      <c r="A352">
        <v>-1.4439768850639441</v>
      </c>
      <c r="B352">
        <v>0.11007147833409252</v>
      </c>
      <c r="C352">
        <v>7.0913396925041533E-2</v>
      </c>
      <c r="D352">
        <v>0.72794278959504977</v>
      </c>
      <c r="E352">
        <v>0.19035835167567414</v>
      </c>
      <c r="F352">
        <v>-5.794353251488276E-2</v>
      </c>
      <c r="G352">
        <v>0.5331343912051324</v>
      </c>
      <c r="H352">
        <v>0.22250708890835635</v>
      </c>
      <c r="I352">
        <v>0.48293573925757127</v>
      </c>
      <c r="J352">
        <v>0.58998501822362204</v>
      </c>
      <c r="L352">
        <v>1.892115097605372</v>
      </c>
      <c r="M352">
        <v>4.0699038402558179</v>
      </c>
      <c r="N352">
        <v>2.2139544663190032</v>
      </c>
      <c r="P352">
        <v>3.8346157642486554E-12</v>
      </c>
      <c r="R352">
        <v>4.4451075772253921</v>
      </c>
      <c r="S352">
        <v>4.4471433415054369</v>
      </c>
      <c r="T352">
        <v>1</v>
      </c>
      <c r="U352">
        <v>2.6455701951716675</v>
      </c>
      <c r="AN352" s="7" t="s">
        <v>101</v>
      </c>
    </row>
    <row r="353" spans="1:40">
      <c r="A353">
        <v>-1.4395247490825833</v>
      </c>
      <c r="B353">
        <v>0.11584578446127378</v>
      </c>
      <c r="C353">
        <v>0.10240241681974621</v>
      </c>
      <c r="D353">
        <v>-0.1767452030623527</v>
      </c>
      <c r="E353">
        <v>0.27801806903092219</v>
      </c>
      <c r="F353">
        <v>-0.30009242011059356</v>
      </c>
      <c r="G353">
        <v>5.2807756662224259E-2</v>
      </c>
      <c r="H353">
        <v>0.8403416466120166</v>
      </c>
      <c r="I353">
        <v>0.85063575619599097</v>
      </c>
      <c r="J353">
        <v>0.89303361966730921</v>
      </c>
      <c r="L353">
        <v>1.8921150120109118</v>
      </c>
      <c r="M353">
        <v>4.0699039791587346</v>
      </c>
      <c r="N353">
        <v>2.2139540645891085</v>
      </c>
      <c r="P353">
        <v>3.4753224014709508E-12</v>
      </c>
      <c r="R353">
        <v>4.4451075772253921</v>
      </c>
      <c r="S353">
        <v>4.4471433415054369</v>
      </c>
      <c r="T353">
        <v>1</v>
      </c>
      <c r="U353">
        <v>2.6455701951716675</v>
      </c>
      <c r="AN353" s="7"/>
    </row>
    <row r="354" spans="1:40">
      <c r="A354">
        <v>-1.4443777147038279</v>
      </c>
      <c r="B354">
        <v>0.10787318052571374</v>
      </c>
      <c r="C354">
        <v>9.097762215759081E-2</v>
      </c>
      <c r="D354">
        <v>0.19333866339307887</v>
      </c>
      <c r="E354">
        <v>0.46033583827313573</v>
      </c>
      <c r="F354">
        <v>-0.19129038511178953</v>
      </c>
      <c r="G354">
        <v>0.2627719865656063</v>
      </c>
      <c r="H354">
        <v>0.14143998767382868</v>
      </c>
      <c r="I354">
        <v>0.31154762447124656</v>
      </c>
      <c r="J354">
        <v>0.97949254415585196</v>
      </c>
      <c r="L354">
        <v>1.8921152426594965</v>
      </c>
      <c r="M354">
        <v>4.0699041315911089</v>
      </c>
      <c r="N354">
        <v>2.2139537908342057</v>
      </c>
      <c r="P354">
        <v>3.9979630979668945E-12</v>
      </c>
      <c r="R354">
        <v>4.4451075772253921</v>
      </c>
      <c r="S354">
        <v>4.4471433415054369</v>
      </c>
      <c r="T354">
        <v>1</v>
      </c>
      <c r="U354">
        <v>2.6455701951716675</v>
      </c>
      <c r="AN354" s="7"/>
    </row>
    <row r="355" spans="1:40">
      <c r="A355">
        <v>-1.4503359053672287</v>
      </c>
      <c r="B355">
        <v>0.11724895084897924</v>
      </c>
      <c r="C355">
        <v>7.7855752240966705E-2</v>
      </c>
      <c r="D355">
        <v>0.70166253759081731</v>
      </c>
      <c r="E355">
        <v>0.72040132623367903</v>
      </c>
      <c r="F355">
        <v>0.3904029659698019</v>
      </c>
      <c r="G355">
        <v>0.84231818056909447</v>
      </c>
      <c r="H355">
        <v>0.77756614544184599</v>
      </c>
      <c r="I355">
        <v>0.44912983874847967</v>
      </c>
      <c r="J355">
        <v>0.60900056013506521</v>
      </c>
      <c r="L355">
        <v>1.8921154461807055</v>
      </c>
      <c r="M355">
        <v>4.0699038808583801</v>
      </c>
      <c r="N355">
        <v>2.2139541332825576</v>
      </c>
      <c r="P355">
        <v>3.8901782984613303E-12</v>
      </c>
      <c r="R355">
        <v>4.4451075772253921</v>
      </c>
      <c r="S355">
        <v>4.4471433415054369</v>
      </c>
      <c r="T355">
        <v>1</v>
      </c>
      <c r="U355">
        <v>2.6455701951716675</v>
      </c>
      <c r="AN355" s="7"/>
    </row>
    <row r="356" spans="1:40">
      <c r="A356">
        <v>-1.4422539424951064</v>
      </c>
      <c r="B356">
        <v>0.11233835964338529</v>
      </c>
      <c r="C356">
        <v>6.7354935499993829E-2</v>
      </c>
      <c r="D356">
        <v>0.41307583498365441</v>
      </c>
      <c r="E356">
        <v>3.0624371377749263E-2</v>
      </c>
      <c r="F356">
        <v>0.75928009819433762</v>
      </c>
      <c r="G356">
        <v>0.46754078628146234</v>
      </c>
      <c r="H356">
        <v>4.9427779317758151E-3</v>
      </c>
      <c r="I356">
        <v>0.55742874363159933</v>
      </c>
      <c r="J356">
        <v>0.94539244604857653</v>
      </c>
      <c r="L356">
        <v>1.8921152850674299</v>
      </c>
      <c r="M356">
        <v>4.0699038633262026</v>
      </c>
      <c r="N356">
        <v>2.2139543604087302</v>
      </c>
      <c r="P356">
        <v>3.9472805017560313E-12</v>
      </c>
      <c r="R356">
        <v>4.4451075772253921</v>
      </c>
      <c r="S356">
        <v>4.4471433415054369</v>
      </c>
      <c r="T356">
        <v>1</v>
      </c>
      <c r="U356">
        <v>2.6455701951716675</v>
      </c>
      <c r="AN356" s="7" t="s">
        <v>102</v>
      </c>
    </row>
    <row r="357" spans="1:40">
      <c r="A357">
        <v>-1.4464080304672555</v>
      </c>
      <c r="B357">
        <v>0.11646539900331741</v>
      </c>
      <c r="C357">
        <v>9.3441302322796432E-2</v>
      </c>
      <c r="D357">
        <v>-8.5818236968905559E-2</v>
      </c>
      <c r="E357">
        <v>0.25362321586160741</v>
      </c>
      <c r="F357">
        <v>0.18888170820484154</v>
      </c>
      <c r="G357">
        <v>0.51054173127309188</v>
      </c>
      <c r="H357">
        <v>0.64073037549809586</v>
      </c>
      <c r="I357">
        <v>0.26493601288563645</v>
      </c>
      <c r="J357">
        <v>0.9388431311192883</v>
      </c>
      <c r="L357">
        <v>1.8921155877179028</v>
      </c>
      <c r="M357">
        <v>4.0699040212348958</v>
      </c>
      <c r="N357">
        <v>2.2139537680754975</v>
      </c>
      <c r="P357">
        <v>4.2243718218900226E-12</v>
      </c>
      <c r="R357">
        <v>4.4451075772253921</v>
      </c>
      <c r="S357">
        <v>4.4471433415054369</v>
      </c>
      <c r="T357">
        <v>1</v>
      </c>
      <c r="U357">
        <v>2.6455701951716675</v>
      </c>
      <c r="AN357" s="7"/>
    </row>
    <row r="358" spans="1:40">
      <c r="A358">
        <v>-1.4388410223579819</v>
      </c>
      <c r="B358">
        <v>0.12459919482740019</v>
      </c>
      <c r="C358">
        <v>7.1879696487711531E-2</v>
      </c>
      <c r="D358">
        <v>0.10593679222891472</v>
      </c>
      <c r="E358">
        <v>-0.37254311172049098</v>
      </c>
      <c r="F358">
        <v>0.28279969503769575</v>
      </c>
      <c r="G358">
        <v>0.48869754893415501</v>
      </c>
      <c r="H358">
        <v>0.88163077708929172</v>
      </c>
      <c r="I358">
        <v>1.0141069326335466</v>
      </c>
      <c r="J358">
        <v>0.26502137481718657</v>
      </c>
      <c r="L358">
        <v>1.8921151327976213</v>
      </c>
      <c r="M358">
        <v>4.0699037700216572</v>
      </c>
      <c r="N358">
        <v>2.2139543998238471</v>
      </c>
      <c r="P358">
        <v>3.530187068747111E-12</v>
      </c>
      <c r="R358">
        <v>4.4451075772253921</v>
      </c>
      <c r="S358">
        <v>4.4471433415054369</v>
      </c>
      <c r="T358">
        <v>1</v>
      </c>
      <c r="U358">
        <v>2.6455701951716675</v>
      </c>
      <c r="AN358" s="7"/>
    </row>
    <row r="359" spans="1:40">
      <c r="A359">
        <v>-1.4432706783912714</v>
      </c>
      <c r="B359">
        <v>0.11646548402195628</v>
      </c>
      <c r="C359">
        <v>7.6635470780159559E-2</v>
      </c>
      <c r="D359">
        <v>0.11849288054806267</v>
      </c>
      <c r="E359">
        <v>-0.11790475324684248</v>
      </c>
      <c r="F359">
        <v>1.4153561194150989E-3</v>
      </c>
      <c r="G359">
        <v>0.65840896523552661</v>
      </c>
      <c r="H359">
        <v>0.53362583556826615</v>
      </c>
      <c r="I359">
        <v>0.62564241926857034</v>
      </c>
      <c r="J359">
        <v>0.62015513227502295</v>
      </c>
      <c r="L359">
        <v>1.892115577870678</v>
      </c>
      <c r="M359">
        <v>4.0699040108070523</v>
      </c>
      <c r="N359">
        <v>2.2139538320328866</v>
      </c>
      <c r="P359">
        <v>4.2205110301712096E-12</v>
      </c>
      <c r="R359">
        <v>4.4451075772253921</v>
      </c>
      <c r="S359">
        <v>4.4471433415054369</v>
      </c>
      <c r="T359">
        <v>1</v>
      </c>
      <c r="U359">
        <v>2.6455701951716675</v>
      </c>
      <c r="AN359" s="7"/>
    </row>
    <row r="360" spans="1:40">
      <c r="A360">
        <v>-1.4391098007949894</v>
      </c>
      <c r="B360">
        <v>0.12303866716706945</v>
      </c>
      <c r="C360">
        <v>6.8370837230962309E-2</v>
      </c>
      <c r="D360">
        <v>-0.61107354427936789</v>
      </c>
      <c r="E360">
        <v>-0.55827635818400301</v>
      </c>
      <c r="F360">
        <v>0.26851351077518237</v>
      </c>
      <c r="G360">
        <v>0.46639647520617056</v>
      </c>
      <c r="H360">
        <v>6.1972113113584366E-2</v>
      </c>
      <c r="I360">
        <v>0.72054918290789005</v>
      </c>
      <c r="J360">
        <v>0.18891179064272348</v>
      </c>
      <c r="L360">
        <v>1.892115324952699</v>
      </c>
      <c r="M360">
        <v>4.0699041892737968</v>
      </c>
      <c r="N360">
        <v>2.2139537713838395</v>
      </c>
      <c r="P360">
        <v>4.3240633063523553E-12</v>
      </c>
      <c r="R360">
        <v>4.4451075772253921</v>
      </c>
      <c r="S360">
        <v>4.4471433415054369</v>
      </c>
      <c r="T360">
        <v>1</v>
      </c>
      <c r="U360">
        <v>2.6455701951716675</v>
      </c>
      <c r="AN360" s="7" t="s">
        <v>103</v>
      </c>
    </row>
    <row r="361" spans="1:40">
      <c r="A361">
        <v>-1.4099581675092157</v>
      </c>
      <c r="B361">
        <v>0.11746136700695003</v>
      </c>
      <c r="C361">
        <v>2.6135794998915017E-2</v>
      </c>
      <c r="D361">
        <v>-0.41534033477858961</v>
      </c>
      <c r="E361">
        <v>-0.12573108031093486</v>
      </c>
      <c r="F361">
        <v>-5.2719227887604803E-2</v>
      </c>
      <c r="G361">
        <v>0.26552947068038618</v>
      </c>
      <c r="H361">
        <v>0.11088805256228669</v>
      </c>
      <c r="I361">
        <v>0.73240526503387349</v>
      </c>
      <c r="J361">
        <v>0.64853888639662138</v>
      </c>
      <c r="L361">
        <v>1.8921162685375295</v>
      </c>
      <c r="M361">
        <v>3.6319436202280517</v>
      </c>
      <c r="N361">
        <v>2.213953803599694</v>
      </c>
      <c r="P361">
        <v>4.7899430143159791E-12</v>
      </c>
      <c r="R361">
        <v>4.5834127234413451</v>
      </c>
      <c r="S361">
        <v>4.5861496106463111</v>
      </c>
      <c r="T361">
        <v>1</v>
      </c>
      <c r="U361">
        <v>2.320581024106513</v>
      </c>
      <c r="AN361" s="7"/>
    </row>
    <row r="362" spans="1:40">
      <c r="A362">
        <v>-1.4137307302271656</v>
      </c>
      <c r="B362">
        <v>0.12431193621782616</v>
      </c>
      <c r="C362">
        <v>2.8472570569643068E-2</v>
      </c>
      <c r="D362">
        <v>-0.34941418934708407</v>
      </c>
      <c r="E362">
        <v>6.7728592530809841E-3</v>
      </c>
      <c r="F362">
        <v>-2.0731186117594294E-2</v>
      </c>
      <c r="G362">
        <v>0.44821687259601378</v>
      </c>
      <c r="H362">
        <v>0.56776488137466308</v>
      </c>
      <c r="I362">
        <v>0.31419910316454758</v>
      </c>
      <c r="J362">
        <v>0.2745075773942392</v>
      </c>
      <c r="L362">
        <v>1.8921162177158877</v>
      </c>
      <c r="M362">
        <v>3.6319435495926582</v>
      </c>
      <c r="N362">
        <v>2.2139539322972337</v>
      </c>
      <c r="P362">
        <v>4.5692756124788091E-12</v>
      </c>
      <c r="R362">
        <v>4.5834127234413451</v>
      </c>
      <c r="S362">
        <v>4.5861496106463111</v>
      </c>
      <c r="T362">
        <v>1</v>
      </c>
      <c r="U362">
        <v>2.320581024106513</v>
      </c>
      <c r="AN362" s="7"/>
    </row>
    <row r="363" spans="1:40">
      <c r="A363">
        <v>-1.4173084079308691</v>
      </c>
      <c r="B363">
        <v>0.11872685328125478</v>
      </c>
      <c r="C363">
        <v>1.9365195819852788E-2</v>
      </c>
      <c r="D363">
        <v>0.20657479147851857</v>
      </c>
      <c r="E363">
        <v>0.49602549525773643</v>
      </c>
      <c r="F363">
        <v>0.7771855636691728</v>
      </c>
      <c r="G363">
        <v>0.51372385509158713</v>
      </c>
      <c r="H363">
        <v>0.14674004228815549</v>
      </c>
      <c r="I363">
        <v>0.57177894253479367</v>
      </c>
      <c r="J363">
        <v>0.69859393039115703</v>
      </c>
      <c r="L363">
        <v>1.8921149843425349</v>
      </c>
      <c r="M363">
        <v>3.6319437396355303</v>
      </c>
      <c r="N363">
        <v>2.2139543550496152</v>
      </c>
      <c r="P363">
        <v>2.9644926303740171E-12</v>
      </c>
      <c r="R363">
        <v>4.5834127234413451</v>
      </c>
      <c r="S363">
        <v>4.5861496106463111</v>
      </c>
      <c r="T363">
        <v>1</v>
      </c>
      <c r="U363">
        <v>2.320581024106513</v>
      </c>
      <c r="AN363" s="7"/>
    </row>
    <row r="364" spans="1:40">
      <c r="A364">
        <v>-1.41804167084571</v>
      </c>
      <c r="B364">
        <v>0.12544716301347422</v>
      </c>
      <c r="C364">
        <v>2.7154599798968056E-2</v>
      </c>
      <c r="D364">
        <v>1.4733660618726817E-2</v>
      </c>
      <c r="E364">
        <v>0.4609904769157403</v>
      </c>
      <c r="F364">
        <v>0.3372854303463193</v>
      </c>
      <c r="G364">
        <v>0.41491917322317384</v>
      </c>
      <c r="H364">
        <v>0.49536577933389514</v>
      </c>
      <c r="I364">
        <v>7.7531206751336013E-2</v>
      </c>
      <c r="J364">
        <v>7.7201345411771941E-2</v>
      </c>
      <c r="L364">
        <v>1.892116305261706</v>
      </c>
      <c r="M364">
        <v>3.6319436083094403</v>
      </c>
      <c r="N364">
        <v>2.2139538842208606</v>
      </c>
      <c r="P364">
        <v>4.965998707187864E-12</v>
      </c>
      <c r="R364">
        <v>4.5834127234413451</v>
      </c>
      <c r="S364">
        <v>4.5861496106463111</v>
      </c>
      <c r="T364">
        <v>1</v>
      </c>
      <c r="U364">
        <v>2.320581024106513</v>
      </c>
      <c r="AN364" s="7" t="s">
        <v>104</v>
      </c>
    </row>
    <row r="365" spans="1:40">
      <c r="A365">
        <v>-1.4213512965023198</v>
      </c>
      <c r="B365">
        <v>0.11956663531031624</v>
      </c>
      <c r="C365">
        <v>2.245520387634195E-2</v>
      </c>
      <c r="D365">
        <v>5.4660291546822344E-2</v>
      </c>
      <c r="E365">
        <v>0.43085992021768482</v>
      </c>
      <c r="F365">
        <v>0.56685932910266656</v>
      </c>
      <c r="G365">
        <v>0.72026189265838325</v>
      </c>
      <c r="H365">
        <v>0.15721311750575684</v>
      </c>
      <c r="I365">
        <v>0.28714308010186945</v>
      </c>
      <c r="J365">
        <v>0.56043369306565627</v>
      </c>
      <c r="L365">
        <v>1.8921153976768266</v>
      </c>
      <c r="M365">
        <v>3.6319435247391225</v>
      </c>
      <c r="N365">
        <v>2.2139542553267844</v>
      </c>
      <c r="P365">
        <v>2.8238718360383945E-12</v>
      </c>
      <c r="R365">
        <v>4.5834127234413451</v>
      </c>
      <c r="S365">
        <v>4.5861496106463111</v>
      </c>
      <c r="T365">
        <v>1</v>
      </c>
      <c r="U365">
        <v>2.320581024106513</v>
      </c>
      <c r="AN365" s="7"/>
    </row>
    <row r="366" spans="1:40">
      <c r="A366">
        <v>-1.4118234328361097</v>
      </c>
      <c r="B366">
        <v>0.12813420307896295</v>
      </c>
      <c r="C366">
        <v>1.8133779480825486E-2</v>
      </c>
      <c r="D366">
        <v>-0.41866009181044989</v>
      </c>
      <c r="E366">
        <v>-0.42544564380985628</v>
      </c>
      <c r="F366">
        <v>0.34912461379809068</v>
      </c>
      <c r="G366">
        <v>0.85789561506090362</v>
      </c>
      <c r="H366">
        <v>0.94774752187071343</v>
      </c>
      <c r="I366">
        <v>0.49761063989005722</v>
      </c>
      <c r="J366">
        <v>0.54050236217468151</v>
      </c>
      <c r="L366">
        <v>1.8921155904478018</v>
      </c>
      <c r="M366">
        <v>3.6319434792734238</v>
      </c>
      <c r="N366">
        <v>2.2139541997980983</v>
      </c>
      <c r="P366">
        <v>3.013858387306105E-12</v>
      </c>
      <c r="R366">
        <v>4.5834127234413451</v>
      </c>
      <c r="S366">
        <v>4.5861496106463111</v>
      </c>
      <c r="T366">
        <v>1</v>
      </c>
      <c r="U366">
        <v>2.320581024106513</v>
      </c>
      <c r="AN366" s="7"/>
    </row>
    <row r="367" spans="1:40">
      <c r="A367">
        <v>-1.414243573645553</v>
      </c>
      <c r="B367">
        <v>0.11659444042225509</v>
      </c>
      <c r="C367">
        <v>3.5840395752352185E-2</v>
      </c>
      <c r="D367">
        <v>0.20349676484010507</v>
      </c>
      <c r="E367">
        <v>-3.6471418319463371E-2</v>
      </c>
      <c r="F367">
        <v>0.24508879799161939</v>
      </c>
      <c r="G367">
        <v>0.10876753328360018</v>
      </c>
      <c r="H367">
        <v>0.41988841045570918</v>
      </c>
      <c r="I367">
        <v>0.22321745596076209</v>
      </c>
      <c r="J367">
        <v>0.76864195397396562</v>
      </c>
      <c r="L367">
        <v>1.892116176446579</v>
      </c>
      <c r="M367">
        <v>3.6319438560663162</v>
      </c>
      <c r="N367">
        <v>2.2139535753234902</v>
      </c>
      <c r="P367">
        <v>4.9651620997558765E-12</v>
      </c>
      <c r="R367">
        <v>4.5834127234413451</v>
      </c>
      <c r="S367">
        <v>4.5861496106463111</v>
      </c>
      <c r="T367">
        <v>1</v>
      </c>
      <c r="U367">
        <v>2.320581024106513</v>
      </c>
      <c r="AN367" s="7"/>
    </row>
    <row r="368" spans="1:40">
      <c r="A368">
        <v>-1.4140453528297885</v>
      </c>
      <c r="B368">
        <v>0.12107281529047596</v>
      </c>
      <c r="C368">
        <v>2.2006726848607407E-2</v>
      </c>
      <c r="D368">
        <v>-0.22796130017192978</v>
      </c>
      <c r="E368">
        <v>0.64687444802724237</v>
      </c>
      <c r="F368">
        <v>-0.20401552637129702</v>
      </c>
      <c r="G368">
        <v>0.5029678380160012</v>
      </c>
      <c r="H368">
        <v>0.27244273384137363</v>
      </c>
      <c r="I368">
        <v>0.87600995279257965</v>
      </c>
      <c r="J368">
        <v>0.16759333232808135</v>
      </c>
      <c r="L368">
        <v>1.8921161349164424</v>
      </c>
      <c r="M368">
        <v>3.6319435419486834</v>
      </c>
      <c r="N368">
        <v>2.2139540127940216</v>
      </c>
      <c r="P368">
        <v>4.3683724109269025E-12</v>
      </c>
      <c r="R368">
        <v>4.5834127234413451</v>
      </c>
      <c r="S368">
        <v>4.5861496106463111</v>
      </c>
      <c r="T368">
        <v>1</v>
      </c>
      <c r="U368">
        <v>2.320581024106513</v>
      </c>
      <c r="AN368" s="7" t="s">
        <v>105</v>
      </c>
    </row>
    <row r="369" spans="1:40">
      <c r="A369">
        <v>-1.4158170694370598</v>
      </c>
      <c r="B369">
        <v>0.12549522378781228</v>
      </c>
      <c r="C369">
        <v>3.3057516277180975E-2</v>
      </c>
      <c r="D369">
        <v>-0.76663826157615556</v>
      </c>
      <c r="E369">
        <v>-0.15961346229170362</v>
      </c>
      <c r="F369">
        <v>5.9746391658339677E-2</v>
      </c>
      <c r="G369">
        <v>0.64490892926111887</v>
      </c>
      <c r="H369">
        <v>0.58552119148569981</v>
      </c>
      <c r="I369">
        <v>0.1379080291696827</v>
      </c>
      <c r="J369">
        <v>0.49239226523538182</v>
      </c>
      <c r="L369">
        <v>1.8921149359134044</v>
      </c>
      <c r="M369">
        <v>3.6319436418390927</v>
      </c>
      <c r="N369">
        <v>2.2139542836760047</v>
      </c>
      <c r="P369">
        <v>2.5344937326008695E-12</v>
      </c>
      <c r="R369">
        <v>4.5834127234413451</v>
      </c>
      <c r="S369">
        <v>4.5861496106463111</v>
      </c>
      <c r="T369">
        <v>1</v>
      </c>
      <c r="U369">
        <v>2.320581024106513</v>
      </c>
      <c r="AN369" s="7"/>
    </row>
    <row r="370" spans="1:40">
      <c r="A370">
        <v>-1.4149193418646877</v>
      </c>
      <c r="B370">
        <v>0.11971187227115967</v>
      </c>
      <c r="C370">
        <v>4.8625325291608228E-2</v>
      </c>
      <c r="D370">
        <v>-0.61372321428555277</v>
      </c>
      <c r="E370">
        <v>6.6427353880523177E-2</v>
      </c>
      <c r="F370">
        <v>0.15614445843725802</v>
      </c>
      <c r="G370">
        <v>0.13672650215090459</v>
      </c>
      <c r="H370">
        <v>0.46043016407237858</v>
      </c>
      <c r="I370">
        <v>9.0392171261049786E-2</v>
      </c>
      <c r="J370">
        <v>0.93225040194709663</v>
      </c>
      <c r="L370">
        <v>1.8921162256586541</v>
      </c>
      <c r="M370">
        <v>3.6319435579971988</v>
      </c>
      <c r="N370">
        <v>2.213953928500783</v>
      </c>
      <c r="P370">
        <v>4.6118855140880033E-12</v>
      </c>
      <c r="R370">
        <v>4.5834127234413451</v>
      </c>
      <c r="S370">
        <v>4.5861496106463111</v>
      </c>
      <c r="T370">
        <v>1</v>
      </c>
      <c r="U370">
        <v>2.320581024106513</v>
      </c>
      <c r="AN370" s="7"/>
    </row>
    <row r="371" spans="1:40">
      <c r="A371">
        <v>-1.4624622020698759</v>
      </c>
      <c r="B371">
        <v>-7.8869034791904158E-2</v>
      </c>
      <c r="C371">
        <v>1.7196266638564333</v>
      </c>
      <c r="D371">
        <v>0.20293872686587699</v>
      </c>
      <c r="E371">
        <v>-0.21834232212836463</v>
      </c>
      <c r="F371">
        <v>0.51535648879309037</v>
      </c>
      <c r="G371">
        <v>1.4028751269586973E-2</v>
      </c>
      <c r="H371">
        <v>1.338261679048349</v>
      </c>
      <c r="I371">
        <v>0.51554823481929168</v>
      </c>
      <c r="J371">
        <v>1.3114287777062408</v>
      </c>
      <c r="L371">
        <v>0.66415880931473981</v>
      </c>
      <c r="M371">
        <v>4.0699021171389065</v>
      </c>
      <c r="N371">
        <v>3.6319450331364762</v>
      </c>
      <c r="P371">
        <v>7.2602122862088465E-12</v>
      </c>
      <c r="R371">
        <v>66.878380006634089</v>
      </c>
      <c r="S371">
        <v>77.784722012998088</v>
      </c>
      <c r="T371">
        <v>1</v>
      </c>
      <c r="U371">
        <v>2.6753731329906771</v>
      </c>
      <c r="AN371" s="7"/>
    </row>
    <row r="372" spans="1:40">
      <c r="A372">
        <v>-1.4617025776074966</v>
      </c>
      <c r="B372">
        <v>-7.1637659219445926E-2</v>
      </c>
      <c r="C372">
        <v>1.4496236254451216</v>
      </c>
      <c r="D372">
        <v>-0.34563914441006988</v>
      </c>
      <c r="E372">
        <v>1.9505484393250408E-2</v>
      </c>
      <c r="F372">
        <v>-1.0262163228340491</v>
      </c>
      <c r="G372">
        <v>0.14689375329009505</v>
      </c>
      <c r="H372">
        <v>1.2648503616652564</v>
      </c>
      <c r="I372">
        <v>0</v>
      </c>
      <c r="J372">
        <v>0.70490128125674056</v>
      </c>
      <c r="L372">
        <v>0.66415948324223995</v>
      </c>
      <c r="M372">
        <v>4.0699019126834175</v>
      </c>
      <c r="N372">
        <v>3.6319425792343631</v>
      </c>
      <c r="P372">
        <v>1.6694325745492003E-12</v>
      </c>
      <c r="R372">
        <v>66.878380006634089</v>
      </c>
      <c r="S372">
        <v>77.784722012998088</v>
      </c>
      <c r="T372">
        <v>1</v>
      </c>
      <c r="U372">
        <v>2.6753731329906771</v>
      </c>
      <c r="AN372" s="7" t="s">
        <v>106</v>
      </c>
    </row>
    <row r="373" spans="1:40">
      <c r="A373">
        <v>-1.4553999670688145</v>
      </c>
      <c r="B373">
        <v>-7.2905602123223986E-2</v>
      </c>
      <c r="C373">
        <v>1.3488270801786042</v>
      </c>
      <c r="D373">
        <v>-5.0115281133841644E-2</v>
      </c>
      <c r="E373">
        <v>-0.30022781057354819</v>
      </c>
      <c r="F373">
        <v>-1.0252940410986278</v>
      </c>
      <c r="G373">
        <v>1.4359215723438899E-2</v>
      </c>
      <c r="H373">
        <v>1.2998586059443069</v>
      </c>
      <c r="I373">
        <v>0.16355125902760295</v>
      </c>
      <c r="J373">
        <v>1.4270176190687687</v>
      </c>
      <c r="L373">
        <v>0.66415933596612431</v>
      </c>
      <c r="M373">
        <v>4.0699027364301426</v>
      </c>
      <c r="N373">
        <v>3.6319453729999926</v>
      </c>
      <c r="P373">
        <v>1.0142711198325099E-11</v>
      </c>
      <c r="R373">
        <v>66.878380006634089</v>
      </c>
      <c r="S373">
        <v>77.784722012998088</v>
      </c>
      <c r="T373">
        <v>1</v>
      </c>
      <c r="U373">
        <v>2.6753731329906771</v>
      </c>
      <c r="AN373" s="7"/>
    </row>
    <row r="374" spans="1:40">
      <c r="A374">
        <v>-1.4643726249540385</v>
      </c>
      <c r="B374">
        <v>-8.4775887077054149E-2</v>
      </c>
      <c r="C374">
        <v>1.6141632194325441</v>
      </c>
      <c r="D374">
        <v>8.1014814003971133E-2</v>
      </c>
      <c r="E374">
        <v>0.82301647012424106</v>
      </c>
      <c r="F374">
        <v>-0.35994855720128882</v>
      </c>
      <c r="G374">
        <v>0</v>
      </c>
      <c r="H374">
        <v>0.76062527535780744</v>
      </c>
      <c r="I374">
        <v>0.58643345038283312</v>
      </c>
      <c r="J374">
        <v>0.99742528613085513</v>
      </c>
      <c r="L374">
        <v>0.66415844739307928</v>
      </c>
      <c r="M374">
        <v>4.0699030236834046</v>
      </c>
      <c r="N374">
        <v>3.6319433023384198</v>
      </c>
      <c r="P374">
        <v>1.3393056780085655E-12</v>
      </c>
      <c r="R374">
        <v>66.878380006634089</v>
      </c>
      <c r="S374">
        <v>77.784722012998088</v>
      </c>
      <c r="T374">
        <v>1</v>
      </c>
      <c r="U374">
        <v>2.6753731329906771</v>
      </c>
      <c r="AN374" s="7"/>
    </row>
    <row r="375" spans="1:40">
      <c r="A375">
        <v>-1.4676516631069052</v>
      </c>
      <c r="B375">
        <v>-8.7864340290072854E-2</v>
      </c>
      <c r="C375">
        <v>1.5024747450249267</v>
      </c>
      <c r="D375">
        <v>6.8766199572213318E-2</v>
      </c>
      <c r="E375">
        <v>0.91303992406775114</v>
      </c>
      <c r="F375">
        <v>-0.5521419511454968</v>
      </c>
      <c r="G375">
        <v>0.39358880160241316</v>
      </c>
      <c r="H375">
        <v>0.90614417387282331</v>
      </c>
      <c r="I375">
        <v>0.15124225219644513</v>
      </c>
      <c r="J375">
        <v>1.2508988989416903</v>
      </c>
      <c r="L375">
        <v>0.66415889882187729</v>
      </c>
      <c r="M375">
        <v>4.0699016170392168</v>
      </c>
      <c r="N375">
        <v>3.6319432798442142</v>
      </c>
      <c r="P375">
        <v>1.6617316626346586E-12</v>
      </c>
      <c r="R375">
        <v>66.878380006634089</v>
      </c>
      <c r="S375">
        <v>77.784722012998088</v>
      </c>
      <c r="T375">
        <v>1</v>
      </c>
      <c r="U375">
        <v>2.6753731329906771</v>
      </c>
      <c r="AN375" s="7"/>
    </row>
    <row r="376" spans="1:40">
      <c r="A376">
        <v>-1.4621321810344345</v>
      </c>
      <c r="B376">
        <v>-7.5824745075219593E-2</v>
      </c>
      <c r="C376">
        <v>1.7477764952987551</v>
      </c>
      <c r="D376">
        <v>-0.37362564677756033</v>
      </c>
      <c r="E376">
        <v>-0.12026849845225815</v>
      </c>
      <c r="F376">
        <v>-6.1459231943809881E-2</v>
      </c>
      <c r="G376">
        <v>3.2098860631182846E-4</v>
      </c>
      <c r="H376">
        <v>1.3642295507056759</v>
      </c>
      <c r="I376">
        <v>0.58253379859994414</v>
      </c>
      <c r="J376">
        <v>1.0236013776915933</v>
      </c>
      <c r="L376">
        <v>0.66972683076388795</v>
      </c>
      <c r="M376">
        <v>4.0662359947070907</v>
      </c>
      <c r="N376">
        <v>3.6373680980562311</v>
      </c>
      <c r="P376">
        <v>7.3888997494685681E-5</v>
      </c>
      <c r="R376">
        <v>66.878380006634089</v>
      </c>
      <c r="S376">
        <v>77.784722012998088</v>
      </c>
      <c r="T376">
        <v>1</v>
      </c>
      <c r="U376">
        <v>2.6753731329906771</v>
      </c>
      <c r="AN376" s="7" t="s">
        <v>107</v>
      </c>
    </row>
    <row r="377" spans="1:40">
      <c r="A377">
        <v>-1.4614487229307846</v>
      </c>
      <c r="B377">
        <v>-7.5191012022896242E-2</v>
      </c>
      <c r="C377">
        <v>1.6096814972780793</v>
      </c>
      <c r="D377">
        <v>-0.46475121949071646</v>
      </c>
      <c r="E377">
        <v>-0.40027932616791256</v>
      </c>
      <c r="F377">
        <v>8.4424531214724222E-2</v>
      </c>
      <c r="G377">
        <v>0</v>
      </c>
      <c r="H377">
        <v>0.9324498021469837</v>
      </c>
      <c r="I377">
        <v>7.667101346838244E-2</v>
      </c>
      <c r="J377">
        <v>1.1565281292582381</v>
      </c>
      <c r="L377">
        <v>0.6641601963663446</v>
      </c>
      <c r="M377">
        <v>4.0699015696681258</v>
      </c>
      <c r="N377">
        <v>3.631943129769672</v>
      </c>
      <c r="P377">
        <v>4.8046701993525067E-12</v>
      </c>
      <c r="R377">
        <v>66.878380006634089</v>
      </c>
      <c r="S377">
        <v>77.784722012998088</v>
      </c>
      <c r="T377">
        <v>1</v>
      </c>
      <c r="U377">
        <v>2.6753731329906771</v>
      </c>
      <c r="AN377" s="7"/>
    </row>
    <row r="378" spans="1:40">
      <c r="A378">
        <v>-1.4650389466957632</v>
      </c>
      <c r="B378">
        <v>-7.6178153096912088E-2</v>
      </c>
      <c r="C378">
        <v>1.6176669124135066</v>
      </c>
      <c r="D378">
        <v>-0.65673320686263448</v>
      </c>
      <c r="E378">
        <v>2.9951694200327991E-2</v>
      </c>
      <c r="F378">
        <v>-0.27566436637679825</v>
      </c>
      <c r="G378">
        <v>0.259575287509971</v>
      </c>
      <c r="H378">
        <v>0.98595170962318979</v>
      </c>
      <c r="I378">
        <v>0.25492244239352285</v>
      </c>
      <c r="J378">
        <v>0.86079010905798914</v>
      </c>
      <c r="L378">
        <v>0.66415888463042994</v>
      </c>
      <c r="M378">
        <v>4.0699016228496108</v>
      </c>
      <c r="N378">
        <v>3.6319432753947303</v>
      </c>
      <c r="P378">
        <v>1.6281515691918114E-12</v>
      </c>
      <c r="R378">
        <v>66.878380006634089</v>
      </c>
      <c r="S378">
        <v>77.784722012998088</v>
      </c>
      <c r="T378">
        <v>1</v>
      </c>
      <c r="U378">
        <v>2.6753731329906771</v>
      </c>
      <c r="AN378" s="7"/>
    </row>
    <row r="379" spans="1:40">
      <c r="A379">
        <v>-1.4636438244463681</v>
      </c>
      <c r="B379">
        <v>-8.1929720520494131E-2</v>
      </c>
      <c r="C379">
        <v>1.5555312539761654</v>
      </c>
      <c r="D379">
        <v>0.1300780319813272</v>
      </c>
      <c r="E379">
        <v>0.45146117668813546</v>
      </c>
      <c r="F379">
        <v>0.17505087024000796</v>
      </c>
      <c r="G379">
        <v>2.7841860701926132E-7</v>
      </c>
      <c r="H379">
        <v>0.92318724342904734</v>
      </c>
      <c r="I379">
        <v>0.15235103974947056</v>
      </c>
      <c r="J379">
        <v>1.3687267161377255</v>
      </c>
      <c r="L379">
        <v>0.66416039940530569</v>
      </c>
      <c r="M379">
        <v>4.0699036547417968</v>
      </c>
      <c r="N379">
        <v>3.6319447528980477</v>
      </c>
      <c r="P379">
        <v>1.1847725807693591E-11</v>
      </c>
      <c r="R379">
        <v>66.878380006634089</v>
      </c>
      <c r="S379">
        <v>77.784722012998088</v>
      </c>
      <c r="T379">
        <v>1</v>
      </c>
      <c r="U379">
        <v>2.6753731329906771</v>
      </c>
      <c r="AN379" s="7"/>
    </row>
    <row r="380" spans="1:40">
      <c r="A380">
        <v>-1.4673686898577627</v>
      </c>
      <c r="B380">
        <v>-8.5568566448423047E-2</v>
      </c>
      <c r="C380">
        <v>1.7631258680277095</v>
      </c>
      <c r="D380">
        <v>0.33624915421846363</v>
      </c>
      <c r="E380">
        <v>0.28419811378738968</v>
      </c>
      <c r="F380">
        <v>0.14645037082873577</v>
      </c>
      <c r="G380">
        <v>0</v>
      </c>
      <c r="H380">
        <v>0.98302973639671931</v>
      </c>
      <c r="I380">
        <v>0.18608758062472988</v>
      </c>
      <c r="J380">
        <v>0.79757625233210183</v>
      </c>
      <c r="L380">
        <v>0.66416008661247006</v>
      </c>
      <c r="M380">
        <v>4.0699014930253279</v>
      </c>
      <c r="N380">
        <v>3.6319431813656093</v>
      </c>
      <c r="P380">
        <v>4.5926055295672677E-12</v>
      </c>
      <c r="R380">
        <v>66.878380006634089</v>
      </c>
      <c r="S380">
        <v>77.784722012998088</v>
      </c>
      <c r="T380">
        <v>1</v>
      </c>
      <c r="U380">
        <v>2.6753731329906771</v>
      </c>
      <c r="AN380" s="7" t="s">
        <v>108</v>
      </c>
    </row>
    <row r="381" spans="1:40">
      <c r="A381">
        <v>-1.4174048925906482</v>
      </c>
      <c r="B381">
        <v>-8.63251428129303E-2</v>
      </c>
      <c r="C381">
        <v>-0.35685361212218192</v>
      </c>
      <c r="D381">
        <v>-0.32311406283239275</v>
      </c>
      <c r="E381">
        <v>-0.11237557478873852</v>
      </c>
      <c r="F381">
        <v>0.36504337023244332</v>
      </c>
      <c r="G381">
        <v>0.81132679851901224</v>
      </c>
      <c r="H381">
        <v>0.63039315402782314</v>
      </c>
      <c r="I381">
        <v>0.67553143608415556</v>
      </c>
      <c r="J381">
        <v>0.66506618900183168</v>
      </c>
      <c r="L381">
        <v>0.66415677707592435</v>
      </c>
      <c r="M381">
        <v>4.0699036568186839</v>
      </c>
      <c r="N381">
        <v>2.2139526057654231</v>
      </c>
      <c r="P381">
        <v>4.6265705598489282E-12</v>
      </c>
      <c r="R381">
        <v>8.9525427321256767</v>
      </c>
      <c r="S381">
        <v>8.9880513431210201</v>
      </c>
      <c r="T381">
        <v>1</v>
      </c>
      <c r="U381">
        <v>2.6592029397533845</v>
      </c>
      <c r="AN381" s="7"/>
    </row>
    <row r="382" spans="1:40">
      <c r="A382">
        <v>-1.4175670395766793</v>
      </c>
      <c r="B382">
        <v>-8.3806754313279719E-2</v>
      </c>
      <c r="C382">
        <v>-0.32253368980259983</v>
      </c>
      <c r="D382">
        <v>0.1683777723284019</v>
      </c>
      <c r="E382">
        <v>0.53853174610741505</v>
      </c>
      <c r="F382">
        <v>5.6867209865687704E-2</v>
      </c>
      <c r="G382">
        <v>0.16726741299326561</v>
      </c>
      <c r="H382">
        <v>0.37185892254025915</v>
      </c>
      <c r="I382">
        <v>0.46777836776189186</v>
      </c>
      <c r="J382">
        <v>0.7178084126138129</v>
      </c>
      <c r="L382">
        <v>0.66415673924336549</v>
      </c>
      <c r="M382">
        <v>4.0699036733601748</v>
      </c>
      <c r="N382">
        <v>2.2139526350291328</v>
      </c>
      <c r="P382">
        <v>4.7406107075242731E-12</v>
      </c>
      <c r="R382">
        <v>8.9525427321256767</v>
      </c>
      <c r="S382">
        <v>8.9880513431210201</v>
      </c>
      <c r="T382">
        <v>1</v>
      </c>
      <c r="U382">
        <v>2.6592029397533845</v>
      </c>
      <c r="AN382" s="7"/>
    </row>
    <row r="383" spans="1:40">
      <c r="A383">
        <v>-1.4193033704277527</v>
      </c>
      <c r="B383">
        <v>-9.2419594173846431E-2</v>
      </c>
      <c r="C383">
        <v>-0.34638019129723024</v>
      </c>
      <c r="D383">
        <v>7.7187537923678107E-2</v>
      </c>
      <c r="E383">
        <v>-1.6442383656140355E-2</v>
      </c>
      <c r="F383">
        <v>3.7112328117959954E-2</v>
      </c>
      <c r="G383">
        <v>0.67941357774409517</v>
      </c>
      <c r="H383">
        <v>0.40264557741277474</v>
      </c>
      <c r="I383">
        <v>0.18617539356435048</v>
      </c>
      <c r="J383">
        <v>0.88797895353325462</v>
      </c>
      <c r="L383">
        <v>0.66415678598850481</v>
      </c>
      <c r="M383">
        <v>4.0699036238381296</v>
      </c>
      <c r="N383">
        <v>2.213952578463128</v>
      </c>
      <c r="P383">
        <v>4.5563356265157732E-12</v>
      </c>
      <c r="R383">
        <v>8.9525427321256767</v>
      </c>
      <c r="S383">
        <v>8.9880513431210201</v>
      </c>
      <c r="T383">
        <v>1</v>
      </c>
      <c r="U383">
        <v>2.6592029397533845</v>
      </c>
      <c r="AN383" s="7"/>
    </row>
    <row r="384" spans="1:40">
      <c r="A384">
        <v>-1.4136675445978664</v>
      </c>
      <c r="B384">
        <v>-9.1036508899116311E-2</v>
      </c>
      <c r="C384">
        <v>-0.35738807178721421</v>
      </c>
      <c r="D384">
        <v>-0.46210606552124345</v>
      </c>
      <c r="E384">
        <v>-0.27907010680382582</v>
      </c>
      <c r="F384">
        <v>-0.17034091997809173</v>
      </c>
      <c r="G384">
        <v>0.72333032726786783</v>
      </c>
      <c r="H384">
        <v>0.22318952064679465</v>
      </c>
      <c r="I384">
        <v>0.98168871499860666</v>
      </c>
      <c r="J384">
        <v>0.7200634884199163</v>
      </c>
      <c r="L384">
        <v>0.66415722413002931</v>
      </c>
      <c r="M384">
        <v>4.0699036870969607</v>
      </c>
      <c r="N384">
        <v>2.2139521523402839</v>
      </c>
      <c r="P384">
        <v>4.4873952928720645E-12</v>
      </c>
      <c r="R384">
        <v>8.9525427321256767</v>
      </c>
      <c r="S384">
        <v>8.9880513431210201</v>
      </c>
      <c r="T384">
        <v>1</v>
      </c>
      <c r="U384">
        <v>2.6592029397533845</v>
      </c>
      <c r="AN384" s="7" t="s">
        <v>109</v>
      </c>
    </row>
    <row r="385" spans="1:40">
      <c r="A385">
        <v>-1.4124457058043018</v>
      </c>
      <c r="B385">
        <v>-7.3110548083181612E-2</v>
      </c>
      <c r="C385">
        <v>-0.31353743871493356</v>
      </c>
      <c r="D385">
        <v>-0.34312175437961184</v>
      </c>
      <c r="E385">
        <v>-0.36660305388368969</v>
      </c>
      <c r="F385">
        <v>-0.79475948687757425</v>
      </c>
      <c r="G385">
        <v>0.15009596517635079</v>
      </c>
      <c r="H385">
        <v>0.66884242039857211</v>
      </c>
      <c r="I385">
        <v>0.69674676651295575</v>
      </c>
      <c r="J385">
        <v>9.6835752636751815E-2</v>
      </c>
      <c r="L385">
        <v>0.66415674513115297</v>
      </c>
      <c r="M385">
        <v>4.0699035822292098</v>
      </c>
      <c r="N385">
        <v>2.2139526375686618</v>
      </c>
      <c r="P385">
        <v>4.4804181264711594E-12</v>
      </c>
      <c r="R385">
        <v>8.9525427321256767</v>
      </c>
      <c r="S385">
        <v>8.9880513431210201</v>
      </c>
      <c r="T385">
        <v>1</v>
      </c>
      <c r="U385">
        <v>2.6592029397533845</v>
      </c>
      <c r="AN385" s="7"/>
    </row>
    <row r="386" spans="1:40">
      <c r="A386">
        <v>-1.4180360697474601</v>
      </c>
      <c r="B386">
        <v>-9.1971604715298805E-2</v>
      </c>
      <c r="C386">
        <v>-0.35229016357966236</v>
      </c>
      <c r="D386">
        <v>-0.46385627409366503</v>
      </c>
      <c r="E386">
        <v>0.14764363935349745</v>
      </c>
      <c r="F386">
        <v>-0.65973388072096151</v>
      </c>
      <c r="G386">
        <v>0.7253242301468531</v>
      </c>
      <c r="H386">
        <v>8.5194227636593053E-2</v>
      </c>
      <c r="I386">
        <v>0.61600757624893754</v>
      </c>
      <c r="J386">
        <v>0.31082857326901003</v>
      </c>
      <c r="L386">
        <v>0.66415683815614357</v>
      </c>
      <c r="M386">
        <v>4.0699036781560727</v>
      </c>
      <c r="N386">
        <v>2.2139525067407533</v>
      </c>
      <c r="P386">
        <v>4.6699376566444523E-12</v>
      </c>
      <c r="R386">
        <v>8.9525427321256767</v>
      </c>
      <c r="S386">
        <v>8.9880513431210201</v>
      </c>
      <c r="T386">
        <v>1</v>
      </c>
      <c r="U386">
        <v>2.6592029397533845</v>
      </c>
      <c r="AN386" s="7"/>
    </row>
    <row r="387" spans="1:40">
      <c r="A387">
        <v>-1.4171638987557407</v>
      </c>
      <c r="B387">
        <v>-8.6635388001387217E-2</v>
      </c>
      <c r="C387">
        <v>-0.34801410773404712</v>
      </c>
      <c r="D387">
        <v>-0.22703087128565455</v>
      </c>
      <c r="E387">
        <v>-4.939791838091101E-2</v>
      </c>
      <c r="F387">
        <v>-0.32620990083425061</v>
      </c>
      <c r="G387">
        <v>0.92970272392931608</v>
      </c>
      <c r="H387">
        <v>0.84944462134602716</v>
      </c>
      <c r="I387">
        <v>0.99100381939305349</v>
      </c>
      <c r="J387">
        <v>0.65014761815032207</v>
      </c>
      <c r="L387">
        <v>0.66415678026211167</v>
      </c>
      <c r="M387">
        <v>4.0699036530742756</v>
      </c>
      <c r="N387">
        <v>2.2139525926818604</v>
      </c>
      <c r="P387">
        <v>4.6276796023903146E-12</v>
      </c>
      <c r="R387">
        <v>8.9525427321256767</v>
      </c>
      <c r="S387">
        <v>8.9880513431210201</v>
      </c>
      <c r="T387">
        <v>1</v>
      </c>
      <c r="U387">
        <v>2.6592029397533845</v>
      </c>
      <c r="AN387" s="7"/>
    </row>
    <row r="388" spans="1:40">
      <c r="A388">
        <v>-1.4184046607702308</v>
      </c>
      <c r="B388">
        <v>-8.6729465944296355E-2</v>
      </c>
      <c r="C388">
        <v>-0.36698073228344424</v>
      </c>
      <c r="D388">
        <v>0.44923593759877178</v>
      </c>
      <c r="E388">
        <v>0.82667768738968705</v>
      </c>
      <c r="F388">
        <v>0.78697238262522984</v>
      </c>
      <c r="G388">
        <v>0.56355171804110216</v>
      </c>
      <c r="H388">
        <v>0.868170220838136</v>
      </c>
      <c r="I388">
        <v>0.95339925200637676</v>
      </c>
      <c r="J388">
        <v>0.29370410128260827</v>
      </c>
      <c r="L388">
        <v>0.6641567612708158</v>
      </c>
      <c r="M388">
        <v>4.0699036450540333</v>
      </c>
      <c r="N388">
        <v>2.2139526409754513</v>
      </c>
      <c r="P388">
        <v>4.5889266125327132E-12</v>
      </c>
      <c r="R388">
        <v>8.9525427321256767</v>
      </c>
      <c r="S388">
        <v>8.9880513431210201</v>
      </c>
      <c r="T388">
        <v>1</v>
      </c>
      <c r="U388">
        <v>2.6592029397533845</v>
      </c>
      <c r="AN388" s="7" t="s">
        <v>110</v>
      </c>
    </row>
    <row r="389" spans="1:40">
      <c r="A389">
        <v>-1.415317313471909</v>
      </c>
      <c r="B389">
        <v>-8.2860317052881896E-2</v>
      </c>
      <c r="C389">
        <v>-0.35554604699537057</v>
      </c>
      <c r="D389">
        <v>0.17189206269974336</v>
      </c>
      <c r="E389">
        <v>0.22498660367270373</v>
      </c>
      <c r="F389">
        <v>0.33792155476073116</v>
      </c>
      <c r="G389">
        <v>0.31566783994654157</v>
      </c>
      <c r="H389">
        <v>0.63251079828496415</v>
      </c>
      <c r="I389">
        <v>0.66840864380015275</v>
      </c>
      <c r="J389">
        <v>5.9133707091236214E-2</v>
      </c>
      <c r="L389">
        <v>0.66415680803895605</v>
      </c>
      <c r="M389">
        <v>4.0699036440225163</v>
      </c>
      <c r="N389">
        <v>2.2139525610267734</v>
      </c>
      <c r="P389">
        <v>4.5729179553781679E-12</v>
      </c>
      <c r="R389">
        <v>8.9525427321256767</v>
      </c>
      <c r="S389">
        <v>8.9880513431210201</v>
      </c>
      <c r="T389">
        <v>1</v>
      </c>
      <c r="U389">
        <v>2.6592029397533845</v>
      </c>
      <c r="AN389" s="7"/>
    </row>
    <row r="390" spans="1:40">
      <c r="A390">
        <v>-1.4192393110893815</v>
      </c>
      <c r="B390">
        <v>-8.1073894466870411E-2</v>
      </c>
      <c r="C390">
        <v>-0.31712117566745629</v>
      </c>
      <c r="D390">
        <v>-0.3818521369919019</v>
      </c>
      <c r="E390">
        <v>0.78345461476042089</v>
      </c>
      <c r="F390">
        <v>-0.49388597840279275</v>
      </c>
      <c r="G390">
        <v>0.31532455143064175</v>
      </c>
      <c r="H390">
        <v>0.25325547569022627</v>
      </c>
      <c r="I390">
        <v>0.68677774084808374</v>
      </c>
      <c r="J390">
        <v>0.39938399270350144</v>
      </c>
      <c r="L390">
        <v>0.66415679369469716</v>
      </c>
      <c r="M390">
        <v>4.0699036682445549</v>
      </c>
      <c r="N390">
        <v>2.2139525365368522</v>
      </c>
      <c r="P390">
        <v>4.7208516445570253E-12</v>
      </c>
      <c r="R390">
        <v>8.9525427321256767</v>
      </c>
      <c r="S390">
        <v>8.9880513431210201</v>
      </c>
      <c r="T390">
        <v>1</v>
      </c>
      <c r="U390">
        <v>2.6592029397533845</v>
      </c>
      <c r="AN390" s="7"/>
    </row>
    <row r="391" spans="1:40">
      <c r="A391">
        <v>-1.4978337049100885</v>
      </c>
      <c r="B391">
        <v>-7.3835297836878699E-2</v>
      </c>
      <c r="C391">
        <v>-0.16557746792690298</v>
      </c>
      <c r="D391">
        <v>0.634605124085734</v>
      </c>
      <c r="E391">
        <v>-0.92671834714288115</v>
      </c>
      <c r="F391">
        <v>-0.92183589993169612</v>
      </c>
      <c r="G391">
        <v>0.8856754905656945</v>
      </c>
      <c r="H391">
        <v>0.6683719398855158</v>
      </c>
      <c r="I391">
        <v>0.56264774614995772</v>
      </c>
      <c r="J391">
        <v>4.5814662599203373E-2</v>
      </c>
      <c r="L391">
        <v>0.66415822965598392</v>
      </c>
      <c r="M391">
        <v>3.6319427059875165</v>
      </c>
      <c r="N391">
        <v>2.2139541182959865</v>
      </c>
      <c r="P391">
        <v>6.2962441696291155E-13</v>
      </c>
      <c r="R391">
        <v>5.9569668045672843</v>
      </c>
      <c r="S391">
        <v>5.9659507309582951</v>
      </c>
      <c r="T391">
        <v>1</v>
      </c>
      <c r="U391">
        <v>2.3438635611844734</v>
      </c>
      <c r="AN391" s="7"/>
    </row>
    <row r="392" spans="1:40">
      <c r="A392">
        <v>-1.4909176438795244</v>
      </c>
      <c r="B392">
        <v>-6.5658614002635007E-2</v>
      </c>
      <c r="C392">
        <v>-0.12432958576933816</v>
      </c>
      <c r="D392">
        <v>0.43070018518064213</v>
      </c>
      <c r="E392">
        <v>0.17852397880486567</v>
      </c>
      <c r="F392">
        <v>-0.89232277764862089</v>
      </c>
      <c r="G392">
        <v>0.12505201719463668</v>
      </c>
      <c r="H392">
        <v>0.193483926583773</v>
      </c>
      <c r="I392">
        <v>0.76500823871824131</v>
      </c>
      <c r="J392">
        <v>0.57344423613305207</v>
      </c>
      <c r="L392">
        <v>0.66415833579398575</v>
      </c>
      <c r="M392">
        <v>3.6319425836286134</v>
      </c>
      <c r="N392">
        <v>2.2139541477097202</v>
      </c>
      <c r="P392">
        <v>6.1653885211892609E-13</v>
      </c>
      <c r="R392">
        <v>5.9569668045672843</v>
      </c>
      <c r="S392">
        <v>5.9659507309582951</v>
      </c>
      <c r="T392">
        <v>1</v>
      </c>
      <c r="U392">
        <v>2.3438635611844734</v>
      </c>
      <c r="AN392" s="7" t="s">
        <v>111</v>
      </c>
    </row>
    <row r="393" spans="1:40">
      <c r="A393">
        <v>-1.4974983185562303</v>
      </c>
      <c r="B393">
        <v>-7.0362270653543349E-2</v>
      </c>
      <c r="C393">
        <v>-0.15740272181031914</v>
      </c>
      <c r="D393">
        <v>-0.52983068730416905</v>
      </c>
      <c r="E393">
        <v>-0.39598266220295353</v>
      </c>
      <c r="F393">
        <v>-2.3151764116835227E-2</v>
      </c>
      <c r="G393">
        <v>0.92414494205561792</v>
      </c>
      <c r="H393">
        <v>1.9207388363529674E-2</v>
      </c>
      <c r="I393">
        <v>0.79459130446077131</v>
      </c>
      <c r="J393">
        <v>0.80383016451168254</v>
      </c>
      <c r="L393">
        <v>0.66415919738658746</v>
      </c>
      <c r="M393">
        <v>3.63194501465874</v>
      </c>
      <c r="N393">
        <v>2.2139535453603236</v>
      </c>
      <c r="P393">
        <v>7.7164621316700573E-12</v>
      </c>
      <c r="R393">
        <v>5.9569668045672843</v>
      </c>
      <c r="S393">
        <v>5.9659507309582951</v>
      </c>
      <c r="T393">
        <v>1</v>
      </c>
      <c r="U393">
        <v>2.3438635611844734</v>
      </c>
      <c r="AN393" s="7"/>
    </row>
    <row r="394" spans="1:40">
      <c r="A394">
        <v>-1.5035450536159127</v>
      </c>
      <c r="B394">
        <v>-7.2183751190040807E-2</v>
      </c>
      <c r="C394">
        <v>-0.16643454274849526</v>
      </c>
      <c r="D394">
        <v>0.27007545071788597</v>
      </c>
      <c r="E394">
        <v>1.7746980708579194E-2</v>
      </c>
      <c r="F394">
        <v>0.47441540606341093</v>
      </c>
      <c r="G394">
        <v>0.82949465813350509</v>
      </c>
      <c r="H394">
        <v>0.28713562785675589</v>
      </c>
      <c r="I394">
        <v>0.43808274551282289</v>
      </c>
      <c r="J394">
        <v>0.43731024718139694</v>
      </c>
      <c r="L394">
        <v>0.66415855474112484</v>
      </c>
      <c r="M394">
        <v>3.6319428110077454</v>
      </c>
      <c r="N394">
        <v>2.2139545851682145</v>
      </c>
      <c r="P394">
        <v>1.6850651489595015E-12</v>
      </c>
      <c r="R394">
        <v>5.9569668045672843</v>
      </c>
      <c r="S394">
        <v>5.9659507309582951</v>
      </c>
      <c r="T394">
        <v>1</v>
      </c>
      <c r="U394">
        <v>2.3438635611844734</v>
      </c>
      <c r="AN394" s="7"/>
    </row>
    <row r="395" spans="1:40">
      <c r="A395">
        <v>-1.502700968297342</v>
      </c>
      <c r="B395">
        <v>-6.3608901323663133E-2</v>
      </c>
      <c r="C395">
        <v>-0.13438546724602612</v>
      </c>
      <c r="D395">
        <v>0.36257791870563844</v>
      </c>
      <c r="E395">
        <v>0.31160836764066857</v>
      </c>
      <c r="F395">
        <v>-2.6319504240193015E-2</v>
      </c>
      <c r="G395">
        <v>0.91361471760598745</v>
      </c>
      <c r="H395">
        <v>0.993868823873017</v>
      </c>
      <c r="I395">
        <v>0.36341582096371589</v>
      </c>
      <c r="J395">
        <v>0.79574122909235134</v>
      </c>
      <c r="L395">
        <v>0.66415821623792004</v>
      </c>
      <c r="M395">
        <v>3.6319428270868825</v>
      </c>
      <c r="N395">
        <v>2.2139542087185404</v>
      </c>
      <c r="P395">
        <v>8.5987581176135374E-13</v>
      </c>
      <c r="R395">
        <v>5.9569668045672843</v>
      </c>
      <c r="S395">
        <v>5.9659507309582951</v>
      </c>
      <c r="T395">
        <v>1</v>
      </c>
      <c r="U395">
        <v>2.3438635611844734</v>
      </c>
      <c r="AN395" s="7"/>
    </row>
    <row r="396" spans="1:40">
      <c r="A396">
        <v>-1.4893808256701722</v>
      </c>
      <c r="B396">
        <v>-5.7552278601358559E-2</v>
      </c>
      <c r="C396">
        <v>-0.10671024414936583</v>
      </c>
      <c r="D396">
        <v>-0.27600669035613185</v>
      </c>
      <c r="E396">
        <v>0.33694932650949011</v>
      </c>
      <c r="F396">
        <v>-0.65843037154148354</v>
      </c>
      <c r="G396">
        <v>8.2732106212714623E-2</v>
      </c>
      <c r="H396">
        <v>9.3730988842133406E-2</v>
      </c>
      <c r="I396">
        <v>0.5968379948408723</v>
      </c>
      <c r="J396">
        <v>0.89073556645540652</v>
      </c>
      <c r="L396">
        <v>0.66415835492920705</v>
      </c>
      <c r="M396">
        <v>3.6319424249644245</v>
      </c>
      <c r="N396">
        <v>2.2139539298836604</v>
      </c>
      <c r="P396">
        <v>3.0262764966105684E-13</v>
      </c>
      <c r="R396">
        <v>5.9569668045672843</v>
      </c>
      <c r="S396">
        <v>5.9659507309582951</v>
      </c>
      <c r="T396">
        <v>1</v>
      </c>
      <c r="U396">
        <v>2.3438635611844734</v>
      </c>
      <c r="AN396" s="7" t="s">
        <v>112</v>
      </c>
    </row>
    <row r="397" spans="1:40">
      <c r="A397">
        <v>-1.4980390578457192</v>
      </c>
      <c r="B397">
        <v>-6.990674162246753E-2</v>
      </c>
      <c r="C397">
        <v>-0.16681040783649076</v>
      </c>
      <c r="D397">
        <v>7.9741547407159025E-2</v>
      </c>
      <c r="E397">
        <v>-2.7777757039117012E-2</v>
      </c>
      <c r="F397">
        <v>-2.4129389702423159E-2</v>
      </c>
      <c r="G397">
        <v>0.71975414237138036</v>
      </c>
      <c r="H397">
        <v>0.24329046001764809</v>
      </c>
      <c r="I397">
        <v>0.75899349151351825</v>
      </c>
      <c r="J397">
        <v>0.18810099051156021</v>
      </c>
      <c r="L397">
        <v>0.66415826065724837</v>
      </c>
      <c r="M397">
        <v>3.6319424972841898</v>
      </c>
      <c r="N397">
        <v>2.2139538625043902</v>
      </c>
      <c r="P397">
        <v>2.3557578407695122E-13</v>
      </c>
      <c r="R397">
        <v>5.9569668045672843</v>
      </c>
      <c r="S397">
        <v>5.9659507309582951</v>
      </c>
      <c r="T397">
        <v>1</v>
      </c>
      <c r="U397">
        <v>2.3438635611844734</v>
      </c>
      <c r="AN397" s="7"/>
    </row>
    <row r="398" spans="1:40">
      <c r="A398">
        <v>-1.4856323946992034</v>
      </c>
      <c r="B398">
        <v>-5.1819065929727251E-2</v>
      </c>
      <c r="C398">
        <v>-0.13563991234621836</v>
      </c>
      <c r="D398">
        <v>-0.6597775037609318</v>
      </c>
      <c r="E398">
        <v>-0.28171576071799459</v>
      </c>
      <c r="F398">
        <v>0.1623911800580437</v>
      </c>
      <c r="G398">
        <v>0.53787880147595224</v>
      </c>
      <c r="H398">
        <v>0.74292058744616885</v>
      </c>
      <c r="I398">
        <v>0.84441883182120225</v>
      </c>
      <c r="J398">
        <v>0.90184146248230657</v>
      </c>
      <c r="L398">
        <v>0.66415827591138366</v>
      </c>
      <c r="M398">
        <v>3.6319427267315825</v>
      </c>
      <c r="N398">
        <v>2.2139542085817094</v>
      </c>
      <c r="P398">
        <v>7.8133641387281844E-13</v>
      </c>
      <c r="R398">
        <v>5.9569668045672843</v>
      </c>
      <c r="S398">
        <v>5.9659507309582951</v>
      </c>
      <c r="T398">
        <v>1</v>
      </c>
      <c r="U398">
        <v>2.3438635611844734</v>
      </c>
      <c r="AN398" s="7"/>
    </row>
    <row r="399" spans="1:40">
      <c r="A399">
        <v>-1.4873384630408417</v>
      </c>
      <c r="B399">
        <v>-5.6981300335324926E-2</v>
      </c>
      <c r="C399">
        <v>-0.13620255804844608</v>
      </c>
      <c r="D399">
        <v>0.3183677389907919</v>
      </c>
      <c r="E399">
        <v>-7.8990227290299374E-3</v>
      </c>
      <c r="F399">
        <v>0.24670659678424353</v>
      </c>
      <c r="G399">
        <v>4.3064924858543699E-2</v>
      </c>
      <c r="H399">
        <v>0.55588264223188844</v>
      </c>
      <c r="I399">
        <v>0.57648830091945558</v>
      </c>
      <c r="J399">
        <v>0.58478373587014609</v>
      </c>
      <c r="L399">
        <v>0.66415830328122027</v>
      </c>
      <c r="M399">
        <v>3.6319425225669901</v>
      </c>
      <c r="N399">
        <v>2.213954005314843</v>
      </c>
      <c r="P399">
        <v>3.983435193804736E-13</v>
      </c>
      <c r="R399">
        <v>5.9569668045672843</v>
      </c>
      <c r="S399">
        <v>5.9659507309582951</v>
      </c>
      <c r="T399">
        <v>1</v>
      </c>
      <c r="U399">
        <v>2.3438635611844734</v>
      </c>
      <c r="AN399" s="7"/>
    </row>
    <row r="400" spans="1:40">
      <c r="A400">
        <v>-1.4870137019393279</v>
      </c>
      <c r="B400">
        <v>-5.741617204530567E-2</v>
      </c>
      <c r="C400">
        <v>-0.12945528310508031</v>
      </c>
      <c r="D400">
        <v>-2.2190081962070247E-2</v>
      </c>
      <c r="E400">
        <v>-0.47789427573963567</v>
      </c>
      <c r="F400">
        <v>-0.22546509913136958</v>
      </c>
      <c r="G400">
        <v>0.31246990065100605</v>
      </c>
      <c r="H400">
        <v>0.61750812018423307</v>
      </c>
      <c r="I400">
        <v>0.59559758310437516</v>
      </c>
      <c r="J400">
        <v>0.83647340584091701</v>
      </c>
      <c r="L400">
        <v>0.6641580897248841</v>
      </c>
      <c r="M400">
        <v>3.6319428639023217</v>
      </c>
      <c r="N400">
        <v>2.2139539858880317</v>
      </c>
      <c r="P400">
        <v>6.0561946796307497E-13</v>
      </c>
      <c r="R400">
        <v>5.9569668045672843</v>
      </c>
      <c r="S400">
        <v>5.9659507309582951</v>
      </c>
      <c r="T400">
        <v>1</v>
      </c>
      <c r="U400">
        <v>2.3438635611844734</v>
      </c>
      <c r="AN400" s="7" t="s">
        <v>113</v>
      </c>
    </row>
    <row r="401" spans="1:40">
      <c r="A401">
        <v>-1.4332291668877628</v>
      </c>
      <c r="B401">
        <v>8.0198579999209929E-2</v>
      </c>
      <c r="C401">
        <v>-7.9955620350965224E-3</v>
      </c>
      <c r="D401">
        <v>-0.32179916681206622</v>
      </c>
      <c r="E401">
        <v>-3.7549850470193994E-3</v>
      </c>
      <c r="F401">
        <v>-0.18845026638257603</v>
      </c>
      <c r="G401">
        <v>0.4008762050087456</v>
      </c>
      <c r="H401">
        <v>0.94420404383961631</v>
      </c>
      <c r="I401">
        <v>0.25852504221028433</v>
      </c>
      <c r="J401">
        <v>0.25816879017062871</v>
      </c>
      <c r="L401">
        <v>4.0699027329073587</v>
      </c>
      <c r="M401">
        <v>3.6319420477489945</v>
      </c>
      <c r="N401">
        <v>2.2139541719200739</v>
      </c>
      <c r="P401">
        <v>9.1166010924264922E-13</v>
      </c>
      <c r="R401">
        <v>8.7333007686203352</v>
      </c>
      <c r="S401">
        <v>8.7470632700269135</v>
      </c>
      <c r="T401">
        <v>1</v>
      </c>
      <c r="U401">
        <v>2.5827205780251248</v>
      </c>
      <c r="AN401" s="7"/>
    </row>
    <row r="402" spans="1:40">
      <c r="A402">
        <v>-1.4371310259392482</v>
      </c>
      <c r="B402">
        <v>6.1011116233890203E-2</v>
      </c>
      <c r="C402">
        <v>-2.9498896098760365E-2</v>
      </c>
      <c r="D402">
        <v>0.49993031968655061</v>
      </c>
      <c r="E402">
        <v>0.61801454387487076</v>
      </c>
      <c r="F402">
        <v>0.27554330652911524</v>
      </c>
      <c r="G402">
        <v>0.29013216290870109</v>
      </c>
      <c r="H402">
        <v>0.48432401093859428</v>
      </c>
      <c r="I402">
        <v>0.9968850697685675</v>
      </c>
      <c r="J402">
        <v>0.64780853692353968</v>
      </c>
      <c r="L402">
        <v>4.0699028181276278</v>
      </c>
      <c r="M402">
        <v>3.6319420766081252</v>
      </c>
      <c r="N402">
        <v>2.2139543080933044</v>
      </c>
      <c r="P402">
        <v>1.202114316844364E-12</v>
      </c>
      <c r="R402">
        <v>8.7333007686203352</v>
      </c>
      <c r="S402">
        <v>8.7470632700269135</v>
      </c>
      <c r="T402">
        <v>1</v>
      </c>
      <c r="U402">
        <v>2.5827205780251248</v>
      </c>
      <c r="AN402" s="7"/>
    </row>
    <row r="403" spans="1:40">
      <c r="A403">
        <v>-1.4382345074370435</v>
      </c>
      <c r="B403">
        <v>7.0311178679547823E-2</v>
      </c>
      <c r="C403">
        <v>-6.8338031856413108E-3</v>
      </c>
      <c r="D403">
        <v>0.22929559697438304</v>
      </c>
      <c r="E403">
        <v>-2.4587450165163222E-4</v>
      </c>
      <c r="F403">
        <v>-0.34590875748389599</v>
      </c>
      <c r="G403">
        <v>0.36138980157775946</v>
      </c>
      <c r="H403">
        <v>0.37394167884842111</v>
      </c>
      <c r="I403">
        <v>0.14231289816652457</v>
      </c>
      <c r="J403">
        <v>0.41076091931108444</v>
      </c>
      <c r="L403">
        <v>4.0699058058018398</v>
      </c>
      <c r="M403">
        <v>3.6319429975825424</v>
      </c>
      <c r="N403">
        <v>2.213952878573004</v>
      </c>
      <c r="P403">
        <v>1.2766208724029408E-11</v>
      </c>
      <c r="R403">
        <v>8.7333007686203352</v>
      </c>
      <c r="S403">
        <v>8.7470632700269135</v>
      </c>
      <c r="T403">
        <v>1</v>
      </c>
      <c r="U403">
        <v>2.5827205780251248</v>
      </c>
      <c r="AN403" s="7"/>
    </row>
    <row r="404" spans="1:40">
      <c r="A404">
        <v>-1.4338945781681911</v>
      </c>
      <c r="B404">
        <v>6.3940101277750419E-2</v>
      </c>
      <c r="C404">
        <v>-2.7939544388121216E-2</v>
      </c>
      <c r="D404">
        <v>3.3252991353551246E-2</v>
      </c>
      <c r="E404">
        <v>9.4020251655755324E-2</v>
      </c>
      <c r="F404">
        <v>-9.7334999683143381E-2</v>
      </c>
      <c r="G404">
        <v>0.37851895211736508</v>
      </c>
      <c r="H404">
        <v>0.80538299101425159</v>
      </c>
      <c r="I404">
        <v>0.96165738311777971</v>
      </c>
      <c r="J404">
        <v>0.58024848174274724</v>
      </c>
      <c r="L404">
        <v>4.0699030246261829</v>
      </c>
      <c r="M404">
        <v>3.6319419007157498</v>
      </c>
      <c r="N404">
        <v>2.2139543808962068</v>
      </c>
      <c r="P404">
        <v>1.7350212737965317E-12</v>
      </c>
      <c r="R404">
        <v>8.7333007686203352</v>
      </c>
      <c r="S404">
        <v>8.7470632700269135</v>
      </c>
      <c r="T404">
        <v>1</v>
      </c>
      <c r="U404">
        <v>2.5827205780251248</v>
      </c>
      <c r="AN404" s="7" t="s">
        <v>114</v>
      </c>
    </row>
    <row r="405" spans="1:40">
      <c r="A405">
        <v>-1.435764460707263</v>
      </c>
      <c r="B405">
        <v>6.9231074307890259E-2</v>
      </c>
      <c r="C405">
        <v>-1.2144313888971843E-2</v>
      </c>
      <c r="D405">
        <v>0.13838980563902109</v>
      </c>
      <c r="E405">
        <v>-0.36188247824376563</v>
      </c>
      <c r="F405">
        <v>0.51908293597075128</v>
      </c>
      <c r="G405">
        <v>0.1495899399695774</v>
      </c>
      <c r="H405">
        <v>0.36888386752458885</v>
      </c>
      <c r="I405">
        <v>1.7601491790900314E-2</v>
      </c>
      <c r="J405">
        <v>0.83317182152299063</v>
      </c>
      <c r="L405">
        <v>4.0699024842936389</v>
      </c>
      <c r="M405">
        <v>3.6319421918275028</v>
      </c>
      <c r="N405">
        <v>2.2139538311990954</v>
      </c>
      <c r="P405">
        <v>2.6819613970039181E-13</v>
      </c>
      <c r="R405">
        <v>8.7333007686203352</v>
      </c>
      <c r="S405">
        <v>8.7470632700269135</v>
      </c>
      <c r="T405">
        <v>1</v>
      </c>
      <c r="U405">
        <v>2.5827205780251248</v>
      </c>
      <c r="AN405" s="7"/>
    </row>
    <row r="406" spans="1:40">
      <c r="A406">
        <v>-1.4361002298241785</v>
      </c>
      <c r="B406">
        <v>6.8318351626292642E-2</v>
      </c>
      <c r="C406">
        <v>-2.092390182244977E-2</v>
      </c>
      <c r="D406">
        <v>6.8528463049868274E-2</v>
      </c>
      <c r="E406">
        <v>0.29185362649819124</v>
      </c>
      <c r="F406">
        <v>0.80636435792363348</v>
      </c>
      <c r="G406">
        <v>0.26648936830579512</v>
      </c>
      <c r="H406">
        <v>0.36920198951038091</v>
      </c>
      <c r="I406">
        <v>0.55019761371857034</v>
      </c>
      <c r="J406">
        <v>0.90226141935692583</v>
      </c>
      <c r="L406">
        <v>4.0699023954940117</v>
      </c>
      <c r="M406">
        <v>3.6319422342992307</v>
      </c>
      <c r="N406">
        <v>2.2139535651150548</v>
      </c>
      <c r="P406">
        <v>6.5266744696713926E-14</v>
      </c>
      <c r="R406">
        <v>8.7333007686203352</v>
      </c>
      <c r="S406">
        <v>8.7470632700269135</v>
      </c>
      <c r="T406">
        <v>1</v>
      </c>
      <c r="U406">
        <v>2.5827205780251248</v>
      </c>
      <c r="AN406" s="7"/>
    </row>
    <row r="407" spans="1:40">
      <c r="A407">
        <v>-1.4393520294690134</v>
      </c>
      <c r="B407">
        <v>7.8956863566817498E-2</v>
      </c>
      <c r="C407">
        <v>-2.1440755562655345E-2</v>
      </c>
      <c r="D407">
        <v>-0.2065927430810561</v>
      </c>
      <c r="E407">
        <v>0.28464705223531189</v>
      </c>
      <c r="F407">
        <v>0.15429706676810051</v>
      </c>
      <c r="G407">
        <v>0.77764094438740616</v>
      </c>
      <c r="H407">
        <v>0.45610358743209539</v>
      </c>
      <c r="I407">
        <v>0.26354254102173452</v>
      </c>
      <c r="J407">
        <v>0.12532383765679703</v>
      </c>
      <c r="L407">
        <v>4.0699030168308816</v>
      </c>
      <c r="M407">
        <v>3.6319417733860457</v>
      </c>
      <c r="N407">
        <v>2.2139542523756988</v>
      </c>
      <c r="P407">
        <v>1.6287179911147235E-12</v>
      </c>
      <c r="R407">
        <v>8.7333007686203352</v>
      </c>
      <c r="S407">
        <v>8.7470632700269135</v>
      </c>
      <c r="T407">
        <v>1</v>
      </c>
      <c r="U407">
        <v>2.5827205780251248</v>
      </c>
      <c r="AN407" s="7"/>
    </row>
    <row r="408" spans="1:40">
      <c r="A408">
        <v>-1.4390422400995477</v>
      </c>
      <c r="B408">
        <v>7.4528274413943579E-2</v>
      </c>
      <c r="C408">
        <v>8.2172550105073915E-3</v>
      </c>
      <c r="D408">
        <v>0.66796569570847442</v>
      </c>
      <c r="E408">
        <v>0.31407161277058671</v>
      </c>
      <c r="F408">
        <v>6.0528253697416789E-4</v>
      </c>
      <c r="G408">
        <v>0.36498639679432554</v>
      </c>
      <c r="H408">
        <v>0.77305463538688135</v>
      </c>
      <c r="I408">
        <v>4.9914731203303933E-2</v>
      </c>
      <c r="J408">
        <v>0.85155273823791233</v>
      </c>
      <c r="L408">
        <v>4.0699030988560105</v>
      </c>
      <c r="M408">
        <v>3.6319417262035389</v>
      </c>
      <c r="N408">
        <v>2.2139542815135251</v>
      </c>
      <c r="P408">
        <v>1.8625205374234457E-12</v>
      </c>
      <c r="R408">
        <v>8.7333007686203352</v>
      </c>
      <c r="S408">
        <v>8.7470632700269135</v>
      </c>
      <c r="T408">
        <v>1</v>
      </c>
      <c r="U408">
        <v>2.5827205780251248</v>
      </c>
      <c r="AN408" s="7" t="s">
        <v>115</v>
      </c>
    </row>
    <row r="409" spans="1:40">
      <c r="A409">
        <v>-1.4348038226449105</v>
      </c>
      <c r="B409">
        <v>5.5672861587794865E-2</v>
      </c>
      <c r="C409">
        <v>-2.827428311454671E-2</v>
      </c>
      <c r="D409">
        <v>0.49310706780596653</v>
      </c>
      <c r="E409">
        <v>4.4619814360240331E-2</v>
      </c>
      <c r="F409">
        <v>-7.768636262577568E-3</v>
      </c>
      <c r="G409">
        <v>0.15427143979097555</v>
      </c>
      <c r="H409">
        <v>0.61558712805677462</v>
      </c>
      <c r="I409">
        <v>0.9763804155238277</v>
      </c>
      <c r="J409">
        <v>0.82694875415914515</v>
      </c>
      <c r="L409">
        <v>4.0699029824484709</v>
      </c>
      <c r="M409">
        <v>3.6319421180086815</v>
      </c>
      <c r="N409">
        <v>2.2139545006077506</v>
      </c>
      <c r="P409">
        <v>1.7594804802570048E-12</v>
      </c>
      <c r="R409">
        <v>8.7333007686203352</v>
      </c>
      <c r="S409">
        <v>8.7470632700269135</v>
      </c>
      <c r="T409">
        <v>1</v>
      </c>
      <c r="U409">
        <v>2.5827205780251248</v>
      </c>
      <c r="AN409" s="7"/>
    </row>
    <row r="410" spans="1:40">
      <c r="A410">
        <v>-1.4307481194084442</v>
      </c>
      <c r="B410">
        <v>8.3387247755960181E-2</v>
      </c>
      <c r="C410">
        <v>1.6567149335578128E-3</v>
      </c>
      <c r="D410">
        <v>-0.75320903809501116</v>
      </c>
      <c r="E410">
        <v>-3.2737125304968785E-2</v>
      </c>
      <c r="F410">
        <v>-0.51633810227201538</v>
      </c>
      <c r="G410">
        <v>0.29847623318064448</v>
      </c>
      <c r="H410">
        <v>0.91390225246529511</v>
      </c>
      <c r="I410">
        <v>0.23690233040283445</v>
      </c>
      <c r="J410">
        <v>0.21295002468297344</v>
      </c>
      <c r="L410">
        <v>4.0699031633685099</v>
      </c>
      <c r="M410">
        <v>3.6319416174929873</v>
      </c>
      <c r="N410">
        <v>2.2139542052688492</v>
      </c>
      <c r="P410">
        <v>1.9951128114325682E-12</v>
      </c>
      <c r="R410">
        <v>8.7333007686203352</v>
      </c>
      <c r="S410">
        <v>8.7470632700269135</v>
      </c>
      <c r="T410">
        <v>1</v>
      </c>
      <c r="U410">
        <v>2.5827205780251248</v>
      </c>
      <c r="AN410" s="7"/>
    </row>
    <row r="411" spans="1:40">
      <c r="A411">
        <v>1.0852823363035722</v>
      </c>
      <c r="B411">
        <v>-1.0311785623933358</v>
      </c>
      <c r="C411">
        <v>0.22563884391526695</v>
      </c>
      <c r="D411">
        <v>0.44164168226115136</v>
      </c>
      <c r="E411">
        <v>-0.15752460442662969</v>
      </c>
      <c r="F411">
        <v>-0.43400342534872804</v>
      </c>
      <c r="G411">
        <v>0.56604158465377941</v>
      </c>
      <c r="H411">
        <v>0.18099517738322787</v>
      </c>
      <c r="I411">
        <v>0.67967115315794646</v>
      </c>
      <c r="J411">
        <v>3.3430976918579818E-2</v>
      </c>
      <c r="L411">
        <v>3.0886815391853761</v>
      </c>
      <c r="M411">
        <v>4.4543506880376915</v>
      </c>
      <c r="N411">
        <v>0.89860876343094021</v>
      </c>
      <c r="P411">
        <v>3.1059030225440628E-11</v>
      </c>
      <c r="R411">
        <v>7.3891355013234046</v>
      </c>
      <c r="S411">
        <v>7.3967963927114955</v>
      </c>
      <c r="T411">
        <v>1</v>
      </c>
      <c r="U411">
        <v>2.7092482035849557</v>
      </c>
      <c r="AN411" s="7"/>
    </row>
    <row r="412" spans="1:40">
      <c r="A412">
        <v>1.0812786562095666</v>
      </c>
      <c r="B412">
        <v>-1.0388162481778498</v>
      </c>
      <c r="C412">
        <v>0.26556632002389191</v>
      </c>
      <c r="D412">
        <v>-2.8262676211306556E-2</v>
      </c>
      <c r="E412">
        <v>0.34497002379786607</v>
      </c>
      <c r="F412">
        <v>0.44279545468463138</v>
      </c>
      <c r="G412">
        <v>0.60331582033103581</v>
      </c>
      <c r="H412">
        <v>0.94890052930933033</v>
      </c>
      <c r="I412">
        <v>0.81736317275427894</v>
      </c>
      <c r="J412">
        <v>0.4787220254282612</v>
      </c>
      <c r="L412">
        <v>3.088683868434015</v>
      </c>
      <c r="M412">
        <v>4.4543503683298447</v>
      </c>
      <c r="N412">
        <v>0.8986041657984658</v>
      </c>
      <c r="P412">
        <v>3.7197578248707565E-12</v>
      </c>
      <c r="R412">
        <v>7.3891355013234046</v>
      </c>
      <c r="S412">
        <v>7.3967963927114955</v>
      </c>
      <c r="T412">
        <v>1</v>
      </c>
      <c r="U412">
        <v>2.7092482035849557</v>
      </c>
      <c r="AN412" s="7" t="s">
        <v>116</v>
      </c>
    </row>
    <row r="413" spans="1:40">
      <c r="A413">
        <v>1.0884742650710895</v>
      </c>
      <c r="B413">
        <v>-1.0300835932658174</v>
      </c>
      <c r="C413">
        <v>0.2500895781379921</v>
      </c>
      <c r="D413">
        <v>-0.20599256272866817</v>
      </c>
      <c r="E413">
        <v>0.32520968319072041</v>
      </c>
      <c r="F413">
        <v>0.17662516002608739</v>
      </c>
      <c r="G413">
        <v>0.18294625858633293</v>
      </c>
      <c r="H413">
        <v>0.18770815292137563</v>
      </c>
      <c r="I413">
        <v>0.41488157395168401</v>
      </c>
      <c r="J413">
        <v>0.3454532103027495</v>
      </c>
      <c r="L413">
        <v>3.0886821335644927</v>
      </c>
      <c r="M413">
        <v>4.4543502736212215</v>
      </c>
      <c r="N413">
        <v>0.89860874234449795</v>
      </c>
      <c r="P413">
        <v>3.0610645528712789E-11</v>
      </c>
      <c r="R413">
        <v>7.3891355013234046</v>
      </c>
      <c r="S413">
        <v>7.3967963927114955</v>
      </c>
      <c r="T413">
        <v>1</v>
      </c>
      <c r="U413">
        <v>2.7092482035849557</v>
      </c>
      <c r="AN413" s="7"/>
    </row>
    <row r="414" spans="1:40">
      <c r="A414">
        <v>1.0899471848797262</v>
      </c>
      <c r="B414">
        <v>-1.0291822328728297</v>
      </c>
      <c r="C414">
        <v>0.23627167995298418</v>
      </c>
      <c r="D414">
        <v>0.30466718220729744</v>
      </c>
      <c r="E414">
        <v>-1.2727171065936498E-2</v>
      </c>
      <c r="F414">
        <v>-0.66900013060043562</v>
      </c>
      <c r="G414">
        <v>0.56857841670828613</v>
      </c>
      <c r="H414">
        <v>0.4969878507128897</v>
      </c>
      <c r="I414">
        <v>0.54592299663859178</v>
      </c>
      <c r="J414">
        <v>0.15820737599644641</v>
      </c>
      <c r="L414">
        <v>3.0886817949977652</v>
      </c>
      <c r="M414">
        <v>4.4543504960332472</v>
      </c>
      <c r="N414">
        <v>0.89860877690667251</v>
      </c>
      <c r="P414">
        <v>3.0994501472925356E-11</v>
      </c>
      <c r="R414">
        <v>7.3891355013234046</v>
      </c>
      <c r="S414">
        <v>7.3967963927114955</v>
      </c>
      <c r="T414">
        <v>1</v>
      </c>
      <c r="U414">
        <v>2.7092482035849557</v>
      </c>
      <c r="AN414" s="7"/>
    </row>
    <row r="415" spans="1:40">
      <c r="A415">
        <v>1.0730469041495407</v>
      </c>
      <c r="B415">
        <v>-1.0479094139331155</v>
      </c>
      <c r="C415">
        <v>0.25760285140603828</v>
      </c>
      <c r="D415">
        <v>-0.25685867218077008</v>
      </c>
      <c r="E415">
        <v>-6.1416534946901087E-2</v>
      </c>
      <c r="F415">
        <v>0.83351430181070785</v>
      </c>
      <c r="G415">
        <v>0.93692153580033477</v>
      </c>
      <c r="H415">
        <v>0.31517487779615566</v>
      </c>
      <c r="I415">
        <v>0.77937952973371416</v>
      </c>
      <c r="J415">
        <v>0.3819924530848906</v>
      </c>
      <c r="L415">
        <v>3.0886806808541856</v>
      </c>
      <c r="M415">
        <v>4.4543513775582895</v>
      </c>
      <c r="N415">
        <v>0.89860843668843093</v>
      </c>
      <c r="P415">
        <v>2.9816177092016195E-11</v>
      </c>
      <c r="R415">
        <v>7.3891355013234046</v>
      </c>
      <c r="S415">
        <v>7.3967963927114955</v>
      </c>
      <c r="T415">
        <v>1</v>
      </c>
      <c r="U415">
        <v>2.7092482035849557</v>
      </c>
      <c r="AN415" s="7"/>
    </row>
    <row r="416" spans="1:40">
      <c r="A416">
        <v>1.0850049902281516</v>
      </c>
      <c r="B416">
        <v>-1.0403629512708816</v>
      </c>
      <c r="C416">
        <v>0.26586230956646079</v>
      </c>
      <c r="D416">
        <v>-0.83946095027102474</v>
      </c>
      <c r="E416">
        <v>2.9111484277629173E-2</v>
      </c>
      <c r="F416">
        <v>0.15878836292444326</v>
      </c>
      <c r="G416">
        <v>0.78231073965039966</v>
      </c>
      <c r="H416">
        <v>0.20329972557139236</v>
      </c>
      <c r="I416">
        <v>0.2264354691202394</v>
      </c>
      <c r="J416">
        <v>0.45125786344171503</v>
      </c>
      <c r="L416">
        <v>3.0886818477613498</v>
      </c>
      <c r="M416">
        <v>4.4543511160753022</v>
      </c>
      <c r="N416">
        <v>0.89860672133308239</v>
      </c>
      <c r="P416">
        <v>1.2412358428777972E-11</v>
      </c>
      <c r="R416">
        <v>7.3891355013234046</v>
      </c>
      <c r="S416">
        <v>7.3967963927114955</v>
      </c>
      <c r="T416">
        <v>1</v>
      </c>
      <c r="U416">
        <v>2.7092482035849557</v>
      </c>
      <c r="AN416" s="7" t="s">
        <v>117</v>
      </c>
    </row>
    <row r="417" spans="1:40">
      <c r="A417">
        <v>1.0854473080973557</v>
      </c>
      <c r="B417">
        <v>-1.0350033827182252</v>
      </c>
      <c r="C417">
        <v>0.24955945163343377</v>
      </c>
      <c r="D417">
        <v>0.25175471951608908</v>
      </c>
      <c r="E417">
        <v>0.11837402886436231</v>
      </c>
      <c r="F417">
        <v>0.25967381899024355</v>
      </c>
      <c r="G417">
        <v>0.3019153206682168</v>
      </c>
      <c r="H417">
        <v>0.29670593063338513</v>
      </c>
      <c r="I417">
        <v>0.18272469699355598</v>
      </c>
      <c r="J417">
        <v>0.13628169332104942</v>
      </c>
      <c r="L417">
        <v>3.0886844015166437</v>
      </c>
      <c r="M417">
        <v>4.4543494266560719</v>
      </c>
      <c r="N417">
        <v>0.89860609319123941</v>
      </c>
      <c r="P417">
        <v>1.4731400934823135E-11</v>
      </c>
      <c r="R417">
        <v>7.3891355013234046</v>
      </c>
      <c r="S417">
        <v>7.3967963927114955</v>
      </c>
      <c r="T417">
        <v>1</v>
      </c>
      <c r="U417">
        <v>2.7092482035849557</v>
      </c>
      <c r="AN417" s="7"/>
    </row>
    <row r="418" spans="1:40">
      <c r="A418">
        <v>1.0946179772620523</v>
      </c>
      <c r="B418">
        <v>-1.0250493684477877</v>
      </c>
      <c r="C418">
        <v>0.23895531940839207</v>
      </c>
      <c r="D418">
        <v>-0.11054965977462727</v>
      </c>
      <c r="E418">
        <v>-0.12683419315801964</v>
      </c>
      <c r="F418">
        <v>-0.68584949182283694</v>
      </c>
      <c r="G418">
        <v>0.26378566079917187</v>
      </c>
      <c r="H418">
        <v>0.10719232158619023</v>
      </c>
      <c r="I418">
        <v>3.1123928710862333E-2</v>
      </c>
      <c r="J418">
        <v>0.13198866642709925</v>
      </c>
      <c r="L418">
        <v>3.0886828408396583</v>
      </c>
      <c r="M418">
        <v>4.4543498393192351</v>
      </c>
      <c r="N418">
        <v>0.89860848003228389</v>
      </c>
      <c r="P418">
        <v>2.8786297790619346E-11</v>
      </c>
      <c r="R418">
        <v>7.3891355013234046</v>
      </c>
      <c r="S418">
        <v>7.3967963927114955</v>
      </c>
      <c r="T418">
        <v>1</v>
      </c>
      <c r="U418">
        <v>2.7092482035849557</v>
      </c>
      <c r="AN418" s="7"/>
    </row>
    <row r="419" spans="1:40">
      <c r="A419">
        <v>1.0966536967584681</v>
      </c>
      <c r="B419">
        <v>-1.0266593188683975</v>
      </c>
      <c r="C419">
        <v>0.25086595001015816</v>
      </c>
      <c r="D419">
        <v>-0.30703863602863751</v>
      </c>
      <c r="E419">
        <v>0.77178333504749375</v>
      </c>
      <c r="F419">
        <v>-0.30466073259049004</v>
      </c>
      <c r="G419">
        <v>0.2967465288057205</v>
      </c>
      <c r="H419">
        <v>0.22175140147200056</v>
      </c>
      <c r="I419">
        <v>0.40942254526543403</v>
      </c>
      <c r="J419">
        <v>0.53914618286579519</v>
      </c>
      <c r="L419">
        <v>3.0886818090675283</v>
      </c>
      <c r="M419">
        <v>4.4543504876734472</v>
      </c>
      <c r="N419">
        <v>0.89860877593731969</v>
      </c>
      <c r="P419">
        <v>3.097660794281416E-11</v>
      </c>
      <c r="R419">
        <v>7.3891355013234046</v>
      </c>
      <c r="S419">
        <v>7.3967963927114955</v>
      </c>
      <c r="T419">
        <v>1</v>
      </c>
      <c r="U419">
        <v>2.7092482035849557</v>
      </c>
      <c r="AN419" s="7"/>
    </row>
    <row r="420" spans="1:40">
      <c r="A420">
        <v>1.0924336732943238</v>
      </c>
      <c r="B420">
        <v>-1.0324661794234722</v>
      </c>
      <c r="C420">
        <v>0.24602646938623574</v>
      </c>
      <c r="D420">
        <v>-0.3935976659914121</v>
      </c>
      <c r="E420">
        <v>0.59578501704417897</v>
      </c>
      <c r="F420">
        <v>-0.30099586673289297</v>
      </c>
      <c r="G420">
        <v>0.65454384755394934</v>
      </c>
      <c r="H420">
        <v>0</v>
      </c>
      <c r="I420">
        <v>0.52432437031307177</v>
      </c>
      <c r="J420">
        <v>0.49496046218829309</v>
      </c>
      <c r="L420">
        <v>3.0886812760818598</v>
      </c>
      <c r="M420">
        <v>4.4543509956412484</v>
      </c>
      <c r="N420">
        <v>0.898605259790763</v>
      </c>
      <c r="P420">
        <v>5.0591498026915457E-12</v>
      </c>
      <c r="R420">
        <v>7.3891355013234046</v>
      </c>
      <c r="S420">
        <v>7.3967963927114955</v>
      </c>
      <c r="T420">
        <v>1</v>
      </c>
      <c r="U420">
        <v>2.7092482035849557</v>
      </c>
      <c r="AN420" s="7" t="s">
        <v>118</v>
      </c>
    </row>
    <row r="421" spans="1:40">
      <c r="A421">
        <v>0.97478047889719432</v>
      </c>
      <c r="B421">
        <v>-1.1422821367740266</v>
      </c>
      <c r="C421">
        <v>0.39931964032412143</v>
      </c>
      <c r="D421">
        <v>-0.34645254843456241</v>
      </c>
      <c r="E421">
        <v>0.1802434768028324</v>
      </c>
      <c r="F421">
        <v>-0.23537382483083027</v>
      </c>
      <c r="G421">
        <v>0.15783324877173568</v>
      </c>
      <c r="H421">
        <v>0.32355003820341344</v>
      </c>
      <c r="I421">
        <v>0.47737696442172678</v>
      </c>
      <c r="J421">
        <v>0.87838634045097252</v>
      </c>
      <c r="L421">
        <v>3.0886836866700569</v>
      </c>
      <c r="M421">
        <v>4.4543563748497883</v>
      </c>
      <c r="N421">
        <v>3.6312390130135683</v>
      </c>
      <c r="P421">
        <v>9.6778592279935977E-11</v>
      </c>
      <c r="R421">
        <v>11.408090690260389</v>
      </c>
      <c r="S421">
        <v>11.431778758175978</v>
      </c>
      <c r="T421">
        <v>1</v>
      </c>
      <c r="U421">
        <v>2.4540744544120479</v>
      </c>
      <c r="AN421" s="7"/>
    </row>
    <row r="422" spans="1:40">
      <c r="A422">
        <v>0.98604030159389833</v>
      </c>
      <c r="B422">
        <v>-1.1398817002943229</v>
      </c>
      <c r="C422">
        <v>0.38910773854482394</v>
      </c>
      <c r="D422">
        <v>4.2608338839949238E-2</v>
      </c>
      <c r="E422">
        <v>0.15305798441885476</v>
      </c>
      <c r="F422">
        <v>-0.48763076974171804</v>
      </c>
      <c r="G422">
        <v>0.64262655645176292</v>
      </c>
      <c r="H422">
        <v>0.46098889685779382</v>
      </c>
      <c r="I422">
        <v>9.8510681718724971E-2</v>
      </c>
      <c r="J422">
        <v>0.15106516390557304</v>
      </c>
      <c r="L422">
        <v>3.0886823080187558</v>
      </c>
      <c r="M422">
        <v>4.4543571979494248</v>
      </c>
      <c r="N422">
        <v>3.6312392964894995</v>
      </c>
      <c r="P422">
        <v>1.0010684665607291E-10</v>
      </c>
      <c r="R422">
        <v>11.408090690260389</v>
      </c>
      <c r="S422">
        <v>11.431778758175978</v>
      </c>
      <c r="T422">
        <v>1</v>
      </c>
      <c r="U422">
        <v>2.4540744544120479</v>
      </c>
      <c r="AN422" s="7"/>
    </row>
    <row r="423" spans="1:40">
      <c r="A423">
        <v>0.98426097355650066</v>
      </c>
      <c r="B423">
        <v>-1.1285378791081067</v>
      </c>
      <c r="C423">
        <v>0.38706983062512157</v>
      </c>
      <c r="D423">
        <v>-8.6406796453883106E-3</v>
      </c>
      <c r="E423">
        <v>-0.18455302119196357</v>
      </c>
      <c r="F423">
        <v>-0.36728132480583625</v>
      </c>
      <c r="G423">
        <v>0.11189615018399904</v>
      </c>
      <c r="H423">
        <v>0.98014591813773777</v>
      </c>
      <c r="I423">
        <v>0.60687277232346015</v>
      </c>
      <c r="J423">
        <v>0.3615702668192225</v>
      </c>
      <c r="L423">
        <v>3.0886823721659344</v>
      </c>
      <c r="M423">
        <v>4.4543571159091977</v>
      </c>
      <c r="N423">
        <v>3.6312393160864613</v>
      </c>
      <c r="P423">
        <v>9.8775041591380999E-11</v>
      </c>
      <c r="R423">
        <v>11.408090690260389</v>
      </c>
      <c r="S423">
        <v>11.431778758175978</v>
      </c>
      <c r="T423">
        <v>1</v>
      </c>
      <c r="U423">
        <v>2.4540744544120479</v>
      </c>
      <c r="AN423" s="7"/>
    </row>
    <row r="424" spans="1:40">
      <c r="A424">
        <v>0.97207857886660676</v>
      </c>
      <c r="B424">
        <v>-1.1453306964086714</v>
      </c>
      <c r="C424">
        <v>0.39520095808347627</v>
      </c>
      <c r="D424">
        <v>0.12301658289444213</v>
      </c>
      <c r="E424">
        <v>-0.14002646111029796</v>
      </c>
      <c r="F424">
        <v>-0.44306723366823514</v>
      </c>
      <c r="G424">
        <v>0.17546285429531255</v>
      </c>
      <c r="H424">
        <v>0.34590906830184825</v>
      </c>
      <c r="I424">
        <v>0.19014452072944441</v>
      </c>
      <c r="J424">
        <v>0.90389873788958308</v>
      </c>
      <c r="L424">
        <v>3.0886819010096742</v>
      </c>
      <c r="M424">
        <v>4.4543573423798408</v>
      </c>
      <c r="N424">
        <v>3.6312394872089233</v>
      </c>
      <c r="P424">
        <v>9.9189138090285422E-11</v>
      </c>
      <c r="R424">
        <v>11.408090690260389</v>
      </c>
      <c r="S424">
        <v>11.431778758175978</v>
      </c>
      <c r="T424">
        <v>1</v>
      </c>
      <c r="U424">
        <v>2.4540744544120479</v>
      </c>
      <c r="AN424" s="7" t="s">
        <v>119</v>
      </c>
    </row>
    <row r="425" spans="1:40">
      <c r="A425">
        <v>0.99715404921648088</v>
      </c>
      <c r="B425">
        <v>-1.1264259000888008</v>
      </c>
      <c r="C425">
        <v>0.37669109964601505</v>
      </c>
      <c r="D425">
        <v>-0.62476838448161964</v>
      </c>
      <c r="E425">
        <v>-0.25879538312613271</v>
      </c>
      <c r="F425">
        <v>0.17211640951440688</v>
      </c>
      <c r="G425">
        <v>0.8965725593437357</v>
      </c>
      <c r="H425">
        <v>0.60160432161707911</v>
      </c>
      <c r="I425">
        <v>0.36613650032634104</v>
      </c>
      <c r="J425">
        <v>0.24972973276844765</v>
      </c>
      <c r="L425">
        <v>3.088683083425142</v>
      </c>
      <c r="M425">
        <v>4.4543567641330526</v>
      </c>
      <c r="N425">
        <v>3.6312390684301108</v>
      </c>
      <c r="P425">
        <v>9.900887747641596E-11</v>
      </c>
      <c r="R425">
        <v>11.408090690260389</v>
      </c>
      <c r="S425">
        <v>11.431778758175978</v>
      </c>
      <c r="T425">
        <v>1</v>
      </c>
      <c r="U425">
        <v>2.4540744544120479</v>
      </c>
      <c r="AN425" s="7"/>
    </row>
    <row r="426" spans="1:40">
      <c r="A426">
        <v>0.99441467042616105</v>
      </c>
      <c r="B426">
        <v>-1.1391011332183245</v>
      </c>
      <c r="C426">
        <v>0.39268454529486696</v>
      </c>
      <c r="D426">
        <v>0.1739342681166916</v>
      </c>
      <c r="E426">
        <v>0.66291352264344028</v>
      </c>
      <c r="F426">
        <v>0.37608356653251251</v>
      </c>
      <c r="G426">
        <v>0.91257403119191938</v>
      </c>
      <c r="H426">
        <v>0.69333143742303038</v>
      </c>
      <c r="I426">
        <v>3.4644266782902E-2</v>
      </c>
      <c r="J426">
        <v>0.14357798930427867</v>
      </c>
      <c r="L426">
        <v>3.0886838255416604</v>
      </c>
      <c r="M426">
        <v>4.454356306253155</v>
      </c>
      <c r="N426">
        <v>3.6312389396545348</v>
      </c>
      <c r="P426">
        <v>9.7614276678557039E-11</v>
      </c>
      <c r="R426">
        <v>11.408090690260389</v>
      </c>
      <c r="S426">
        <v>11.431778758175978</v>
      </c>
      <c r="T426">
        <v>1</v>
      </c>
      <c r="U426">
        <v>2.4540744544120479</v>
      </c>
      <c r="AN426" s="7"/>
    </row>
    <row r="427" spans="1:40">
      <c r="A427">
        <v>0.9755378516604577</v>
      </c>
      <c r="B427">
        <v>-1.1303489535691946</v>
      </c>
      <c r="C427">
        <v>0.36162004385758106</v>
      </c>
      <c r="D427">
        <v>0.14542931585589128</v>
      </c>
      <c r="E427">
        <v>-0.52175352357709137</v>
      </c>
      <c r="F427">
        <v>-0.50896712381079856</v>
      </c>
      <c r="G427">
        <v>0</v>
      </c>
      <c r="H427">
        <v>0.14750029030750345</v>
      </c>
      <c r="I427">
        <v>0.86591953588952975</v>
      </c>
      <c r="J427">
        <v>0.93176387426607221</v>
      </c>
      <c r="L427">
        <v>3.0886820086472375</v>
      </c>
      <c r="M427">
        <v>4.4543572939349998</v>
      </c>
      <c r="N427">
        <v>3.6312394931898053</v>
      </c>
      <c r="P427">
        <v>9.8407133119679146E-11</v>
      </c>
      <c r="R427">
        <v>11.408090690260389</v>
      </c>
      <c r="S427">
        <v>11.431778758175978</v>
      </c>
      <c r="T427">
        <v>1</v>
      </c>
      <c r="U427">
        <v>2.4540744544120479</v>
      </c>
      <c r="AN427" s="7"/>
    </row>
    <row r="428" spans="1:40">
      <c r="A428">
        <v>0.98734354966752247</v>
      </c>
      <c r="B428">
        <v>-1.1330314724016655</v>
      </c>
      <c r="C428">
        <v>0.37131520791715544</v>
      </c>
      <c r="D428">
        <v>0.62416221639711722</v>
      </c>
      <c r="E428">
        <v>1.2634390965626066E-2</v>
      </c>
      <c r="F428">
        <v>-1.190567696469832E-2</v>
      </c>
      <c r="G428">
        <v>0.63561285928942202</v>
      </c>
      <c r="H428">
        <v>0.81052127239027694</v>
      </c>
      <c r="I428">
        <v>0.55071189565947531</v>
      </c>
      <c r="J428">
        <v>0.5762231521784853</v>
      </c>
      <c r="L428">
        <v>3.0886816753183139</v>
      </c>
      <c r="M428">
        <v>4.4543574567109667</v>
      </c>
      <c r="N428">
        <v>3.6312396095842914</v>
      </c>
      <c r="P428">
        <v>9.9082616162350913E-11</v>
      </c>
      <c r="R428">
        <v>11.408090690260389</v>
      </c>
      <c r="S428">
        <v>11.431778758175978</v>
      </c>
      <c r="T428">
        <v>1</v>
      </c>
      <c r="U428">
        <v>2.4540744544120479</v>
      </c>
      <c r="AN428" s="7" t="s">
        <v>120</v>
      </c>
    </row>
    <row r="429" spans="1:40">
      <c r="A429">
        <v>0.98891325586980072</v>
      </c>
      <c r="B429">
        <v>-1.13145391827571</v>
      </c>
      <c r="C429">
        <v>0.37135357384432166</v>
      </c>
      <c r="D429">
        <v>0.30030063789569206</v>
      </c>
      <c r="E429">
        <v>-0.38383832089581549</v>
      </c>
      <c r="F429">
        <v>-0.1248586489419214</v>
      </c>
      <c r="G429">
        <v>0.49101352359629319</v>
      </c>
      <c r="H429">
        <v>0.46941472282610497</v>
      </c>
      <c r="I429">
        <v>6.3113527463344948E-2</v>
      </c>
      <c r="J429">
        <v>0.26757773103555071</v>
      </c>
      <c r="L429">
        <v>3.0886824624331677</v>
      </c>
      <c r="M429">
        <v>4.4543570887835777</v>
      </c>
      <c r="N429">
        <v>3.6312392397972784</v>
      </c>
      <c r="P429">
        <v>9.9640942213186628E-11</v>
      </c>
      <c r="R429">
        <v>11.408090690260389</v>
      </c>
      <c r="S429">
        <v>11.431778758175978</v>
      </c>
      <c r="T429">
        <v>1</v>
      </c>
      <c r="U429">
        <v>2.4540744544120479</v>
      </c>
      <c r="AN429" s="7"/>
    </row>
    <row r="430" spans="1:40">
      <c r="A430">
        <v>0.98208580526565969</v>
      </c>
      <c r="B430">
        <v>-1.1352176947979979</v>
      </c>
      <c r="C430">
        <v>0.39732858093450152</v>
      </c>
      <c r="D430">
        <v>1.1082071639524235E-2</v>
      </c>
      <c r="E430">
        <v>0.10047393027830774</v>
      </c>
      <c r="F430">
        <v>-4.2657941405479509E-2</v>
      </c>
      <c r="G430">
        <v>3.2430549659521767E-2</v>
      </c>
      <c r="H430">
        <v>0.7274847638611035</v>
      </c>
      <c r="I430">
        <v>0.24758684789175439</v>
      </c>
      <c r="J430">
        <v>0.42859886633348998</v>
      </c>
      <c r="L430">
        <v>3.0886839747000714</v>
      </c>
      <c r="M430">
        <v>4.4543561535196314</v>
      </c>
      <c r="N430">
        <v>3.6312390027974013</v>
      </c>
      <c r="P430">
        <v>9.5438383507121556E-11</v>
      </c>
      <c r="R430">
        <v>11.408090690260389</v>
      </c>
      <c r="S430">
        <v>11.431778758175978</v>
      </c>
      <c r="T430">
        <v>1</v>
      </c>
      <c r="U430">
        <v>2.4540744544120479</v>
      </c>
      <c r="AN430" s="7"/>
    </row>
    <row r="431" spans="1:40">
      <c r="A431">
        <v>1.1630218309106526</v>
      </c>
      <c r="B431">
        <v>-0.9493381939944745</v>
      </c>
      <c r="C431">
        <v>0.12700102056582147</v>
      </c>
      <c r="D431">
        <v>0.78343483236825207</v>
      </c>
      <c r="E431">
        <v>-9.1371886267713212E-2</v>
      </c>
      <c r="F431">
        <v>-0.50933371858882059</v>
      </c>
      <c r="G431">
        <v>0.15444482112219574</v>
      </c>
      <c r="H431">
        <v>0.43109334431635238</v>
      </c>
      <c r="I431">
        <v>0.64383967159709943</v>
      </c>
      <c r="J431">
        <v>0.16812437341020126</v>
      </c>
      <c r="L431">
        <v>3.0886826062871671</v>
      </c>
      <c r="M431">
        <v>4.4543512776466248</v>
      </c>
      <c r="N431">
        <v>0.83482674171895888</v>
      </c>
      <c r="P431">
        <v>6.5452879874943215E-12</v>
      </c>
      <c r="R431">
        <v>4.6361113776923766</v>
      </c>
      <c r="S431">
        <v>4.638002539904412</v>
      </c>
      <c r="T431">
        <v>1</v>
      </c>
      <c r="U431">
        <v>2.429166693537649</v>
      </c>
      <c r="AN431" s="7"/>
    </row>
    <row r="432" spans="1:40">
      <c r="A432">
        <v>1.1658759953418336</v>
      </c>
      <c r="B432">
        <v>-0.95199548782296439</v>
      </c>
      <c r="C432">
        <v>0.15670962367601546</v>
      </c>
      <c r="D432">
        <v>-4.6392119605062176E-2</v>
      </c>
      <c r="E432">
        <v>0.26767853962272214</v>
      </c>
      <c r="F432">
        <v>-0.82134208935710273</v>
      </c>
      <c r="G432">
        <v>6.153284680419447E-2</v>
      </c>
      <c r="H432">
        <v>0.50054418975563464</v>
      </c>
      <c r="I432">
        <v>0.28769141090769085</v>
      </c>
      <c r="J432">
        <v>0.80300078513172057</v>
      </c>
      <c r="L432">
        <v>3.0886840776307198</v>
      </c>
      <c r="M432">
        <v>4.4543499417606069</v>
      </c>
      <c r="N432">
        <v>0.83482692472527642</v>
      </c>
      <c r="P432">
        <v>9.4132432773969079E-12</v>
      </c>
      <c r="R432">
        <v>4.6361113776923766</v>
      </c>
      <c r="S432">
        <v>4.638002539904412</v>
      </c>
      <c r="T432">
        <v>1</v>
      </c>
      <c r="U432">
        <v>2.429166693537649</v>
      </c>
      <c r="AN432" s="7" t="s">
        <v>121</v>
      </c>
    </row>
    <row r="433" spans="1:40">
      <c r="A433">
        <v>1.16808236981116</v>
      </c>
      <c r="B433">
        <v>-0.95024326352227051</v>
      </c>
      <c r="C433">
        <v>0.1174578623775219</v>
      </c>
      <c r="D433">
        <v>0.66116194859095523</v>
      </c>
      <c r="E433">
        <v>-0.76962028974766683</v>
      </c>
      <c r="F433">
        <v>0.22101966620685121</v>
      </c>
      <c r="G433">
        <v>0.69327614289501682</v>
      </c>
      <c r="H433">
        <v>0.24653788729098144</v>
      </c>
      <c r="I433">
        <v>0.12948680790719322</v>
      </c>
      <c r="J433">
        <v>0.73051925387615624</v>
      </c>
      <c r="L433">
        <v>3.0886839455398838</v>
      </c>
      <c r="M433">
        <v>4.4543497571506068</v>
      </c>
      <c r="N433">
        <v>0.83482810497776738</v>
      </c>
      <c r="P433">
        <v>5.2532500751589278E-12</v>
      </c>
      <c r="R433">
        <v>4.6361113776923766</v>
      </c>
      <c r="S433">
        <v>4.638002539904412</v>
      </c>
      <c r="T433">
        <v>1</v>
      </c>
      <c r="U433">
        <v>2.429166693537649</v>
      </c>
      <c r="AN433" s="7"/>
    </row>
    <row r="434" spans="1:40">
      <c r="A434">
        <v>1.1736005409838397</v>
      </c>
      <c r="B434">
        <v>-0.93665521201642488</v>
      </c>
      <c r="C434">
        <v>0.132663789000208</v>
      </c>
      <c r="D434">
        <v>-0.15116886037173097</v>
      </c>
      <c r="E434">
        <v>-0.43762021686258773</v>
      </c>
      <c r="F434">
        <v>0.29524323025924221</v>
      </c>
      <c r="G434">
        <v>0.12601319465153374</v>
      </c>
      <c r="H434">
        <v>0.7226659244935898</v>
      </c>
      <c r="I434">
        <v>0.62593572697710542</v>
      </c>
      <c r="J434">
        <v>0.24656712714121687</v>
      </c>
      <c r="L434">
        <v>3.0886840725053815</v>
      </c>
      <c r="M434">
        <v>4.4543498565888617</v>
      </c>
      <c r="N434">
        <v>0.83482790607664592</v>
      </c>
      <c r="P434">
        <v>5.9941143623239187E-12</v>
      </c>
      <c r="R434">
        <v>4.6361113776923766</v>
      </c>
      <c r="S434">
        <v>4.638002539904412</v>
      </c>
      <c r="T434">
        <v>1</v>
      </c>
      <c r="U434">
        <v>2.429166693537649</v>
      </c>
      <c r="AN434" s="7"/>
    </row>
    <row r="435" spans="1:40">
      <c r="A435">
        <v>1.17084453247901</v>
      </c>
      <c r="B435">
        <v>-0.94520722017848213</v>
      </c>
      <c r="C435">
        <v>0.12179327652639284</v>
      </c>
      <c r="D435">
        <v>-9.8144675784401406E-2</v>
      </c>
      <c r="E435">
        <v>-0.18351508479328121</v>
      </c>
      <c r="F435">
        <v>-0.12302340769334792</v>
      </c>
      <c r="G435">
        <v>0.51313949485771004</v>
      </c>
      <c r="H435">
        <v>1.7596974652238341E-2</v>
      </c>
      <c r="I435">
        <v>0.63170915849837506</v>
      </c>
      <c r="J435">
        <v>0.24527304306215006</v>
      </c>
      <c r="L435">
        <v>3.0886825642267102</v>
      </c>
      <c r="M435">
        <v>4.4543512600677513</v>
      </c>
      <c r="N435">
        <v>0.83482676237648412</v>
      </c>
      <c r="P435">
        <v>6.3965888914719719E-12</v>
      </c>
      <c r="R435">
        <v>4.6361113776923766</v>
      </c>
      <c r="S435">
        <v>4.638002539904412</v>
      </c>
      <c r="T435">
        <v>1</v>
      </c>
      <c r="U435">
        <v>2.429166693537649</v>
      </c>
      <c r="AN435" s="7"/>
    </row>
    <row r="436" spans="1:40">
      <c r="A436">
        <v>1.181679219691496</v>
      </c>
      <c r="B436">
        <v>-0.93786341582910615</v>
      </c>
      <c r="C436">
        <v>0.12756645096422961</v>
      </c>
      <c r="D436">
        <v>-4.8097722825287438E-3</v>
      </c>
      <c r="E436">
        <v>0.1654619068222847</v>
      </c>
      <c r="F436">
        <v>0.39022584518260683</v>
      </c>
      <c r="G436">
        <v>0.78509941885786372</v>
      </c>
      <c r="H436">
        <v>0.89043959660788785</v>
      </c>
      <c r="I436">
        <v>0.91762471288111735</v>
      </c>
      <c r="J436">
        <v>0.52270001185727244</v>
      </c>
      <c r="L436">
        <v>3.0886821349731752</v>
      </c>
      <c r="M436">
        <v>4.4543512663490903</v>
      </c>
      <c r="N436">
        <v>0.83482845109343684</v>
      </c>
      <c r="P436">
        <v>8.3638741957272317E-13</v>
      </c>
      <c r="R436">
        <v>4.6361113776923766</v>
      </c>
      <c r="S436">
        <v>4.638002539904412</v>
      </c>
      <c r="T436">
        <v>1</v>
      </c>
      <c r="U436">
        <v>2.429166693537649</v>
      </c>
      <c r="AN436" s="7" t="s">
        <v>122</v>
      </c>
    </row>
    <row r="437" spans="1:40">
      <c r="A437">
        <v>1.1656609067847741</v>
      </c>
      <c r="B437">
        <v>-0.94440381655036709</v>
      </c>
      <c r="C437">
        <v>0.13635736261079975</v>
      </c>
      <c r="D437">
        <v>-2.3178602176246739E-2</v>
      </c>
      <c r="E437">
        <v>-0.69742386516644395</v>
      </c>
      <c r="F437">
        <v>4.5097147411878216E-2</v>
      </c>
      <c r="G437">
        <v>7.30678580037874E-2</v>
      </c>
      <c r="H437">
        <v>0.49793737389213244</v>
      </c>
      <c r="I437">
        <v>0.3600912889740675</v>
      </c>
      <c r="J437">
        <v>0.61221272975073349</v>
      </c>
      <c r="L437">
        <v>3.0886821718078807</v>
      </c>
      <c r="M437">
        <v>4.4543513948748954</v>
      </c>
      <c r="N437">
        <v>0.83482799916901973</v>
      </c>
      <c r="P437">
        <v>1.8735399491763132E-12</v>
      </c>
      <c r="R437">
        <v>4.6361113776923766</v>
      </c>
      <c r="S437">
        <v>4.638002539904412</v>
      </c>
      <c r="T437">
        <v>1</v>
      </c>
      <c r="U437">
        <v>2.429166693537649</v>
      </c>
      <c r="AN437" s="7"/>
    </row>
    <row r="438" spans="1:40">
      <c r="A438">
        <v>1.1752360473079708</v>
      </c>
      <c r="B438">
        <v>-0.9387974358726201</v>
      </c>
      <c r="C438">
        <v>0.12988948258885077</v>
      </c>
      <c r="D438">
        <v>9.6767323858205967E-2</v>
      </c>
      <c r="E438">
        <v>-0.4750137389816631</v>
      </c>
      <c r="F438">
        <v>2.2623603630137375E-2</v>
      </c>
      <c r="G438">
        <v>0.52558078925962637</v>
      </c>
      <c r="H438">
        <v>0.98045714929622707</v>
      </c>
      <c r="I438">
        <v>0.68468082810948783</v>
      </c>
      <c r="J438">
        <v>0.36515096876781405</v>
      </c>
      <c r="L438">
        <v>3.0886838877214942</v>
      </c>
      <c r="M438">
        <v>4.454350194748935</v>
      </c>
      <c r="N438">
        <v>0.8348264677867846</v>
      </c>
      <c r="P438">
        <v>1.0694878897501431E-11</v>
      </c>
      <c r="R438">
        <v>4.6361113776923766</v>
      </c>
      <c r="S438">
        <v>4.638002539904412</v>
      </c>
      <c r="T438">
        <v>1</v>
      </c>
      <c r="U438">
        <v>2.429166693537649</v>
      </c>
      <c r="AN438" s="7"/>
    </row>
    <row r="439" spans="1:40">
      <c r="A439">
        <v>1.1697379911293166</v>
      </c>
      <c r="B439">
        <v>-0.93896429301790219</v>
      </c>
      <c r="C439">
        <v>0.11822122968344508</v>
      </c>
      <c r="D439">
        <v>2.6060460749561948E-2</v>
      </c>
      <c r="E439">
        <v>-0.49260918739572512</v>
      </c>
      <c r="F439">
        <v>0.63771271643613658</v>
      </c>
      <c r="G439">
        <v>0.34467399446615105</v>
      </c>
      <c r="H439">
        <v>0.47820159916171762</v>
      </c>
      <c r="I439">
        <v>0.98011889747481895</v>
      </c>
      <c r="J439">
        <v>0.43192032417011328</v>
      </c>
      <c r="L439">
        <v>3.0886836720471034</v>
      </c>
      <c r="M439">
        <v>4.4543503823997916</v>
      </c>
      <c r="N439">
        <v>0.83482620814726949</v>
      </c>
      <c r="P439">
        <v>1.1338878430863101E-11</v>
      </c>
      <c r="R439">
        <v>4.6361113776923766</v>
      </c>
      <c r="S439">
        <v>4.638002539904412</v>
      </c>
      <c r="T439">
        <v>1</v>
      </c>
      <c r="U439">
        <v>2.429166693537649</v>
      </c>
      <c r="AN439" s="7"/>
    </row>
    <row r="440" spans="1:40">
      <c r="A440">
        <v>1.1806932239465928</v>
      </c>
      <c r="B440">
        <v>-0.93726348785225677</v>
      </c>
      <c r="C440">
        <v>0.12892265406181283</v>
      </c>
      <c r="D440">
        <v>-0.46157330847073075</v>
      </c>
      <c r="E440">
        <v>-0.31793286418944794</v>
      </c>
      <c r="F440">
        <v>0.23608917307170355</v>
      </c>
      <c r="G440">
        <v>0.6814830908539613</v>
      </c>
      <c r="H440">
        <v>0.58495519912192606</v>
      </c>
      <c r="I440">
        <v>0.58560391851375926</v>
      </c>
      <c r="J440">
        <v>0.38312887030266268</v>
      </c>
      <c r="L440">
        <v>3.0886830408596304</v>
      </c>
      <c r="M440">
        <v>4.4543509476392611</v>
      </c>
      <c r="N440">
        <v>0.8348262649498831</v>
      </c>
      <c r="P440">
        <v>9.4405451321944654E-12</v>
      </c>
      <c r="R440">
        <v>4.6361113776923766</v>
      </c>
      <c r="S440">
        <v>4.638002539904412</v>
      </c>
      <c r="T440">
        <v>1</v>
      </c>
      <c r="U440">
        <v>2.429166693537649</v>
      </c>
      <c r="AN440" s="7" t="s">
        <v>123</v>
      </c>
    </row>
    <row r="441" spans="1:40">
      <c r="A441">
        <v>1.0391344879101003</v>
      </c>
      <c r="B441">
        <v>-1.0162408526771154</v>
      </c>
      <c r="C441">
        <v>0.1441442710694513</v>
      </c>
      <c r="D441">
        <v>2.0442328546719166E-2</v>
      </c>
      <c r="E441">
        <v>0.26775408620060537</v>
      </c>
      <c r="F441">
        <v>-0.18086694337627743</v>
      </c>
      <c r="G441">
        <v>0.88260321148071941</v>
      </c>
      <c r="H441">
        <v>0.84932966203906579</v>
      </c>
      <c r="I441">
        <v>0.76416194022764405</v>
      </c>
      <c r="J441">
        <v>0.16605896378691254</v>
      </c>
      <c r="L441">
        <v>3.088681077275329</v>
      </c>
      <c r="M441">
        <v>0.89860715019480808</v>
      </c>
      <c r="N441">
        <v>3.6312471955152317</v>
      </c>
      <c r="P441">
        <v>1.6713510105330168E-11</v>
      </c>
      <c r="R441">
        <v>8.6715605532701154</v>
      </c>
      <c r="S441">
        <v>8.6904484429411184</v>
      </c>
      <c r="T441">
        <v>1</v>
      </c>
      <c r="U441">
        <v>2.6903862902504834</v>
      </c>
      <c r="AN441" s="7"/>
    </row>
    <row r="442" spans="1:40">
      <c r="A442">
        <v>1.0367655116858445</v>
      </c>
      <c r="B442">
        <v>-0.98982812174185186</v>
      </c>
      <c r="C442">
        <v>7.0739113972573431E-2</v>
      </c>
      <c r="D442">
        <v>0.26313391985802159</v>
      </c>
      <c r="E442">
        <v>-0.69526727430451973</v>
      </c>
      <c r="F442">
        <v>-4.1257266784574524E-2</v>
      </c>
      <c r="G442">
        <v>0.19792016318991179</v>
      </c>
      <c r="H442">
        <v>3.0019449525466264E-2</v>
      </c>
      <c r="I442">
        <v>0.3785556451654144</v>
      </c>
      <c r="J442">
        <v>0.83526644804245997</v>
      </c>
      <c r="L442">
        <v>3.0886809248078988</v>
      </c>
      <c r="M442">
        <v>0.8986069785648475</v>
      </c>
      <c r="N442">
        <v>3.6312472749485774</v>
      </c>
      <c r="P442">
        <v>1.5815119864678467E-11</v>
      </c>
      <c r="R442">
        <v>8.6715605532701154</v>
      </c>
      <c r="S442">
        <v>8.6904484429411184</v>
      </c>
      <c r="T442">
        <v>1</v>
      </c>
      <c r="U442">
        <v>2.6903862902504834</v>
      </c>
      <c r="AN442" s="7"/>
    </row>
    <row r="443" spans="1:40">
      <c r="A443">
        <v>1.0362120800169259</v>
      </c>
      <c r="B443">
        <v>-1.0259671941945501</v>
      </c>
      <c r="C443">
        <v>0.14067354307505481</v>
      </c>
      <c r="D443">
        <v>0.26295169481815017</v>
      </c>
      <c r="E443">
        <v>0.82672111553878247</v>
      </c>
      <c r="F443">
        <v>0.3876004988710845</v>
      </c>
      <c r="G443">
        <v>0.9538990624189192</v>
      </c>
      <c r="H443">
        <v>8.8277039218953718E-2</v>
      </c>
      <c r="I443">
        <v>0.52263861681544255</v>
      </c>
      <c r="J443">
        <v>0.45797203530999919</v>
      </c>
      <c r="L443">
        <v>3.0886808130220187</v>
      </c>
      <c r="M443">
        <v>0.89860702920964675</v>
      </c>
      <c r="N443">
        <v>3.6312471778666167</v>
      </c>
      <c r="P443">
        <v>1.6453853683102962E-11</v>
      </c>
      <c r="R443">
        <v>8.6715605532701154</v>
      </c>
      <c r="S443">
        <v>8.6904484429411184</v>
      </c>
      <c r="T443">
        <v>1</v>
      </c>
      <c r="U443">
        <v>2.6903862902504834</v>
      </c>
      <c r="AN443" s="7"/>
    </row>
    <row r="444" spans="1:40">
      <c r="A444">
        <v>1.0359884502195127</v>
      </c>
      <c r="B444">
        <v>-0.99746788359149519</v>
      </c>
      <c r="C444">
        <v>9.7376889746621925E-2</v>
      </c>
      <c r="D444">
        <v>6.6674698468522989E-2</v>
      </c>
      <c r="E444">
        <v>-0.3472890421185294</v>
      </c>
      <c r="F444">
        <v>-0.31395241888532155</v>
      </c>
      <c r="G444">
        <v>0.42833285066475474</v>
      </c>
      <c r="H444">
        <v>0.5168995412217029</v>
      </c>
      <c r="I444">
        <v>0.60856875468575156</v>
      </c>
      <c r="J444">
        <v>0.68930358286543336</v>
      </c>
      <c r="L444">
        <v>3.0886812183526033</v>
      </c>
      <c r="M444">
        <v>0.89860726194552398</v>
      </c>
      <c r="N444">
        <v>3.6312468121717889</v>
      </c>
      <c r="P444">
        <v>1.7276299417399728E-11</v>
      </c>
      <c r="R444">
        <v>8.6715605532701154</v>
      </c>
      <c r="S444">
        <v>8.6904484429411184</v>
      </c>
      <c r="T444">
        <v>1</v>
      </c>
      <c r="U444">
        <v>2.6903862902504834</v>
      </c>
      <c r="AN444" s="7" t="s">
        <v>124</v>
      </c>
    </row>
    <row r="445" spans="1:40">
      <c r="A445">
        <v>1.036514784035133</v>
      </c>
      <c r="B445">
        <v>-1.0093419635614216</v>
      </c>
      <c r="C445">
        <v>0.14242450194254747</v>
      </c>
      <c r="D445">
        <v>-0.67653304704955364</v>
      </c>
      <c r="E445">
        <v>0.45734432087918347</v>
      </c>
      <c r="F445">
        <v>0.40848889245410458</v>
      </c>
      <c r="G445">
        <v>0.53547768687631614</v>
      </c>
      <c r="H445">
        <v>0.68634754433509981</v>
      </c>
      <c r="I445">
        <v>0.89163849670666928</v>
      </c>
      <c r="J445">
        <v>0.74570235330218115</v>
      </c>
      <c r="L445">
        <v>3.0886810391200776</v>
      </c>
      <c r="M445">
        <v>0.89860716012442066</v>
      </c>
      <c r="N445">
        <v>3.6312469855511007</v>
      </c>
      <c r="P445">
        <v>1.6834332009772711E-11</v>
      </c>
      <c r="R445">
        <v>8.6715605532701154</v>
      </c>
      <c r="S445">
        <v>8.6904484429411184</v>
      </c>
      <c r="T445">
        <v>1</v>
      </c>
      <c r="U445">
        <v>2.6903862902504834</v>
      </c>
      <c r="AN445" s="7"/>
    </row>
    <row r="446" spans="1:40">
      <c r="A446">
        <v>1.0375704932209915</v>
      </c>
      <c r="B446">
        <v>-1.0064233162729406</v>
      </c>
      <c r="C446">
        <v>0.12941784112599339</v>
      </c>
      <c r="D446">
        <v>0.18106392895211959</v>
      </c>
      <c r="E446">
        <v>-0.55900595161709843</v>
      </c>
      <c r="F446">
        <v>-0.19449464497764155</v>
      </c>
      <c r="G446">
        <v>0.46670031529460515</v>
      </c>
      <c r="H446">
        <v>0.96301209189836445</v>
      </c>
      <c r="I446">
        <v>2.4932918494952683E-3</v>
      </c>
      <c r="J446">
        <v>0.30058160045253107</v>
      </c>
      <c r="L446">
        <v>3.0886809616638726</v>
      </c>
      <c r="M446">
        <v>0.89860711040622976</v>
      </c>
      <c r="N446">
        <v>3.6312470278532936</v>
      </c>
      <c r="P446">
        <v>1.6639673379029772E-11</v>
      </c>
      <c r="R446">
        <v>8.6715605532701154</v>
      </c>
      <c r="S446">
        <v>8.6904484429411184</v>
      </c>
      <c r="T446">
        <v>1</v>
      </c>
      <c r="U446">
        <v>2.6903862902504834</v>
      </c>
      <c r="AN446" s="7"/>
    </row>
    <row r="447" spans="1:40">
      <c r="A447">
        <v>1.0341896297721076</v>
      </c>
      <c r="B447">
        <v>-1.0124218290401665</v>
      </c>
      <c r="C447">
        <v>0.13422710963814974</v>
      </c>
      <c r="D447">
        <v>7.0578163187993786E-4</v>
      </c>
      <c r="E447">
        <v>0.55698445446086231</v>
      </c>
      <c r="F447">
        <v>-6.4115676645798148E-2</v>
      </c>
      <c r="G447">
        <v>0.15090581606796002</v>
      </c>
      <c r="H447">
        <v>0.16694279055902356</v>
      </c>
      <c r="I447">
        <v>3.3839143733717957E-2</v>
      </c>
      <c r="J447">
        <v>0.15110330457390914</v>
      </c>
      <c r="L447">
        <v>3.0886821690506854</v>
      </c>
      <c r="M447">
        <v>0.89860320456944665</v>
      </c>
      <c r="N447">
        <v>3.6312466226563274</v>
      </c>
      <c r="P447">
        <v>1.3222634420039883E-13</v>
      </c>
      <c r="R447">
        <v>8.6715605532701154</v>
      </c>
      <c r="S447">
        <v>8.6904484429411184</v>
      </c>
      <c r="T447">
        <v>1</v>
      </c>
      <c r="U447">
        <v>2.6903862902504834</v>
      </c>
      <c r="AN447" s="7"/>
    </row>
    <row r="448" spans="1:40">
      <c r="A448">
        <v>1.0383560059245565</v>
      </c>
      <c r="B448">
        <v>-1.0024052553360547</v>
      </c>
      <c r="C448">
        <v>9.368777420082533E-2</v>
      </c>
      <c r="D448">
        <v>0.40155349528513523</v>
      </c>
      <c r="E448">
        <v>0.32177057045135576</v>
      </c>
      <c r="F448">
        <v>-0.35589737523394616</v>
      </c>
      <c r="G448">
        <v>0.45836192523610075</v>
      </c>
      <c r="H448">
        <v>0</v>
      </c>
      <c r="I448">
        <v>0.91347392126745686</v>
      </c>
      <c r="J448">
        <v>0.22895437270492827</v>
      </c>
      <c r="L448">
        <v>3.0886823231464096</v>
      </c>
      <c r="M448">
        <v>0.8986072487184581</v>
      </c>
      <c r="N448">
        <v>3.6312457978608874</v>
      </c>
      <c r="P448">
        <v>1.751730946577102E-11</v>
      </c>
      <c r="R448">
        <v>8.6715605532701154</v>
      </c>
      <c r="S448">
        <v>8.6904484429411184</v>
      </c>
      <c r="T448">
        <v>1</v>
      </c>
      <c r="U448">
        <v>2.6903862902504834</v>
      </c>
      <c r="AN448" s="7" t="s">
        <v>125</v>
      </c>
    </row>
    <row r="449" spans="1:40">
      <c r="A449">
        <v>1.0417757228444402</v>
      </c>
      <c r="B449">
        <v>-1.0191875256555463</v>
      </c>
      <c r="C449">
        <v>0.13971172080449371</v>
      </c>
      <c r="D449">
        <v>-2.8333458319805952E-3</v>
      </c>
      <c r="E449">
        <v>0.18001737692508615</v>
      </c>
      <c r="F449">
        <v>0.70907444321843993</v>
      </c>
      <c r="G449">
        <v>0.9680257652103309</v>
      </c>
      <c r="H449">
        <v>0.29581625859456911</v>
      </c>
      <c r="I449">
        <v>0.60611050956912937</v>
      </c>
      <c r="J449">
        <v>0.39746733316691168</v>
      </c>
      <c r="L449">
        <v>3.0886809619938784</v>
      </c>
      <c r="M449">
        <v>0.8986071652425871</v>
      </c>
      <c r="N449">
        <v>3.6312469563884004</v>
      </c>
      <c r="P449">
        <v>1.7065093975316527E-11</v>
      </c>
      <c r="R449">
        <v>8.6715605532701154</v>
      </c>
      <c r="S449">
        <v>8.6904484429411184</v>
      </c>
      <c r="T449">
        <v>1</v>
      </c>
      <c r="U449">
        <v>2.6903862902504834</v>
      </c>
      <c r="AN449" s="7"/>
    </row>
    <row r="450" spans="1:40">
      <c r="A450">
        <v>1.045072208924938</v>
      </c>
      <c r="B450">
        <v>-1.0069405124304234</v>
      </c>
      <c r="C450">
        <v>0.1346051439247174</v>
      </c>
      <c r="D450">
        <v>-7.5239039216292616E-2</v>
      </c>
      <c r="E450">
        <v>-0.62379792223812347</v>
      </c>
      <c r="F450">
        <v>0.18959215514711289</v>
      </c>
      <c r="G450">
        <v>0.74593897302869461</v>
      </c>
      <c r="H450">
        <v>0.88554692630303999</v>
      </c>
      <c r="I450">
        <v>0.53861597807648687</v>
      </c>
      <c r="J450">
        <v>4.0531719359303796E-2</v>
      </c>
      <c r="L450">
        <v>3.0886808582076402</v>
      </c>
      <c r="M450">
        <v>0.89860701668691911</v>
      </c>
      <c r="N450">
        <v>3.6312471586793484</v>
      </c>
      <c r="P450">
        <v>1.6225469382326068E-11</v>
      </c>
      <c r="R450">
        <v>8.6715605532701154</v>
      </c>
      <c r="S450">
        <v>8.6904484429411184</v>
      </c>
      <c r="T450">
        <v>1</v>
      </c>
      <c r="U450">
        <v>2.6903862902504834</v>
      </c>
      <c r="AN450" s="7"/>
    </row>
    <row r="451" spans="1:40">
      <c r="A451">
        <v>0.9067342107134122</v>
      </c>
      <c r="B451">
        <v>-0.93804733386067329</v>
      </c>
      <c r="C451">
        <v>-0.22218030042726786</v>
      </c>
      <c r="D451">
        <v>0.23385664616488192</v>
      </c>
      <c r="E451">
        <v>-0.15573420946982819</v>
      </c>
      <c r="F451">
        <v>0.36660579006616789</v>
      </c>
      <c r="G451">
        <v>0.20515438550629261</v>
      </c>
      <c r="H451">
        <v>5.0730865124793023E-2</v>
      </c>
      <c r="I451">
        <v>7.2625885449052477E-2</v>
      </c>
      <c r="J451">
        <v>0.30380748436718252</v>
      </c>
      <c r="L451">
        <v>3.0886815604236237</v>
      </c>
      <c r="M451">
        <v>0.89860469938715526</v>
      </c>
      <c r="N451">
        <v>0.83483009246064943</v>
      </c>
      <c r="P451">
        <v>3.3499040951942035E-12</v>
      </c>
      <c r="R451">
        <v>12.472116949176305</v>
      </c>
      <c r="S451">
        <v>12.611025430513319</v>
      </c>
      <c r="T451">
        <v>1</v>
      </c>
      <c r="U451">
        <v>2.6836829387377552</v>
      </c>
      <c r="AN451" s="7"/>
    </row>
    <row r="452" spans="1:40">
      <c r="A452">
        <v>0.89444544006794557</v>
      </c>
      <c r="B452">
        <v>-0.94180028285018658</v>
      </c>
      <c r="C452">
        <v>-0.22553136989569225</v>
      </c>
      <c r="D452">
        <v>0.58717065876429264</v>
      </c>
      <c r="E452">
        <v>0.86379917171790233</v>
      </c>
      <c r="F452">
        <v>0.63761553037898722</v>
      </c>
      <c r="G452">
        <v>0</v>
      </c>
      <c r="H452">
        <v>0.1676183324969851</v>
      </c>
      <c r="I452">
        <v>0.10445512566768131</v>
      </c>
      <c r="J452">
        <v>0.76345346298740535</v>
      </c>
      <c r="L452">
        <v>3.0886817267875175</v>
      </c>
      <c r="M452">
        <v>0.8986047478614011</v>
      </c>
      <c r="N452">
        <v>0.83483016808743205</v>
      </c>
      <c r="P452">
        <v>3.4351709659422232E-12</v>
      </c>
      <c r="R452">
        <v>12.472116949176305</v>
      </c>
      <c r="S452">
        <v>12.611025430513319</v>
      </c>
      <c r="T452">
        <v>1</v>
      </c>
      <c r="U452">
        <v>2.6836829387377552</v>
      </c>
      <c r="AN452" s="7" t="s">
        <v>126</v>
      </c>
    </row>
    <row r="453" spans="1:40">
      <c r="A453">
        <v>0.83299273936108065</v>
      </c>
      <c r="B453">
        <v>-0.9244060436444751</v>
      </c>
      <c r="C453">
        <v>-0.33341473110021191</v>
      </c>
      <c r="D453">
        <v>-0.72438829560196771</v>
      </c>
      <c r="E453">
        <v>0.158211844112009</v>
      </c>
      <c r="F453">
        <v>0.10414270211398728</v>
      </c>
      <c r="G453">
        <v>0.84884456146153087</v>
      </c>
      <c r="H453">
        <v>0.7794148176979474</v>
      </c>
      <c r="I453">
        <v>0</v>
      </c>
      <c r="J453">
        <v>0.19351900166151476</v>
      </c>
      <c r="L453">
        <v>3.0886821727366516</v>
      </c>
      <c r="M453">
        <v>0.89860362325083021</v>
      </c>
      <c r="N453">
        <v>0.83482946097336608</v>
      </c>
      <c r="P453">
        <v>2.1029100800248384E-13</v>
      </c>
      <c r="R453">
        <v>12.472116949176305</v>
      </c>
      <c r="S453">
        <v>12.611025430513319</v>
      </c>
      <c r="T453">
        <v>1</v>
      </c>
      <c r="U453">
        <v>2.6836829387377552</v>
      </c>
      <c r="AN453" s="7"/>
    </row>
    <row r="454" spans="1:40">
      <c r="A454">
        <v>0.84364219428348408</v>
      </c>
      <c r="B454">
        <v>-0.92311204232185695</v>
      </c>
      <c r="C454">
        <v>-0.32385876686988002</v>
      </c>
      <c r="D454">
        <v>-0.70499595144190141</v>
      </c>
      <c r="E454">
        <v>-0.12341311883909721</v>
      </c>
      <c r="F454">
        <v>-1.7527015252265063E-2</v>
      </c>
      <c r="G454">
        <v>0.90809788997076735</v>
      </c>
      <c r="H454">
        <v>0.84934305590187764</v>
      </c>
      <c r="I454">
        <v>0.2422523017338194</v>
      </c>
      <c r="J454">
        <v>0</v>
      </c>
      <c r="L454">
        <v>3.0886821376105367</v>
      </c>
      <c r="M454">
        <v>0.89860554134068271</v>
      </c>
      <c r="N454">
        <v>0.83482954217670569</v>
      </c>
      <c r="P454">
        <v>5.4306112454255918E-12</v>
      </c>
      <c r="R454">
        <v>12.472116949176305</v>
      </c>
      <c r="S454">
        <v>12.611025430513319</v>
      </c>
      <c r="T454">
        <v>1</v>
      </c>
      <c r="U454">
        <v>2.6836829387377552</v>
      </c>
      <c r="AN454" s="7"/>
    </row>
    <row r="455" spans="1:40">
      <c r="A455">
        <v>0.91875768743099551</v>
      </c>
      <c r="B455">
        <v>-0.94199679818257276</v>
      </c>
      <c r="C455">
        <v>-0.21718405733389226</v>
      </c>
      <c r="D455">
        <v>0.32187823327110821</v>
      </c>
      <c r="E455">
        <v>-0.34709035682307726</v>
      </c>
      <c r="F455">
        <v>-0.24232672047324233</v>
      </c>
      <c r="G455">
        <v>0.82814357878442435</v>
      </c>
      <c r="H455">
        <v>5.3127288058092713E-2</v>
      </c>
      <c r="I455">
        <v>0.84566228376429686</v>
      </c>
      <c r="J455">
        <v>0.254041807510347</v>
      </c>
      <c r="L455">
        <v>3.0886814644463736</v>
      </c>
      <c r="M455">
        <v>0.8986050164995405</v>
      </c>
      <c r="N455">
        <v>0.83482984475990862</v>
      </c>
      <c r="P455">
        <v>4.1493658960792558E-12</v>
      </c>
      <c r="R455">
        <v>12.472116949176305</v>
      </c>
      <c r="S455">
        <v>12.611025430513319</v>
      </c>
      <c r="T455">
        <v>1</v>
      </c>
      <c r="U455">
        <v>2.6836829387377552</v>
      </c>
      <c r="AN455" s="7"/>
    </row>
    <row r="456" spans="1:40">
      <c r="A456">
        <v>0.89612823313327716</v>
      </c>
      <c r="B456">
        <v>-0.93456823775032982</v>
      </c>
      <c r="C456">
        <v>-0.22765583026937414</v>
      </c>
      <c r="D456">
        <v>-0.37462907994408251</v>
      </c>
      <c r="E456">
        <v>-0.65114320662786518</v>
      </c>
      <c r="F456">
        <v>-0.30585381870535955</v>
      </c>
      <c r="G456">
        <v>0.53452800627280694</v>
      </c>
      <c r="H456">
        <v>0.70076647151350557</v>
      </c>
      <c r="I456">
        <v>0.11450995615447154</v>
      </c>
      <c r="J456">
        <v>0.47345516771743357</v>
      </c>
      <c r="L456">
        <v>3.0886815884432695</v>
      </c>
      <c r="M456">
        <v>0.89860473015894704</v>
      </c>
      <c r="N456">
        <v>0.83483008907833389</v>
      </c>
      <c r="P456">
        <v>3.398253831041315E-12</v>
      </c>
      <c r="R456">
        <v>12.472116949176305</v>
      </c>
      <c r="S456">
        <v>12.611025430513319</v>
      </c>
      <c r="T456">
        <v>1</v>
      </c>
      <c r="U456">
        <v>2.6836829387377552</v>
      </c>
      <c r="AN456" s="7" t="s">
        <v>127</v>
      </c>
    </row>
    <row r="457" spans="1:40">
      <c r="A457">
        <v>0.8840612292774519</v>
      </c>
      <c r="B457">
        <v>-0.93196293452954049</v>
      </c>
      <c r="C457">
        <v>-0.26187854579515579</v>
      </c>
      <c r="D457">
        <v>-0.34584220443659724</v>
      </c>
      <c r="E457">
        <v>0.16129925899385658</v>
      </c>
      <c r="F457">
        <v>-0.27336163851891154</v>
      </c>
      <c r="G457">
        <v>0.69994567384361328</v>
      </c>
      <c r="H457">
        <v>0.40000075468920593</v>
      </c>
      <c r="I457">
        <v>0.82970179431810054</v>
      </c>
      <c r="J457">
        <v>0</v>
      </c>
      <c r="L457">
        <v>3.088682333606283</v>
      </c>
      <c r="M457">
        <v>0.89860497987980437</v>
      </c>
      <c r="N457">
        <v>0.83483020553259435</v>
      </c>
      <c r="P457">
        <v>4.0174713388862947E-12</v>
      </c>
      <c r="R457">
        <v>12.472116949176305</v>
      </c>
      <c r="S457">
        <v>12.611025430513319</v>
      </c>
      <c r="T457">
        <v>1</v>
      </c>
      <c r="U457">
        <v>2.6836829387377552</v>
      </c>
      <c r="AN457" s="7"/>
    </row>
    <row r="458" spans="1:40">
      <c r="A458">
        <v>0.90178049236456337</v>
      </c>
      <c r="B458">
        <v>-0.93605933223088977</v>
      </c>
      <c r="C458">
        <v>-0.22178854201063933</v>
      </c>
      <c r="D458">
        <v>-0.28462854183046543</v>
      </c>
      <c r="E458">
        <v>-0.46386083431510006</v>
      </c>
      <c r="F458">
        <v>-1.7964517066316209E-2</v>
      </c>
      <c r="G458">
        <v>0.72926006558871048</v>
      </c>
      <c r="H458">
        <v>0.80382083030757767</v>
      </c>
      <c r="I458">
        <v>0.64044700177258762</v>
      </c>
      <c r="J458">
        <v>0.86048773736904927</v>
      </c>
      <c r="L458">
        <v>3.0886814383463559</v>
      </c>
      <c r="M458">
        <v>0.89860497818023899</v>
      </c>
      <c r="N458">
        <v>0.83482980260025996</v>
      </c>
      <c r="P458">
        <v>4.0045816872171548E-12</v>
      </c>
      <c r="R458">
        <v>12.472116949176305</v>
      </c>
      <c r="S458">
        <v>12.611025430513319</v>
      </c>
      <c r="T458">
        <v>1</v>
      </c>
      <c r="U458">
        <v>2.6836829387377552</v>
      </c>
      <c r="AN458" s="7"/>
    </row>
    <row r="459" spans="1:40">
      <c r="A459">
        <v>0.94204138146253091</v>
      </c>
      <c r="B459">
        <v>-0.93954016161597453</v>
      </c>
      <c r="C459">
        <v>-0.15785113743226201</v>
      </c>
      <c r="D459">
        <v>-0.53252130659664954</v>
      </c>
      <c r="E459">
        <v>-0.81632731105095668</v>
      </c>
      <c r="F459">
        <v>-4.3099537960274673E-2</v>
      </c>
      <c r="G459">
        <v>0.44417183661435111</v>
      </c>
      <c r="H459">
        <v>0.46102350941289311</v>
      </c>
      <c r="I459">
        <v>0.95451467417812441</v>
      </c>
      <c r="J459">
        <v>0.94497224305454308</v>
      </c>
      <c r="L459">
        <v>3.0886815235179679</v>
      </c>
      <c r="M459">
        <v>0.89860466269342221</v>
      </c>
      <c r="N459">
        <v>0.83483001867649842</v>
      </c>
      <c r="P459">
        <v>3.1721813703972592E-12</v>
      </c>
      <c r="R459">
        <v>12.472116949176305</v>
      </c>
      <c r="S459">
        <v>12.611025430513319</v>
      </c>
      <c r="T459">
        <v>1</v>
      </c>
      <c r="U459">
        <v>2.6836829387377552</v>
      </c>
      <c r="AN459" s="7"/>
    </row>
    <row r="460" spans="1:40">
      <c r="A460">
        <v>0.9113337935535083</v>
      </c>
      <c r="B460">
        <v>-0.94227081474185903</v>
      </c>
      <c r="C460">
        <v>-0.213830820891308</v>
      </c>
      <c r="D460">
        <v>5.6128975882476152E-2</v>
      </c>
      <c r="E460">
        <v>0.20889125287619612</v>
      </c>
      <c r="F460">
        <v>0.28111403949394953</v>
      </c>
      <c r="G460">
        <v>0.68065634853627366</v>
      </c>
      <c r="H460">
        <v>0.16907293568999357</v>
      </c>
      <c r="I460">
        <v>0.97005350760036435</v>
      </c>
      <c r="J460">
        <v>0.92428451047019689</v>
      </c>
      <c r="L460">
        <v>3.0886816423636656</v>
      </c>
      <c r="M460">
        <v>0.89860478423744528</v>
      </c>
      <c r="N460">
        <v>0.83483010134893187</v>
      </c>
      <c r="P460">
        <v>3.5177175109767766E-12</v>
      </c>
      <c r="R460">
        <v>12.472116949176305</v>
      </c>
      <c r="S460">
        <v>12.611025430513319</v>
      </c>
      <c r="T460">
        <v>1</v>
      </c>
      <c r="U460">
        <v>2.6836829387377552</v>
      </c>
      <c r="AN460" s="7" t="s">
        <v>128</v>
      </c>
    </row>
    <row r="461" spans="1:40">
      <c r="A461">
        <v>1.0582637424319392</v>
      </c>
      <c r="B461">
        <v>-0.94170030053315423</v>
      </c>
      <c r="C461">
        <v>-1.2586145266218022E-2</v>
      </c>
      <c r="D461">
        <v>8.6002857191842513E-3</v>
      </c>
      <c r="E461">
        <v>0.16861891111502367</v>
      </c>
      <c r="F461">
        <v>0.30965459598344325</v>
      </c>
      <c r="G461">
        <v>0.17202239422782697</v>
      </c>
      <c r="H461">
        <v>0.30822423014606865</v>
      </c>
      <c r="I461">
        <v>0.71025372387534225</v>
      </c>
      <c r="J461">
        <v>0.61791533333530912</v>
      </c>
      <c r="L461">
        <v>3.0886830650940107</v>
      </c>
      <c r="M461">
        <v>3.6312458008588244</v>
      </c>
      <c r="N461">
        <v>0.83482898845228926</v>
      </c>
      <c r="P461">
        <v>2.1378510760680308E-12</v>
      </c>
      <c r="R461">
        <v>4.0494085280062349</v>
      </c>
      <c r="S461">
        <v>4.0515953972785423</v>
      </c>
      <c r="T461">
        <v>1</v>
      </c>
      <c r="U461">
        <v>2.349637179613028</v>
      </c>
      <c r="AN461" s="7"/>
    </row>
    <row r="462" spans="1:40">
      <c r="A462">
        <v>1.0676435232834316</v>
      </c>
      <c r="B462">
        <v>-0.93124343695233003</v>
      </c>
      <c r="C462">
        <v>-2.413471807868171E-2</v>
      </c>
      <c r="D462">
        <v>-0.92420389129760094</v>
      </c>
      <c r="E462">
        <v>0.29920135536288783</v>
      </c>
      <c r="F462">
        <v>0.71550429841806706</v>
      </c>
      <c r="G462">
        <v>0.57085863663864267</v>
      </c>
      <c r="H462">
        <v>0.23427524850698159</v>
      </c>
      <c r="I462">
        <v>0.67608229012515453</v>
      </c>
      <c r="J462">
        <v>0.37706752648794178</v>
      </c>
      <c r="L462">
        <v>3.088681961355269</v>
      </c>
      <c r="M462">
        <v>3.6312467609308743</v>
      </c>
      <c r="N462">
        <v>0.83482895065004104</v>
      </c>
      <c r="P462">
        <v>1.9666216862184012E-13</v>
      </c>
      <c r="R462">
        <v>4.0494085280062349</v>
      </c>
      <c r="S462">
        <v>4.0515953972785423</v>
      </c>
      <c r="T462">
        <v>1</v>
      </c>
      <c r="U462">
        <v>2.349637179613028</v>
      </c>
      <c r="AN462" s="7"/>
    </row>
    <row r="463" spans="1:40">
      <c r="A463">
        <v>1.053682088631378</v>
      </c>
      <c r="B463">
        <v>-0.95173989503217826</v>
      </c>
      <c r="C463">
        <v>4.5835331525867417E-3</v>
      </c>
      <c r="D463">
        <v>-0.18918990779272041</v>
      </c>
      <c r="E463">
        <v>-0.93919683693434541</v>
      </c>
      <c r="F463">
        <v>-0.71234651336365584</v>
      </c>
      <c r="G463">
        <v>0.20145343065280813</v>
      </c>
      <c r="H463">
        <v>8.4760761485231262E-2</v>
      </c>
      <c r="I463">
        <v>0.11114595742320423</v>
      </c>
      <c r="J463">
        <v>0.88940154503558866</v>
      </c>
      <c r="L463">
        <v>3.0886833939908911</v>
      </c>
      <c r="M463">
        <v>3.6312457918316947</v>
      </c>
      <c r="N463">
        <v>0.83482791049166205</v>
      </c>
      <c r="P463">
        <v>4.4870423336151701E-12</v>
      </c>
      <c r="R463">
        <v>4.0494085280062349</v>
      </c>
      <c r="S463">
        <v>4.0515953972785423</v>
      </c>
      <c r="T463">
        <v>1</v>
      </c>
      <c r="U463">
        <v>2.349637179613028</v>
      </c>
      <c r="AN463" s="7"/>
    </row>
    <row r="464" spans="1:40">
      <c r="A464">
        <v>1.0704019110200154</v>
      </c>
      <c r="B464">
        <v>-0.93471367666180216</v>
      </c>
      <c r="C464">
        <v>-2.071078061363988E-2</v>
      </c>
      <c r="D464">
        <v>0.15651195856014752</v>
      </c>
      <c r="E464">
        <v>2.9880741710905909E-2</v>
      </c>
      <c r="F464">
        <v>0.47881965182594033</v>
      </c>
      <c r="G464">
        <v>0.75778973154686935</v>
      </c>
      <c r="H464">
        <v>0.92203224107048287</v>
      </c>
      <c r="I464">
        <v>0.2705733893032839</v>
      </c>
      <c r="J464">
        <v>0.46127711102473229</v>
      </c>
      <c r="L464">
        <v>3.0886820352433033</v>
      </c>
      <c r="M464">
        <v>3.6312467673184177</v>
      </c>
      <c r="N464">
        <v>0.83482864430353554</v>
      </c>
      <c r="P464">
        <v>4.2125261442069282E-13</v>
      </c>
      <c r="R464">
        <v>4.0494085280062349</v>
      </c>
      <c r="S464">
        <v>4.0515953972785423</v>
      </c>
      <c r="T464">
        <v>1</v>
      </c>
      <c r="U464">
        <v>2.349637179613028</v>
      </c>
      <c r="AN464" s="7" t="s">
        <v>129</v>
      </c>
    </row>
    <row r="465" spans="1:40">
      <c r="A465">
        <v>1.0523956277594975</v>
      </c>
      <c r="B465">
        <v>-0.94324978163528406</v>
      </c>
      <c r="C465">
        <v>-1.1587000212037695E-2</v>
      </c>
      <c r="D465">
        <v>-0.18715673964726318</v>
      </c>
      <c r="E465">
        <v>-0.19292352814424613</v>
      </c>
      <c r="F465">
        <v>-0.44099429013598651</v>
      </c>
      <c r="G465">
        <v>0.1041055708549327</v>
      </c>
      <c r="H465">
        <v>0.25910067587469487</v>
      </c>
      <c r="I465">
        <v>0.95165588291855141</v>
      </c>
      <c r="J465">
        <v>0.34570054227382879</v>
      </c>
      <c r="L465">
        <v>3.088683462119449</v>
      </c>
      <c r="M465">
        <v>3.6312455125079528</v>
      </c>
      <c r="N465">
        <v>0.83482836038434027</v>
      </c>
      <c r="P465">
        <v>4.4109488419968297E-12</v>
      </c>
      <c r="R465">
        <v>4.0494085280062349</v>
      </c>
      <c r="S465">
        <v>4.0515953972785423</v>
      </c>
      <c r="T465">
        <v>1</v>
      </c>
      <c r="U465">
        <v>2.349637179613028</v>
      </c>
      <c r="AN465" s="7"/>
    </row>
    <row r="466" spans="1:40">
      <c r="A466">
        <v>1.0636354870015421</v>
      </c>
      <c r="B466">
        <v>-0.94316677366478563</v>
      </c>
      <c r="C466">
        <v>-1.0964964928566806E-2</v>
      </c>
      <c r="D466">
        <v>0.18726535371503261</v>
      </c>
      <c r="E466">
        <v>-0.1575896758139185</v>
      </c>
      <c r="F466">
        <v>0.26592013509596268</v>
      </c>
      <c r="G466">
        <v>0.43573847696105839</v>
      </c>
      <c r="H466">
        <v>0.40362598454827303</v>
      </c>
      <c r="I466">
        <v>0.1649332316854539</v>
      </c>
      <c r="J466">
        <v>0.71318822132363591</v>
      </c>
      <c r="L466">
        <v>3.0886835592789037</v>
      </c>
      <c r="M466">
        <v>3.6312456352852855</v>
      </c>
      <c r="N466">
        <v>0.83482811177526539</v>
      </c>
      <c r="P466">
        <v>4.8058988952302198E-12</v>
      </c>
      <c r="R466">
        <v>4.0494085280062349</v>
      </c>
      <c r="S466">
        <v>4.0515953972785423</v>
      </c>
      <c r="T466">
        <v>1</v>
      </c>
      <c r="U466">
        <v>2.349637179613028</v>
      </c>
      <c r="AN466" s="7"/>
    </row>
    <row r="467" spans="1:40">
      <c r="A467">
        <v>1.0593803137825881</v>
      </c>
      <c r="B467">
        <v>-0.94024516787232471</v>
      </c>
      <c r="C467">
        <v>-1.3928650595631802E-2</v>
      </c>
      <c r="D467">
        <v>0.18646456485221807</v>
      </c>
      <c r="E467">
        <v>-4.0983541622095908E-2</v>
      </c>
      <c r="F467">
        <v>0.21001555812974299</v>
      </c>
      <c r="G467">
        <v>0.12327121791590913</v>
      </c>
      <c r="H467">
        <v>0.42339953386953033</v>
      </c>
      <c r="I467">
        <v>0.47804284262067404</v>
      </c>
      <c r="J467">
        <v>0.37350247317320934</v>
      </c>
      <c r="L467">
        <v>3.0886834173071467</v>
      </c>
      <c r="M467">
        <v>3.6312458808319947</v>
      </c>
      <c r="N467">
        <v>0.83482785644160662</v>
      </c>
      <c r="P467">
        <v>4.4832981832676907E-12</v>
      </c>
      <c r="R467">
        <v>4.0494085280062349</v>
      </c>
      <c r="S467">
        <v>4.0515953972785423</v>
      </c>
      <c r="T467">
        <v>1</v>
      </c>
      <c r="U467">
        <v>2.349637179613028</v>
      </c>
      <c r="AN467" s="7"/>
    </row>
    <row r="468" spans="1:40">
      <c r="A468">
        <v>1.0544779412813077</v>
      </c>
      <c r="B468">
        <v>-0.94545392696068908</v>
      </c>
      <c r="C468">
        <v>-1.4975957843879964E-2</v>
      </c>
      <c r="D468">
        <v>-0.31007577027790112</v>
      </c>
      <c r="E468">
        <v>-0.30624152658445636</v>
      </c>
      <c r="F468">
        <v>-4.7479912523266644E-2</v>
      </c>
      <c r="G468">
        <v>0.4120185477701423</v>
      </c>
      <c r="H468">
        <v>6.2077758608638178E-2</v>
      </c>
      <c r="I468">
        <v>0.87942268996080597</v>
      </c>
      <c r="J468">
        <v>0.7830768101382557</v>
      </c>
      <c r="L468">
        <v>3.0886832386564644</v>
      </c>
      <c r="M468">
        <v>3.6312456640183575</v>
      </c>
      <c r="N468">
        <v>0.83482880399110282</v>
      </c>
      <c r="P468">
        <v>2.919509785367861E-12</v>
      </c>
      <c r="R468">
        <v>4.0494085280062349</v>
      </c>
      <c r="S468">
        <v>4.0515953972785423</v>
      </c>
      <c r="T468">
        <v>1</v>
      </c>
      <c r="U468">
        <v>2.349637179613028</v>
      </c>
      <c r="AN468" s="7" t="s">
        <v>130</v>
      </c>
    </row>
    <row r="469" spans="1:40">
      <c r="A469">
        <v>1.0592233110279237</v>
      </c>
      <c r="B469">
        <v>-0.94734030369446687</v>
      </c>
      <c r="C469">
        <v>1.2297083589052387E-2</v>
      </c>
      <c r="D469">
        <v>-0.65068915078694178</v>
      </c>
      <c r="E469">
        <v>7.1294557410809534E-2</v>
      </c>
      <c r="F469">
        <v>-0.82155150004255395</v>
      </c>
      <c r="G469">
        <v>7.6302468219049055E-2</v>
      </c>
      <c r="H469">
        <v>8.0446767598439994E-2</v>
      </c>
      <c r="I469">
        <v>0.24804391864516245</v>
      </c>
      <c r="J469">
        <v>0.62940658384299752</v>
      </c>
      <c r="L469">
        <v>3.0886833460691929</v>
      </c>
      <c r="M469">
        <v>3.6312459457116026</v>
      </c>
      <c r="N469">
        <v>0.83482780146969149</v>
      </c>
      <c r="P469">
        <v>4.3347468659202885E-12</v>
      </c>
      <c r="R469">
        <v>4.0494085280062349</v>
      </c>
      <c r="S469">
        <v>4.0515953972785423</v>
      </c>
      <c r="T469">
        <v>1</v>
      </c>
      <c r="U469">
        <v>2.349637179613028</v>
      </c>
      <c r="AN469" s="7"/>
    </row>
    <row r="470" spans="1:40">
      <c r="A470">
        <v>1.061218900254294</v>
      </c>
      <c r="B470">
        <v>-0.93978899212238731</v>
      </c>
      <c r="C470">
        <v>-9.8861717538308545E-3</v>
      </c>
      <c r="D470">
        <v>-0.46094348892530251</v>
      </c>
      <c r="E470">
        <v>-0.53955664753441768</v>
      </c>
      <c r="F470">
        <v>-0.62570725730007815</v>
      </c>
      <c r="G470">
        <v>0.85695703482108165</v>
      </c>
      <c r="H470">
        <v>0.97257640327194061</v>
      </c>
      <c r="I470">
        <v>0.75418879000454553</v>
      </c>
      <c r="J470">
        <v>0.68437011651363988</v>
      </c>
      <c r="L470">
        <v>3.0886835574278155</v>
      </c>
      <c r="M470">
        <v>3.6312457440340413</v>
      </c>
      <c r="N470">
        <v>0.83482800806020807</v>
      </c>
      <c r="P470">
        <v>4.7621598877295676E-12</v>
      </c>
      <c r="R470">
        <v>4.0494085280062349</v>
      </c>
      <c r="S470">
        <v>4.0515953972785423</v>
      </c>
      <c r="T470">
        <v>1</v>
      </c>
      <c r="U470">
        <v>2.349637179613028</v>
      </c>
      <c r="AN470" s="7"/>
    </row>
    <row r="471" spans="1:40">
      <c r="A471">
        <v>1.0074999350557357</v>
      </c>
      <c r="B471">
        <v>-1.1408515359987099</v>
      </c>
      <c r="C471">
        <v>1.7618661304069134</v>
      </c>
      <c r="D471">
        <v>-0.64368456468428015</v>
      </c>
      <c r="E471">
        <v>5.9599803839270526E-3</v>
      </c>
      <c r="F471">
        <v>-0.65361138336264424</v>
      </c>
      <c r="G471">
        <v>0.57691678563381243</v>
      </c>
      <c r="H471">
        <v>1.0111026434049779</v>
      </c>
      <c r="I471">
        <v>0.35713869485931549</v>
      </c>
      <c r="J471">
        <v>6.8028386336173362E-4</v>
      </c>
      <c r="L471">
        <v>4.4543549001910661</v>
      </c>
      <c r="M471">
        <v>0.89860016417452582</v>
      </c>
      <c r="N471">
        <v>3.6312431713261657</v>
      </c>
      <c r="P471">
        <v>4.0830499723320564E-11</v>
      </c>
      <c r="R471">
        <v>72.721950877824952</v>
      </c>
      <c r="S471">
        <v>84.872649675684883</v>
      </c>
      <c r="T471">
        <v>1</v>
      </c>
      <c r="U471">
        <v>2.7093415039295241</v>
      </c>
      <c r="AN471" s="7"/>
    </row>
    <row r="472" spans="1:40">
      <c r="A472">
        <v>1.0067968416456032</v>
      </c>
      <c r="B472">
        <v>-1.1515081706138701</v>
      </c>
      <c r="C472">
        <v>1.7899399178143667</v>
      </c>
      <c r="D472">
        <v>0.1369862923844008</v>
      </c>
      <c r="E472">
        <v>0.2942535897643665</v>
      </c>
      <c r="F472">
        <v>0.4297698914696203</v>
      </c>
      <c r="G472">
        <v>0.76611085768918885</v>
      </c>
      <c r="H472">
        <v>0.8321459399951352</v>
      </c>
      <c r="I472">
        <v>0.23570293660560443</v>
      </c>
      <c r="J472">
        <v>0.51551469441305597</v>
      </c>
      <c r="L472">
        <v>4.4543543572951103</v>
      </c>
      <c r="M472">
        <v>0.89860039116623336</v>
      </c>
      <c r="N472">
        <v>3.6312437307877672</v>
      </c>
      <c r="P472">
        <v>3.1371041860585439E-11</v>
      </c>
      <c r="R472">
        <v>72.721950877824952</v>
      </c>
      <c r="S472">
        <v>84.872649675684883</v>
      </c>
      <c r="T472">
        <v>1</v>
      </c>
      <c r="U472">
        <v>2.7093415039295241</v>
      </c>
      <c r="AN472" s="7" t="s">
        <v>131</v>
      </c>
    </row>
    <row r="473" spans="1:40">
      <c r="A473">
        <v>1.0232057045864795</v>
      </c>
      <c r="B473">
        <v>-1.1340728026248685</v>
      </c>
      <c r="C473">
        <v>1.4313325853943069</v>
      </c>
      <c r="D473">
        <v>-4.0108995428188049E-2</v>
      </c>
      <c r="E473">
        <v>0.17604847204114263</v>
      </c>
      <c r="F473">
        <v>0.93535680300020096</v>
      </c>
      <c r="G473">
        <v>1.431445349191667</v>
      </c>
      <c r="H473">
        <v>0.66167109126255563</v>
      </c>
      <c r="I473">
        <v>0.47569556365622667</v>
      </c>
      <c r="J473">
        <v>0</v>
      </c>
      <c r="L473">
        <v>4.4543547213901933</v>
      </c>
      <c r="M473">
        <v>0.89859994802074072</v>
      </c>
      <c r="N473">
        <v>3.6312436330863616</v>
      </c>
      <c r="P473">
        <v>3.7462794907908706E-11</v>
      </c>
      <c r="R473">
        <v>72.721950877824952</v>
      </c>
      <c r="S473">
        <v>84.872649675684883</v>
      </c>
      <c r="T473">
        <v>1</v>
      </c>
      <c r="U473">
        <v>2.7093415039295241</v>
      </c>
      <c r="AN473" s="7"/>
    </row>
    <row r="474" spans="1:40">
      <c r="A474">
        <v>1.0165255628678838</v>
      </c>
      <c r="B474">
        <v>-1.1323530808729154</v>
      </c>
      <c r="C474">
        <v>1.632301826136503</v>
      </c>
      <c r="D474">
        <v>-0.48589058505094157</v>
      </c>
      <c r="E474">
        <v>9.6027395443340213E-2</v>
      </c>
      <c r="F474">
        <v>0.77967983824516141</v>
      </c>
      <c r="G474">
        <v>0.4558623699700376</v>
      </c>
      <c r="H474">
        <v>0.57041808232415814</v>
      </c>
      <c r="I474">
        <v>0.26007910474361073</v>
      </c>
      <c r="J474">
        <v>7.2380229637505791E-4</v>
      </c>
      <c r="L474">
        <v>4.4543550236340543</v>
      </c>
      <c r="M474">
        <v>0.89860021684529701</v>
      </c>
      <c r="N474">
        <v>3.6312432190546593</v>
      </c>
      <c r="P474">
        <v>4.117881905511941E-11</v>
      </c>
      <c r="R474">
        <v>72.721950877824952</v>
      </c>
      <c r="S474">
        <v>84.872649675684883</v>
      </c>
      <c r="T474">
        <v>1</v>
      </c>
      <c r="U474">
        <v>2.7093415039295241</v>
      </c>
      <c r="AN474" s="7"/>
    </row>
    <row r="475" spans="1:40">
      <c r="A475">
        <v>1.0147133170826674</v>
      </c>
      <c r="B475">
        <v>-1.1369687430985713</v>
      </c>
      <c r="C475">
        <v>1.4212986447791427</v>
      </c>
      <c r="D475">
        <v>0.13900465262984121</v>
      </c>
      <c r="E475">
        <v>0.39217352946420098</v>
      </c>
      <c r="F475">
        <v>-0.1920736307835797</v>
      </c>
      <c r="G475">
        <v>1.4043838602669811</v>
      </c>
      <c r="H475">
        <v>1.3312033692345193</v>
      </c>
      <c r="I475">
        <v>0.13881523112796681</v>
      </c>
      <c r="J475">
        <v>0</v>
      </c>
      <c r="L475">
        <v>4.4543545738276311</v>
      </c>
      <c r="M475">
        <v>0.89859988508728383</v>
      </c>
      <c r="N475">
        <v>3.6312436611517955</v>
      </c>
      <c r="P475">
        <v>3.6554628165204617E-11</v>
      </c>
      <c r="R475">
        <v>72.721950877824952</v>
      </c>
      <c r="S475">
        <v>84.872649675684883</v>
      </c>
      <c r="T475">
        <v>1</v>
      </c>
      <c r="U475">
        <v>2.7093415039295241</v>
      </c>
      <c r="AN475" s="7"/>
    </row>
    <row r="476" spans="1:40">
      <c r="A476">
        <v>1.0057306219227411</v>
      </c>
      <c r="B476">
        <v>-1.1476803026733866</v>
      </c>
      <c r="C476">
        <v>1.8035718624204387</v>
      </c>
      <c r="D476">
        <v>-0.6310282412621957</v>
      </c>
      <c r="E476">
        <v>4.9772393723736798E-2</v>
      </c>
      <c r="F476">
        <v>-0.37785562522249433</v>
      </c>
      <c r="G476">
        <v>0.75012560039500797</v>
      </c>
      <c r="H476">
        <v>0.795215562356405</v>
      </c>
      <c r="I476">
        <v>0.35948495874631736</v>
      </c>
      <c r="J476">
        <v>0.29826772997724149</v>
      </c>
      <c r="L476">
        <v>4.4543545079072357</v>
      </c>
      <c r="M476">
        <v>0.89860046630464196</v>
      </c>
      <c r="N476">
        <v>3.6312438190736325</v>
      </c>
      <c r="P476">
        <v>3.1481087651614841E-11</v>
      </c>
      <c r="R476">
        <v>72.721950877824952</v>
      </c>
      <c r="S476">
        <v>84.872649675684883</v>
      </c>
      <c r="T476">
        <v>1</v>
      </c>
      <c r="U476">
        <v>2.7093415039295241</v>
      </c>
      <c r="AN476" s="7" t="s">
        <v>132</v>
      </c>
    </row>
    <row r="477" spans="1:40">
      <c r="A477">
        <v>1.0089471434190904</v>
      </c>
      <c r="B477">
        <v>-1.1429600967286566</v>
      </c>
      <c r="C477">
        <v>1.5493194609163483</v>
      </c>
      <c r="D477">
        <v>3.139367237391149E-3</v>
      </c>
      <c r="E477">
        <v>0.35926148732965474</v>
      </c>
      <c r="F477">
        <v>-8.1519694721574845E-2</v>
      </c>
      <c r="G477">
        <v>1.1643511199870129</v>
      </c>
      <c r="H477">
        <v>1.249765760425158</v>
      </c>
      <c r="I477">
        <v>0</v>
      </c>
      <c r="J477">
        <v>0.36251593318665215</v>
      </c>
      <c r="L477">
        <v>4.4543544068851553</v>
      </c>
      <c r="M477">
        <v>0.89860493985479883</v>
      </c>
      <c r="N477">
        <v>3.6312412333266337</v>
      </c>
      <c r="P477">
        <v>4.9014017661572081E-11</v>
      </c>
      <c r="R477">
        <v>72.721950877824952</v>
      </c>
      <c r="S477">
        <v>84.872649675684883</v>
      </c>
      <c r="T477">
        <v>1</v>
      </c>
      <c r="U477">
        <v>2.7093415039295241</v>
      </c>
      <c r="AN477" s="7"/>
    </row>
    <row r="478" spans="1:40">
      <c r="A478">
        <v>1.0094558654729044</v>
      </c>
      <c r="B478">
        <v>-1.1503234229249883</v>
      </c>
      <c r="C478">
        <v>1.8745722108051517</v>
      </c>
      <c r="D478">
        <v>-0.12612054960323188</v>
      </c>
      <c r="E478">
        <v>-6.0646671392903639E-2</v>
      </c>
      <c r="F478">
        <v>-0.14834535717272879</v>
      </c>
      <c r="G478">
        <v>0.69163910626293568</v>
      </c>
      <c r="H478">
        <v>0.62603525753816702</v>
      </c>
      <c r="I478">
        <v>0.52506779672511728</v>
      </c>
      <c r="J478">
        <v>4.7858245208588595E-4</v>
      </c>
      <c r="L478">
        <v>4.4543550577643352</v>
      </c>
      <c r="M478">
        <v>0.89860028428339356</v>
      </c>
      <c r="N478">
        <v>3.631242976469137</v>
      </c>
      <c r="P478">
        <v>4.2949825084643376E-11</v>
      </c>
      <c r="R478">
        <v>72.721950877824952</v>
      </c>
      <c r="S478">
        <v>84.872649675684883</v>
      </c>
      <c r="T478">
        <v>1</v>
      </c>
      <c r="U478">
        <v>2.7093415039295241</v>
      </c>
      <c r="AN478" s="7"/>
    </row>
    <row r="479" spans="1:40">
      <c r="A479">
        <v>1.0209758157708901</v>
      </c>
      <c r="B479">
        <v>-1.1327217325901895</v>
      </c>
      <c r="C479">
        <v>1.4388403280483562</v>
      </c>
      <c r="D479">
        <v>-0.46310955432191431</v>
      </c>
      <c r="E479">
        <v>0.63343860257940865</v>
      </c>
      <c r="F479">
        <v>0.79049788046739811</v>
      </c>
      <c r="G479">
        <v>1.224960155352917</v>
      </c>
      <c r="H479">
        <v>0.48120465832481968</v>
      </c>
      <c r="I479">
        <v>0.69581352992833678</v>
      </c>
      <c r="J479">
        <v>0</v>
      </c>
      <c r="L479">
        <v>4.4543542114675923</v>
      </c>
      <c r="M479">
        <v>0.89859976695839594</v>
      </c>
      <c r="N479">
        <v>3.6312436327118656</v>
      </c>
      <c r="P479">
        <v>3.4937889274714114E-11</v>
      </c>
      <c r="R479">
        <v>72.721950877824952</v>
      </c>
      <c r="S479">
        <v>84.872649675684883</v>
      </c>
      <c r="T479">
        <v>1</v>
      </c>
      <c r="U479">
        <v>2.7093415039295241</v>
      </c>
      <c r="AN479" s="7"/>
    </row>
    <row r="480" spans="1:40">
      <c r="A480">
        <v>1.0129639411799385</v>
      </c>
      <c r="B480">
        <v>-1.1227050352157952</v>
      </c>
      <c r="C480">
        <v>1.4060508786681891</v>
      </c>
      <c r="D480">
        <v>-1.1818558132391863</v>
      </c>
      <c r="E480">
        <v>0.74171582673078507</v>
      </c>
      <c r="F480">
        <v>0.43869564291954244</v>
      </c>
      <c r="G480">
        <v>0.44857938690138072</v>
      </c>
      <c r="H480">
        <v>0.81260243213401995</v>
      </c>
      <c r="I480">
        <v>0</v>
      </c>
      <c r="J480">
        <v>0.19724489324393549</v>
      </c>
      <c r="L480">
        <v>4.454355031381608</v>
      </c>
      <c r="M480">
        <v>0.89860397479419685</v>
      </c>
      <c r="N480">
        <v>3.6312414136045197</v>
      </c>
      <c r="P480">
        <v>4.952338442346112E-11</v>
      </c>
      <c r="R480">
        <v>72.721950877824952</v>
      </c>
      <c r="S480">
        <v>84.872649675684883</v>
      </c>
      <c r="T480">
        <v>1</v>
      </c>
      <c r="U480">
        <v>2.7093415039295241</v>
      </c>
      <c r="AN480" s="7" t="s">
        <v>133</v>
      </c>
    </row>
    <row r="481" spans="1:40">
      <c r="A481">
        <v>1.1098044360922268</v>
      </c>
      <c r="B481">
        <v>-1.014060045808985</v>
      </c>
      <c r="C481">
        <v>2.9263021040434191E-2</v>
      </c>
      <c r="D481">
        <v>0.82031551830676663</v>
      </c>
      <c r="E481">
        <v>-0.53258075043144337</v>
      </c>
      <c r="F481">
        <v>0.1083466819912098</v>
      </c>
      <c r="G481">
        <v>0.50028909857146109</v>
      </c>
      <c r="H481">
        <v>3.9774008693684977E-2</v>
      </c>
      <c r="I481">
        <v>0.43856257803698262</v>
      </c>
      <c r="J481">
        <v>0.80891908214272723</v>
      </c>
      <c r="L481">
        <v>4.4543503147199841</v>
      </c>
      <c r="M481">
        <v>0.89860653930434342</v>
      </c>
      <c r="N481">
        <v>0.83482819065060132</v>
      </c>
      <c r="P481">
        <v>1.2216012339497546E-11</v>
      </c>
      <c r="R481">
        <v>5.1465977375965632</v>
      </c>
      <c r="S481">
        <v>5.155149298810846</v>
      </c>
      <c r="T481">
        <v>1</v>
      </c>
      <c r="U481">
        <v>2.6976665965435656</v>
      </c>
      <c r="AN481" s="7"/>
    </row>
    <row r="482" spans="1:40">
      <c r="A482">
        <v>1.0961966353992636</v>
      </c>
      <c r="B482">
        <v>-1.0110731719739179</v>
      </c>
      <c r="C482">
        <v>1.4453653395619173E-2</v>
      </c>
      <c r="D482">
        <v>-0.37122949786611509</v>
      </c>
      <c r="E482">
        <v>-7.525320540866258E-2</v>
      </c>
      <c r="F482">
        <v>0.37574195667654953</v>
      </c>
      <c r="G482">
        <v>0.29604050685590438</v>
      </c>
      <c r="H482">
        <v>0.60853408231252126</v>
      </c>
      <c r="I482">
        <v>0.37894208405621577</v>
      </c>
      <c r="J482">
        <v>0.8368632123959967</v>
      </c>
      <c r="L482">
        <v>4.454350924456385</v>
      </c>
      <c r="M482">
        <v>0.89860327001081064</v>
      </c>
      <c r="N482">
        <v>0.83482898838578612</v>
      </c>
      <c r="P482">
        <v>7.5602569802779377E-14</v>
      </c>
      <c r="R482">
        <v>5.1465977375965632</v>
      </c>
      <c r="S482">
        <v>5.155149298810846</v>
      </c>
      <c r="T482">
        <v>1</v>
      </c>
      <c r="U482">
        <v>2.6976665965435656</v>
      </c>
      <c r="AN482" s="7"/>
    </row>
    <row r="483" spans="1:40">
      <c r="A483">
        <v>1.1026791563139033</v>
      </c>
      <c r="B483">
        <v>-1.013445730611388</v>
      </c>
      <c r="C483">
        <v>3.6411641137704745E-2</v>
      </c>
      <c r="D483">
        <v>0.24169968593378335</v>
      </c>
      <c r="E483">
        <v>-0.11728295890694344</v>
      </c>
      <c r="F483">
        <v>-0.65874331141812414</v>
      </c>
      <c r="G483">
        <v>0.53055808469009536</v>
      </c>
      <c r="H483">
        <v>0.48653903191095965</v>
      </c>
      <c r="I483">
        <v>0.809523852674644</v>
      </c>
      <c r="J483">
        <v>0.8906931305411685</v>
      </c>
      <c r="L483">
        <v>4.4543503847675039</v>
      </c>
      <c r="M483">
        <v>0.89860641213553272</v>
      </c>
      <c r="N483">
        <v>0.83482799785061235</v>
      </c>
      <c r="P483">
        <v>1.1766171782404769E-11</v>
      </c>
      <c r="R483">
        <v>5.1465977375965632</v>
      </c>
      <c r="S483">
        <v>5.155149298810846</v>
      </c>
      <c r="T483">
        <v>1</v>
      </c>
      <c r="U483">
        <v>2.6976665965435656</v>
      </c>
      <c r="AN483" s="7"/>
    </row>
    <row r="484" spans="1:40">
      <c r="A484">
        <v>1.0901212486290695</v>
      </c>
      <c r="B484">
        <v>-1.0193645940167764</v>
      </c>
      <c r="C484">
        <v>-1.5352879705232131E-2</v>
      </c>
      <c r="D484">
        <v>-0.42026011578157135</v>
      </c>
      <c r="E484">
        <v>-0.14857527403709922</v>
      </c>
      <c r="F484">
        <v>-0.1177145947967021</v>
      </c>
      <c r="G484">
        <v>0.79675150447903886</v>
      </c>
      <c r="H484">
        <v>0.85507450313589783</v>
      </c>
      <c r="I484">
        <v>6.8800906916901952E-2</v>
      </c>
      <c r="J484">
        <v>0.38991455789795126</v>
      </c>
      <c r="L484">
        <v>4.4543503333975911</v>
      </c>
      <c r="M484">
        <v>0.89860652206459013</v>
      </c>
      <c r="N484">
        <v>0.83482820556457338</v>
      </c>
      <c r="P484">
        <v>1.2054363241453667E-11</v>
      </c>
      <c r="R484">
        <v>5.1465977375965632</v>
      </c>
      <c r="S484">
        <v>5.155149298810846</v>
      </c>
      <c r="T484">
        <v>1</v>
      </c>
      <c r="U484">
        <v>2.6976665965435656</v>
      </c>
      <c r="AN484" s="7" t="s">
        <v>134</v>
      </c>
    </row>
    <row r="485" spans="1:40">
      <c r="A485">
        <v>1.0921331261758132</v>
      </c>
      <c r="B485">
        <v>-1.022897659988055</v>
      </c>
      <c r="C485">
        <v>-4.9302064601533559E-3</v>
      </c>
      <c r="D485">
        <v>0.30087290503709807</v>
      </c>
      <c r="E485">
        <v>0.28726677236985204</v>
      </c>
      <c r="F485">
        <v>-0.10333539861567873</v>
      </c>
      <c r="G485">
        <v>0.80891245585397054</v>
      </c>
      <c r="H485">
        <v>0.85218685287228468</v>
      </c>
      <c r="I485">
        <v>0.32921831641751881</v>
      </c>
      <c r="J485">
        <v>0.73511247029767746</v>
      </c>
      <c r="L485">
        <v>4.4543504109926975</v>
      </c>
      <c r="M485">
        <v>0.89860643846923993</v>
      </c>
      <c r="N485">
        <v>0.83482803754947665</v>
      </c>
      <c r="P485">
        <v>1.1817838088316972E-11</v>
      </c>
      <c r="R485">
        <v>5.1465977375965632</v>
      </c>
      <c r="S485">
        <v>5.155149298810846</v>
      </c>
      <c r="T485">
        <v>1</v>
      </c>
      <c r="U485">
        <v>2.6976665965435656</v>
      </c>
      <c r="AN485" s="7"/>
    </row>
    <row r="486" spans="1:40">
      <c r="A486">
        <v>1.1011232418011823</v>
      </c>
      <c r="B486">
        <v>-1.0127104907684894</v>
      </c>
      <c r="C486">
        <v>2.6995858054887658E-2</v>
      </c>
      <c r="D486">
        <v>-0.1510531649841087</v>
      </c>
      <c r="E486">
        <v>-0.35736662154530036</v>
      </c>
      <c r="F486">
        <v>0.12425236788307803</v>
      </c>
      <c r="G486">
        <v>0.35969605757015327</v>
      </c>
      <c r="H486">
        <v>0.18399076023075489</v>
      </c>
      <c r="I486">
        <v>0.27981070443710621</v>
      </c>
      <c r="J486">
        <v>0.97013392133966359</v>
      </c>
      <c r="L486">
        <v>4.4543503329042249</v>
      </c>
      <c r="M486">
        <v>0.89860652302524313</v>
      </c>
      <c r="N486">
        <v>0.83482819162793098</v>
      </c>
      <c r="P486">
        <v>1.2089741232325375E-11</v>
      </c>
      <c r="R486">
        <v>5.1465977375965632</v>
      </c>
      <c r="S486">
        <v>5.155149298810846</v>
      </c>
      <c r="T486">
        <v>1</v>
      </c>
      <c r="U486">
        <v>2.6976665965435656</v>
      </c>
      <c r="AN486" s="7"/>
    </row>
    <row r="487" spans="1:40">
      <c r="A487">
        <v>1.0944343785270503</v>
      </c>
      <c r="B487">
        <v>-1.0156407412046662</v>
      </c>
      <c r="C487">
        <v>-2.3700659090765554E-2</v>
      </c>
      <c r="D487">
        <v>-0.41658034960079776</v>
      </c>
      <c r="E487">
        <v>0.11925017692972499</v>
      </c>
      <c r="F487">
        <v>0.29792489519382365</v>
      </c>
      <c r="G487">
        <v>0.8677995915900093</v>
      </c>
      <c r="H487">
        <v>0.87374066124124339</v>
      </c>
      <c r="I487">
        <v>0.77217142547015227</v>
      </c>
      <c r="J487">
        <v>0.21502723639801202</v>
      </c>
      <c r="L487">
        <v>4.4543503706713103</v>
      </c>
      <c r="M487">
        <v>0.89860640787991952</v>
      </c>
      <c r="N487">
        <v>0.83482800977483529</v>
      </c>
      <c r="P487">
        <v>1.1721616897546263E-11</v>
      </c>
      <c r="R487">
        <v>5.1465977375965632</v>
      </c>
      <c r="S487">
        <v>5.155149298810846</v>
      </c>
      <c r="T487">
        <v>1</v>
      </c>
      <c r="U487">
        <v>2.6976665965435656</v>
      </c>
      <c r="AN487" s="7"/>
    </row>
    <row r="488" spans="1:40">
      <c r="A488">
        <v>1.0936316000640462</v>
      </c>
      <c r="B488">
        <v>-1.0143442559233558</v>
      </c>
      <c r="C488">
        <v>3.4227438949178644E-2</v>
      </c>
      <c r="D488">
        <v>-0.11454968681023411</v>
      </c>
      <c r="E488">
        <v>-0.27932998864533443</v>
      </c>
      <c r="F488">
        <v>-0.8449747349487573</v>
      </c>
      <c r="G488">
        <v>0.30249794782531714</v>
      </c>
      <c r="H488">
        <v>0.78734210358876489</v>
      </c>
      <c r="I488">
        <v>1.0138935797631261E-2</v>
      </c>
      <c r="J488">
        <v>0.85762200261450106</v>
      </c>
      <c r="L488">
        <v>4.4543506717148773</v>
      </c>
      <c r="M488">
        <v>0.89860570297320097</v>
      </c>
      <c r="N488">
        <v>0.83482742993853176</v>
      </c>
      <c r="P488">
        <v>9.3290607411796171E-12</v>
      </c>
      <c r="R488">
        <v>5.1465977375965632</v>
      </c>
      <c r="S488">
        <v>5.155149298810846</v>
      </c>
      <c r="T488">
        <v>1</v>
      </c>
      <c r="U488">
        <v>2.6976665965435656</v>
      </c>
      <c r="AN488" s="7" t="s">
        <v>135</v>
      </c>
    </row>
    <row r="489" spans="1:40">
      <c r="A489">
        <v>1.0935181011032715</v>
      </c>
      <c r="B489">
        <v>-1.0118982047054572</v>
      </c>
      <c r="C489">
        <v>2.4856925904721796E-2</v>
      </c>
      <c r="D489">
        <v>-0.23179417865572913</v>
      </c>
      <c r="E489">
        <v>9.7586383669169094E-2</v>
      </c>
      <c r="F489">
        <v>-0.12363919170906011</v>
      </c>
      <c r="G489">
        <v>3.7386257111519466E-2</v>
      </c>
      <c r="H489">
        <v>0.61395639283005965</v>
      </c>
      <c r="I489">
        <v>8.5760487779008965E-2</v>
      </c>
      <c r="J489">
        <v>0.69810272775553273</v>
      </c>
      <c r="L489">
        <v>4.4543503278416798</v>
      </c>
      <c r="M489">
        <v>0.89860651317241924</v>
      </c>
      <c r="N489">
        <v>0.83482820325603446</v>
      </c>
      <c r="P489">
        <v>1.2005783589434133E-11</v>
      </c>
      <c r="R489">
        <v>5.1465977375965632</v>
      </c>
      <c r="S489">
        <v>5.155149298810846</v>
      </c>
      <c r="T489">
        <v>1</v>
      </c>
      <c r="U489">
        <v>2.6976665965435656</v>
      </c>
      <c r="AN489" s="7"/>
    </row>
    <row r="490" spans="1:40">
      <c r="A490">
        <v>1.1030733674666451</v>
      </c>
      <c r="B490">
        <v>-1.0055576018372157</v>
      </c>
      <c r="C490">
        <v>2.0852676729541636E-2</v>
      </c>
      <c r="D490">
        <v>0.28054326852446171</v>
      </c>
      <c r="E490">
        <v>-0.31461965846247936</v>
      </c>
      <c r="F490">
        <v>0.23225820299134509</v>
      </c>
      <c r="G490">
        <v>1.6599807552008624E-2</v>
      </c>
      <c r="H490">
        <v>0.64995189800093245</v>
      </c>
      <c r="I490">
        <v>0.37104422541581505</v>
      </c>
      <c r="J490">
        <v>0.25170333952412988</v>
      </c>
      <c r="L490">
        <v>4.4543503384836587</v>
      </c>
      <c r="M490">
        <v>0.89860650124655572</v>
      </c>
      <c r="N490">
        <v>0.83482816768611201</v>
      </c>
      <c r="P490">
        <v>1.1991979623060793E-11</v>
      </c>
      <c r="R490">
        <v>5.1465977375965632</v>
      </c>
      <c r="S490">
        <v>5.155149298810846</v>
      </c>
      <c r="T490">
        <v>1</v>
      </c>
      <c r="U490">
        <v>2.6976665965435656</v>
      </c>
      <c r="AN490" s="7"/>
    </row>
    <row r="491" spans="1:40">
      <c r="A491">
        <v>0.99446277296958541</v>
      </c>
      <c r="B491">
        <v>-1.1033873066839039</v>
      </c>
      <c r="C491">
        <v>-0.15982494631302213</v>
      </c>
      <c r="D491">
        <v>-0.52803201045785342</v>
      </c>
      <c r="E491">
        <v>0.25427885887838486</v>
      </c>
      <c r="F491">
        <v>-0.34029167896195184</v>
      </c>
      <c r="G491">
        <v>0.48460169543904513</v>
      </c>
      <c r="H491">
        <v>0.90785615209064319</v>
      </c>
      <c r="I491">
        <v>0.28408376862996837</v>
      </c>
      <c r="J491">
        <v>0.2533059148758951</v>
      </c>
      <c r="L491">
        <v>4.4543546668972018</v>
      </c>
      <c r="M491">
        <v>3.6312420257204239</v>
      </c>
      <c r="N491">
        <v>0.83482640120884377</v>
      </c>
      <c r="P491">
        <v>4.7550840347516547E-11</v>
      </c>
      <c r="R491">
        <v>8.4886618616320266</v>
      </c>
      <c r="S491">
        <v>8.5031850746050246</v>
      </c>
      <c r="T491">
        <v>1</v>
      </c>
      <c r="U491">
        <v>2.3735388884113706</v>
      </c>
      <c r="AN491" s="7"/>
    </row>
    <row r="492" spans="1:40">
      <c r="A492">
        <v>0.97916904982798025</v>
      </c>
      <c r="B492">
        <v>-1.135322882476369</v>
      </c>
      <c r="C492">
        <v>-0.1870838662217908</v>
      </c>
      <c r="D492">
        <v>0.29898874364609102</v>
      </c>
      <c r="E492">
        <v>-0.62417301384174073</v>
      </c>
      <c r="F492">
        <v>-0.31377193413018928</v>
      </c>
      <c r="G492">
        <v>0.97711664464331871</v>
      </c>
      <c r="H492">
        <v>0.19351269328836587</v>
      </c>
      <c r="I492">
        <v>0.36218270682569392</v>
      </c>
      <c r="J492">
        <v>0.97737684763010435</v>
      </c>
      <c r="L492">
        <v>4.4543552044878858</v>
      </c>
      <c r="M492">
        <v>3.6312411535734581</v>
      </c>
      <c r="N492">
        <v>0.83482776066356601</v>
      </c>
      <c r="P492">
        <v>5.5580869853416275E-11</v>
      </c>
      <c r="R492">
        <v>8.4886618616320266</v>
      </c>
      <c r="S492">
        <v>8.5031850746050246</v>
      </c>
      <c r="T492">
        <v>1</v>
      </c>
      <c r="U492">
        <v>2.3735388884113706</v>
      </c>
      <c r="AN492" s="7" t="s">
        <v>136</v>
      </c>
    </row>
    <row r="493" spans="1:40">
      <c r="A493">
        <v>0.98480276135563327</v>
      </c>
      <c r="B493">
        <v>-1.1173529696778759</v>
      </c>
      <c r="C493">
        <v>-0.1542954889624592</v>
      </c>
      <c r="D493">
        <v>0.11874358882341605</v>
      </c>
      <c r="E493">
        <v>-6.0438937537933635E-3</v>
      </c>
      <c r="F493">
        <v>-0.5453448739108635</v>
      </c>
      <c r="G493">
        <v>0.45806128733933588</v>
      </c>
      <c r="H493">
        <v>0.88028136700654835</v>
      </c>
      <c r="I493">
        <v>0.4817600416011959</v>
      </c>
      <c r="J493">
        <v>0.90404080263405184</v>
      </c>
      <c r="L493">
        <v>4.4543547173279396</v>
      </c>
      <c r="M493">
        <v>3.6312417795879921</v>
      </c>
      <c r="N493">
        <v>0.83482661833345595</v>
      </c>
      <c r="P493">
        <v>4.9264503295118011E-11</v>
      </c>
      <c r="R493">
        <v>8.4886618616320266</v>
      </c>
      <c r="S493">
        <v>8.5031850746050246</v>
      </c>
      <c r="T493">
        <v>1</v>
      </c>
      <c r="U493">
        <v>2.3735388884113706</v>
      </c>
      <c r="AN493" s="7"/>
    </row>
    <row r="494" spans="1:40">
      <c r="A494">
        <v>0.97594132407708734</v>
      </c>
      <c r="B494">
        <v>-1.1338132157720946</v>
      </c>
      <c r="C494">
        <v>-0.19917051118979714</v>
      </c>
      <c r="D494">
        <v>0.63828938421991133</v>
      </c>
      <c r="E494">
        <v>7.2017685362844169E-2</v>
      </c>
      <c r="F494">
        <v>0.50787417677640789</v>
      </c>
      <c r="G494">
        <v>0.60836661004223835</v>
      </c>
      <c r="H494">
        <v>0.46714088662681574</v>
      </c>
      <c r="I494">
        <v>0.79500097385562951</v>
      </c>
      <c r="J494">
        <v>0.83010239160604415</v>
      </c>
      <c r="L494">
        <v>4.4543550140030188</v>
      </c>
      <c r="M494">
        <v>3.6312413766975267</v>
      </c>
      <c r="N494">
        <v>0.83482722917018204</v>
      </c>
      <c r="P494">
        <v>5.3224146930886095E-11</v>
      </c>
      <c r="R494">
        <v>8.4886618616320266</v>
      </c>
      <c r="S494">
        <v>8.5031850746050246</v>
      </c>
      <c r="T494">
        <v>1</v>
      </c>
      <c r="U494">
        <v>2.3735388884113706</v>
      </c>
      <c r="AN494" s="7"/>
    </row>
    <row r="495" spans="1:40">
      <c r="A495">
        <v>0.99247863829880523</v>
      </c>
      <c r="B495">
        <v>-1.1103562092060035</v>
      </c>
      <c r="C495">
        <v>-0.17284384081702214</v>
      </c>
      <c r="D495">
        <v>-0.60726414534448647</v>
      </c>
      <c r="E495">
        <v>0.57316710936378079</v>
      </c>
      <c r="F495">
        <v>-0.19144793041786531</v>
      </c>
      <c r="G495">
        <v>0.55662505064317069</v>
      </c>
      <c r="H495">
        <v>0.33703996706592837</v>
      </c>
      <c r="I495">
        <v>0.43133989381071774</v>
      </c>
      <c r="J495">
        <v>0.15409955681933363</v>
      </c>
      <c r="L495">
        <v>4.4543506193726321</v>
      </c>
      <c r="M495">
        <v>3.6312453390610964</v>
      </c>
      <c r="N495">
        <v>0.83482669123018893</v>
      </c>
      <c r="P495">
        <v>9.1398458546110118E-12</v>
      </c>
      <c r="R495">
        <v>8.4886618616320266</v>
      </c>
      <c r="S495">
        <v>8.5031850746050246</v>
      </c>
      <c r="T495">
        <v>1</v>
      </c>
      <c r="U495">
        <v>2.3735388884113706</v>
      </c>
      <c r="AN495" s="7"/>
    </row>
    <row r="496" spans="1:40">
      <c r="A496">
        <v>0.99235126429720244</v>
      </c>
      <c r="B496">
        <v>-1.1124703529169495</v>
      </c>
      <c r="C496">
        <v>-0.20637900919913837</v>
      </c>
      <c r="D496">
        <v>0.10079386446914987</v>
      </c>
      <c r="E496">
        <v>0.35298789856874963</v>
      </c>
      <c r="F496">
        <v>0.91013978439772036</v>
      </c>
      <c r="G496">
        <v>0.90650592821948017</v>
      </c>
      <c r="H496">
        <v>1.0159734196370691</v>
      </c>
      <c r="I496">
        <v>0.51615552579621005</v>
      </c>
      <c r="J496">
        <v>0.16096857307116441</v>
      </c>
      <c r="L496">
        <v>4.4543502186113511</v>
      </c>
      <c r="M496">
        <v>3.6312447697138537</v>
      </c>
      <c r="N496">
        <v>0.8348301665254908</v>
      </c>
      <c r="P496">
        <v>6.0945150413143117E-12</v>
      </c>
      <c r="R496">
        <v>8.4886618616320266</v>
      </c>
      <c r="S496">
        <v>8.5031850746050246</v>
      </c>
      <c r="T496">
        <v>1</v>
      </c>
      <c r="U496">
        <v>2.3735388884113706</v>
      </c>
      <c r="AN496" s="7" t="s">
        <v>137</v>
      </c>
    </row>
    <row r="497" spans="1:40">
      <c r="A497">
        <v>0.98208460668944053</v>
      </c>
      <c r="B497">
        <v>-1.1219517975759041</v>
      </c>
      <c r="C497">
        <v>-0.1807085135628258</v>
      </c>
      <c r="D497">
        <v>-0.21277968676795575</v>
      </c>
      <c r="E497">
        <v>0.4318624861591685</v>
      </c>
      <c r="F497">
        <v>0.43783926913847915</v>
      </c>
      <c r="G497">
        <v>0.44393479485770171</v>
      </c>
      <c r="H497">
        <v>0.30683351613304799</v>
      </c>
      <c r="I497">
        <v>0.77194457540482675</v>
      </c>
      <c r="J497">
        <v>0.81654707261038306</v>
      </c>
      <c r="L497">
        <v>4.454354728259311</v>
      </c>
      <c r="M497">
        <v>3.6312418359418204</v>
      </c>
      <c r="N497">
        <v>0.83482657035892038</v>
      </c>
      <c r="P497">
        <v>4.9020036453239836E-11</v>
      </c>
      <c r="R497">
        <v>8.4886618616320266</v>
      </c>
      <c r="S497">
        <v>8.5031850746050246</v>
      </c>
      <c r="T497">
        <v>1</v>
      </c>
      <c r="U497">
        <v>2.3735388884113706</v>
      </c>
      <c r="AN497" s="7"/>
    </row>
    <row r="498" spans="1:40">
      <c r="A498">
        <v>0.98191902551708543</v>
      </c>
      <c r="B498">
        <v>-1.1227131528737253</v>
      </c>
      <c r="C498">
        <v>-0.17188497969148539</v>
      </c>
      <c r="D498">
        <v>0.15478548029309272</v>
      </c>
      <c r="E498">
        <v>-0.55188126713297947</v>
      </c>
      <c r="F498">
        <v>-0.38102879925017535</v>
      </c>
      <c r="G498">
        <v>0.52388772591690591</v>
      </c>
      <c r="H498">
        <v>0.65463974259462088</v>
      </c>
      <c r="I498">
        <v>0.24190855511211781</v>
      </c>
      <c r="J498">
        <v>0.66784614470331327</v>
      </c>
      <c r="L498">
        <v>4.4543552691218604</v>
      </c>
      <c r="M498">
        <v>3.6312411333668968</v>
      </c>
      <c r="N498">
        <v>0.8348279819104778</v>
      </c>
      <c r="P498">
        <v>5.5792632141889938E-11</v>
      </c>
      <c r="R498">
        <v>8.4886618616320266</v>
      </c>
      <c r="S498">
        <v>8.5031850746050246</v>
      </c>
      <c r="T498">
        <v>1</v>
      </c>
      <c r="U498">
        <v>2.3735388884113706</v>
      </c>
      <c r="AN498" s="7"/>
    </row>
    <row r="499" spans="1:40">
      <c r="A499">
        <v>0.98116289501118426</v>
      </c>
      <c r="B499">
        <v>-1.1246500926098644</v>
      </c>
      <c r="C499">
        <v>-0.17953983682527855</v>
      </c>
      <c r="D499">
        <v>-1.7945866583959479E-2</v>
      </c>
      <c r="E499">
        <v>-0.68709198192655752</v>
      </c>
      <c r="F499">
        <v>-0.14962749092827826</v>
      </c>
      <c r="G499">
        <v>0.56936093246645703</v>
      </c>
      <c r="H499">
        <v>0.42138990698192003</v>
      </c>
      <c r="I499">
        <v>0.18434582409546257</v>
      </c>
      <c r="J499">
        <v>0.66791646055283083</v>
      </c>
      <c r="L499">
        <v>4.454355245599988</v>
      </c>
      <c r="M499">
        <v>3.6312413893592308</v>
      </c>
      <c r="N499">
        <v>0.83482748342740232</v>
      </c>
      <c r="P499">
        <v>5.4142740621642275E-11</v>
      </c>
      <c r="R499">
        <v>8.4886618616320266</v>
      </c>
      <c r="S499">
        <v>8.5031850746050246</v>
      </c>
      <c r="T499">
        <v>1</v>
      </c>
      <c r="U499">
        <v>2.3735388884113706</v>
      </c>
      <c r="AN499" s="7"/>
    </row>
    <row r="500" spans="1:40">
      <c r="A500">
        <v>0.98492111804424864</v>
      </c>
      <c r="B500">
        <v>-1.1216270854582107</v>
      </c>
      <c r="C500">
        <v>-0.15867279300831955</v>
      </c>
      <c r="D500">
        <v>0.44390604675486617</v>
      </c>
      <c r="E500">
        <v>0.20106654179972122</v>
      </c>
      <c r="F500">
        <v>-0.11515971946373642</v>
      </c>
      <c r="G500">
        <v>0.11353203476840019</v>
      </c>
      <c r="H500">
        <v>0.19041943937761438</v>
      </c>
      <c r="I500">
        <v>5.2839670961459771E-2</v>
      </c>
      <c r="J500">
        <v>0.6993965282049186</v>
      </c>
      <c r="L500">
        <v>4.4543537821412258</v>
      </c>
      <c r="M500">
        <v>3.6312426490573215</v>
      </c>
      <c r="N500">
        <v>0.83482574836727963</v>
      </c>
      <c r="P500">
        <v>3.9797923109108674E-11</v>
      </c>
      <c r="R500">
        <v>8.4886618616320266</v>
      </c>
      <c r="S500">
        <v>8.5031850746050246</v>
      </c>
      <c r="T500">
        <v>1</v>
      </c>
      <c r="U500">
        <v>2.3735388884113706</v>
      </c>
      <c r="AN500" s="7" t="s">
        <v>138</v>
      </c>
    </row>
    <row r="501" spans="1:40">
      <c r="A501">
        <v>1.038041731959237</v>
      </c>
      <c r="B501">
        <v>-0.99734908776466469</v>
      </c>
      <c r="C501">
        <v>-5.9767485040865938E-2</v>
      </c>
      <c r="D501">
        <v>0.22712572244263274</v>
      </c>
      <c r="E501">
        <v>-0.12052450311083668</v>
      </c>
      <c r="F501">
        <v>0.16366195193560265</v>
      </c>
      <c r="G501">
        <v>0.48168833227019225</v>
      </c>
      <c r="H501">
        <v>0.20887521436114689</v>
      </c>
      <c r="I501">
        <v>0.39982535979335843</v>
      </c>
      <c r="J501">
        <v>0.82228279172020957</v>
      </c>
      <c r="L501">
        <v>0.8986049062718543</v>
      </c>
      <c r="M501">
        <v>3.631246058992371</v>
      </c>
      <c r="N501">
        <v>0.83482824053898641</v>
      </c>
      <c r="P501">
        <v>4.6109110294894185E-12</v>
      </c>
      <c r="R501">
        <v>4.1579685388697474</v>
      </c>
      <c r="S501">
        <v>4.1630934361703984</v>
      </c>
      <c r="T501">
        <v>1</v>
      </c>
      <c r="U501">
        <v>2.6178190097885055</v>
      </c>
      <c r="AN501" s="7"/>
    </row>
    <row r="502" spans="1:40">
      <c r="A502">
        <v>1.0299773497993832</v>
      </c>
      <c r="B502">
        <v>-0.98923707602173627</v>
      </c>
      <c r="C502">
        <v>-6.5181916534377743E-2</v>
      </c>
      <c r="D502">
        <v>0.15801690417243366</v>
      </c>
      <c r="E502">
        <v>-0.74090221996574257</v>
      </c>
      <c r="F502">
        <v>-0.23451181367014812</v>
      </c>
      <c r="G502">
        <v>0.19259364522407765</v>
      </c>
      <c r="H502">
        <v>0.13026701321048526</v>
      </c>
      <c r="I502">
        <v>0.89358488095386635</v>
      </c>
      <c r="J502">
        <v>0.29810914519371284</v>
      </c>
      <c r="L502">
        <v>0.89860486771623982</v>
      </c>
      <c r="M502">
        <v>3.6312460427051185</v>
      </c>
      <c r="N502">
        <v>0.83482830063061264</v>
      </c>
      <c r="P502">
        <v>4.3990287309953451E-12</v>
      </c>
      <c r="R502">
        <v>4.1579685388697474</v>
      </c>
      <c r="S502">
        <v>4.1630934361703984</v>
      </c>
      <c r="T502">
        <v>1</v>
      </c>
      <c r="U502">
        <v>2.6178190097885055</v>
      </c>
      <c r="AN502" s="7"/>
    </row>
    <row r="503" spans="1:40">
      <c r="A503">
        <v>1.0440343002020496</v>
      </c>
      <c r="B503">
        <v>-0.99443568658140724</v>
      </c>
      <c r="C503">
        <v>-6.0430305288867343E-2</v>
      </c>
      <c r="D503">
        <v>-0.4294378659551577</v>
      </c>
      <c r="E503">
        <v>-0.29721931858472311</v>
      </c>
      <c r="F503">
        <v>-0.3753719151809673</v>
      </c>
      <c r="G503">
        <v>0.97225151988011593</v>
      </c>
      <c r="H503">
        <v>0.71740146495626267</v>
      </c>
      <c r="I503">
        <v>0.30264778970939676</v>
      </c>
      <c r="J503">
        <v>0.66695798158015729</v>
      </c>
      <c r="L503">
        <v>0.89860494701648941</v>
      </c>
      <c r="M503">
        <v>3.6312460331759571</v>
      </c>
      <c r="N503">
        <v>0.83482827517186864</v>
      </c>
      <c r="P503">
        <v>4.7299895583685167E-12</v>
      </c>
      <c r="R503">
        <v>4.1579685388697474</v>
      </c>
      <c r="S503">
        <v>4.1630934361703984</v>
      </c>
      <c r="T503">
        <v>1</v>
      </c>
      <c r="U503">
        <v>2.6178190097885055</v>
      </c>
      <c r="AN503" s="7"/>
    </row>
    <row r="504" spans="1:40">
      <c r="A504">
        <v>1.0373739494682968</v>
      </c>
      <c r="B504">
        <v>-0.98317610786875964</v>
      </c>
      <c r="C504">
        <v>-5.2304914556821708E-2</v>
      </c>
      <c r="D504">
        <v>-0.18301292411969028</v>
      </c>
      <c r="E504">
        <v>-0.15041623274086638</v>
      </c>
      <c r="F504">
        <v>0.28246869142841385</v>
      </c>
      <c r="G504">
        <v>0.17307276848756964</v>
      </c>
      <c r="H504">
        <v>0.52781637074235488</v>
      </c>
      <c r="I504">
        <v>0.7691177643792656</v>
      </c>
      <c r="J504">
        <v>0.67472189208647038</v>
      </c>
      <c r="L504">
        <v>0.89860494523128231</v>
      </c>
      <c r="M504">
        <v>3.6312460293869675</v>
      </c>
      <c r="N504">
        <v>0.83482829762100152</v>
      </c>
      <c r="P504">
        <v>4.6889191323477501E-12</v>
      </c>
      <c r="R504">
        <v>4.1579685388697474</v>
      </c>
      <c r="S504">
        <v>4.1630934361703984</v>
      </c>
      <c r="T504">
        <v>1</v>
      </c>
      <c r="U504">
        <v>2.6178190097885055</v>
      </c>
      <c r="AN504" s="7" t="s">
        <v>139</v>
      </c>
    </row>
    <row r="505" spans="1:40">
      <c r="A505">
        <v>1.0393663130279975</v>
      </c>
      <c r="B505">
        <v>-0.99154945379207993</v>
      </c>
      <c r="C505">
        <v>-4.1623687140990906E-2</v>
      </c>
      <c r="D505">
        <v>0.17607195459862376</v>
      </c>
      <c r="E505">
        <v>-0.47418305221246299</v>
      </c>
      <c r="F505">
        <v>-0.19872946575851885</v>
      </c>
      <c r="G505">
        <v>0.33764189681934459</v>
      </c>
      <c r="H505">
        <v>0.56183254695757545</v>
      </c>
      <c r="I505">
        <v>0.18258263006387249</v>
      </c>
      <c r="J505">
        <v>0.91783758781721447</v>
      </c>
      <c r="L505">
        <v>0.89860448102953683</v>
      </c>
      <c r="M505">
        <v>3.6312461465368759</v>
      </c>
      <c r="N505">
        <v>0.83482802284235202</v>
      </c>
      <c r="P505">
        <v>3.6925750011944366E-12</v>
      </c>
      <c r="R505">
        <v>4.1579685388697474</v>
      </c>
      <c r="S505">
        <v>4.1630934361703984</v>
      </c>
      <c r="T505">
        <v>1</v>
      </c>
      <c r="U505">
        <v>2.6178190097885055</v>
      </c>
      <c r="AN505" s="7"/>
    </row>
    <row r="506" spans="1:40">
      <c r="A506">
        <v>1.0337847373520637</v>
      </c>
      <c r="B506">
        <v>-1.0051500367242021</v>
      </c>
      <c r="C506">
        <v>-7.0696571746565184E-2</v>
      </c>
      <c r="D506">
        <v>0.36330476791317601</v>
      </c>
      <c r="E506">
        <v>-0.11151532485902901</v>
      </c>
      <c r="F506">
        <v>-0.30418396028842515</v>
      </c>
      <c r="G506">
        <v>0.96465554374190898</v>
      </c>
      <c r="H506">
        <v>0.27866565535101345</v>
      </c>
      <c r="I506">
        <v>0.97282707885226194</v>
      </c>
      <c r="J506">
        <v>0.95601362044169025</v>
      </c>
      <c r="L506">
        <v>0.89860481075254983</v>
      </c>
      <c r="M506">
        <v>3.6312460914519806</v>
      </c>
      <c r="N506">
        <v>0.83482816590460118</v>
      </c>
      <c r="P506">
        <v>4.3945127663982882E-12</v>
      </c>
      <c r="R506">
        <v>4.1579685388697474</v>
      </c>
      <c r="S506">
        <v>4.1630934361703984</v>
      </c>
      <c r="T506">
        <v>1</v>
      </c>
      <c r="U506">
        <v>2.6178190097885055</v>
      </c>
      <c r="AN506" s="7"/>
    </row>
    <row r="507" spans="1:40">
      <c r="A507">
        <v>1.0372345774691099</v>
      </c>
      <c r="B507">
        <v>-0.98551029020959779</v>
      </c>
      <c r="C507">
        <v>-5.9484742704526458E-2</v>
      </c>
      <c r="D507">
        <v>-0.27311499088476271</v>
      </c>
      <c r="E507">
        <v>-0.29144647745662389</v>
      </c>
      <c r="F507">
        <v>-0.12619630181747776</v>
      </c>
      <c r="G507">
        <v>5.3276482980141295E-2</v>
      </c>
      <c r="H507">
        <v>1.7801939213585569E-2</v>
      </c>
      <c r="I507">
        <v>0.45997643693479257</v>
      </c>
      <c r="J507">
        <v>2.9377335712017328E-2</v>
      </c>
      <c r="L507">
        <v>0.89860496811418578</v>
      </c>
      <c r="M507">
        <v>3.631245989634992</v>
      </c>
      <c r="N507">
        <v>0.83482833522202982</v>
      </c>
      <c r="P507">
        <v>4.7765098130205516E-12</v>
      </c>
      <c r="R507">
        <v>4.1579685388697474</v>
      </c>
      <c r="S507">
        <v>4.1630934361703984</v>
      </c>
      <c r="T507">
        <v>1</v>
      </c>
      <c r="U507">
        <v>2.6178190097885055</v>
      </c>
      <c r="AN507" s="7"/>
    </row>
    <row r="508" spans="1:40">
      <c r="A508">
        <v>1.0419278365319951</v>
      </c>
      <c r="B508">
        <v>-0.99439046906737083</v>
      </c>
      <c r="C508">
        <v>-7.5630900278321991E-2</v>
      </c>
      <c r="D508">
        <v>-0.31677557853871302</v>
      </c>
      <c r="E508">
        <v>4.5631179984588169E-2</v>
      </c>
      <c r="F508">
        <v>0.28656186267297951</v>
      </c>
      <c r="G508">
        <v>0.78531488202803634</v>
      </c>
      <c r="H508">
        <v>0.38589801680485719</v>
      </c>
      <c r="I508">
        <v>0.51745887309505467</v>
      </c>
      <c r="J508">
        <v>0.47076381406161516</v>
      </c>
      <c r="L508">
        <v>0.8986049395109893</v>
      </c>
      <c r="M508">
        <v>3.6312460389963568</v>
      </c>
      <c r="N508">
        <v>0.83482827036352181</v>
      </c>
      <c r="P508">
        <v>4.7025178418260177E-12</v>
      </c>
      <c r="R508">
        <v>4.1579685388697474</v>
      </c>
      <c r="S508">
        <v>4.1630934361703984</v>
      </c>
      <c r="T508">
        <v>1</v>
      </c>
      <c r="U508">
        <v>2.6178190097885055</v>
      </c>
      <c r="AN508" s="7" t="s">
        <v>140</v>
      </c>
    </row>
    <row r="509" spans="1:40">
      <c r="A509">
        <v>1.0343630763256868</v>
      </c>
      <c r="B509">
        <v>-0.98606698006214499</v>
      </c>
      <c r="C509">
        <v>-5.0111714265880833E-2</v>
      </c>
      <c r="D509">
        <v>-0.26208735727131499</v>
      </c>
      <c r="E509">
        <v>-0.64915829850246209</v>
      </c>
      <c r="F509">
        <v>0.34849843772597949</v>
      </c>
      <c r="G509">
        <v>0.18185729379265184</v>
      </c>
      <c r="H509">
        <v>0.17960360295064934</v>
      </c>
      <c r="I509">
        <v>0.65422405737420597</v>
      </c>
      <c r="J509">
        <v>0.98697071191786268</v>
      </c>
      <c r="L509">
        <v>0.89860490291101491</v>
      </c>
      <c r="M509">
        <v>3.6312460431404312</v>
      </c>
      <c r="N509">
        <v>0.83482826021282741</v>
      </c>
      <c r="P509">
        <v>4.5907663506159048E-12</v>
      </c>
      <c r="R509">
        <v>4.1579685388697474</v>
      </c>
      <c r="S509">
        <v>4.1630934361703984</v>
      </c>
      <c r="T509">
        <v>1</v>
      </c>
      <c r="U509">
        <v>2.6178190097885055</v>
      </c>
      <c r="AN509" s="7"/>
    </row>
    <row r="510" spans="1:40">
      <c r="A510">
        <v>1.0454248928074843</v>
      </c>
      <c r="B510">
        <v>-0.99497772303517995</v>
      </c>
      <c r="C510">
        <v>-3.9917328573715334E-2</v>
      </c>
      <c r="D510">
        <v>4.8509100432720588E-2</v>
      </c>
      <c r="E510">
        <v>0.1173160242363542</v>
      </c>
      <c r="F510">
        <v>-0.51505234643483133</v>
      </c>
      <c r="G510">
        <v>0.65563250892735381</v>
      </c>
      <c r="H510">
        <v>0.80681627285257573</v>
      </c>
      <c r="I510">
        <v>0.10488451346943398</v>
      </c>
      <c r="J510">
        <v>0.87948390263304277</v>
      </c>
      <c r="L510">
        <v>0.89860497619169444</v>
      </c>
      <c r="M510">
        <v>3.6312459992123887</v>
      </c>
      <c r="N510">
        <v>0.83482831275703795</v>
      </c>
      <c r="P510">
        <v>4.8261978749799701E-12</v>
      </c>
      <c r="R510">
        <v>4.1579685388697474</v>
      </c>
      <c r="S510">
        <v>4.1630934361703984</v>
      </c>
      <c r="T510">
        <v>1</v>
      </c>
      <c r="U510">
        <v>2.6178190097885055</v>
      </c>
      <c r="AN510" s="7"/>
    </row>
    <row r="511" spans="1:40">
      <c r="A511">
        <v>0.10675264205838628</v>
      </c>
      <c r="B511">
        <v>-1.2057535093431313</v>
      </c>
      <c r="C511">
        <v>0.9824110444694909</v>
      </c>
      <c r="D511">
        <v>-0.25332606825613413</v>
      </c>
      <c r="E511">
        <v>0.52436965454479312</v>
      </c>
      <c r="F511">
        <v>0.37445238173237583</v>
      </c>
      <c r="G511">
        <v>0.25742393440623734</v>
      </c>
      <c r="H511">
        <v>0.49648630232265173</v>
      </c>
      <c r="I511">
        <v>0.9221368844764728</v>
      </c>
      <c r="J511">
        <v>0.44892158883914818</v>
      </c>
      <c r="L511">
        <v>2.8019115310738005</v>
      </c>
      <c r="M511">
        <v>3.7175961882553836</v>
      </c>
      <c r="N511">
        <v>2.3648233036672939</v>
      </c>
      <c r="P511">
        <v>6.4865607762034697E-12</v>
      </c>
      <c r="R511">
        <v>5.8417165536754734</v>
      </c>
      <c r="S511">
        <v>5.8454524208722907</v>
      </c>
      <c r="T511">
        <v>1</v>
      </c>
      <c r="U511">
        <v>2.4172722014449692</v>
      </c>
      <c r="AN511" s="7"/>
    </row>
    <row r="512" spans="1:40">
      <c r="A512">
        <v>0.1072587111026871</v>
      </c>
      <c r="B512">
        <v>-1.2128242455749991</v>
      </c>
      <c r="C512">
        <v>0.95746602916437551</v>
      </c>
      <c r="D512">
        <v>0.52707063952081012</v>
      </c>
      <c r="E512">
        <v>0.19098717125785841</v>
      </c>
      <c r="F512">
        <v>-0.34742035096415186</v>
      </c>
      <c r="G512">
        <v>0.23410492783669851</v>
      </c>
      <c r="H512">
        <v>0.13253236935595258</v>
      </c>
      <c r="I512">
        <v>0.64246434549073816</v>
      </c>
      <c r="J512">
        <v>0.12114418547337026</v>
      </c>
      <c r="L512">
        <v>2.8019116355730738</v>
      </c>
      <c r="M512">
        <v>3.7175959110251342</v>
      </c>
      <c r="N512">
        <v>2.3648237146495501</v>
      </c>
      <c r="P512">
        <v>6.9845055094005259E-12</v>
      </c>
      <c r="R512">
        <v>5.8417165536754734</v>
      </c>
      <c r="S512">
        <v>5.8454524208722907</v>
      </c>
      <c r="T512">
        <v>1</v>
      </c>
      <c r="U512">
        <v>2.4172722014449692</v>
      </c>
      <c r="AN512" s="7" t="s">
        <v>141</v>
      </c>
    </row>
    <row r="513" spans="1:40">
      <c r="A513">
        <v>0.11065279475983217</v>
      </c>
      <c r="B513">
        <v>-1.200298049620939</v>
      </c>
      <c r="C513">
        <v>0.98913846265445848</v>
      </c>
      <c r="D513">
        <v>-0.19040692884319416</v>
      </c>
      <c r="E513">
        <v>-5.2630076846557496E-2</v>
      </c>
      <c r="F513">
        <v>0.49175716842948458</v>
      </c>
      <c r="G513">
        <v>2.5026568703884366E-2</v>
      </c>
      <c r="H513">
        <v>0.96607911593280904</v>
      </c>
      <c r="I513">
        <v>0.43231377850492697</v>
      </c>
      <c r="J513">
        <v>0.83764967990387784</v>
      </c>
      <c r="L513">
        <v>2.8019114618252972</v>
      </c>
      <c r="M513">
        <v>3.7175961863135423</v>
      </c>
      <c r="N513">
        <v>2.3648232825397919</v>
      </c>
      <c r="P513">
        <v>6.1967977757279132E-12</v>
      </c>
      <c r="R513">
        <v>5.8417165536754734</v>
      </c>
      <c r="S513">
        <v>5.8454524208722907</v>
      </c>
      <c r="T513">
        <v>1</v>
      </c>
      <c r="U513">
        <v>2.4172722014449692</v>
      </c>
      <c r="AN513" s="7"/>
    </row>
    <row r="514" spans="1:40">
      <c r="A514">
        <v>0.10970914510319107</v>
      </c>
      <c r="B514">
        <v>-1.2102224042159502</v>
      </c>
      <c r="C514">
        <v>0.97690791712683978</v>
      </c>
      <c r="D514">
        <v>0.34398230240125466</v>
      </c>
      <c r="E514">
        <v>0.17268044412958522</v>
      </c>
      <c r="F514">
        <v>-8.0927649233264093E-2</v>
      </c>
      <c r="G514">
        <v>0.75271581409095056</v>
      </c>
      <c r="H514">
        <v>0.93280433020130038</v>
      </c>
      <c r="I514">
        <v>0.6787332265724868</v>
      </c>
      <c r="J514">
        <v>0.73209706707347111</v>
      </c>
      <c r="L514">
        <v>2.8019117031370615</v>
      </c>
      <c r="M514">
        <v>3.7175961870576835</v>
      </c>
      <c r="N514">
        <v>2.3648233198753257</v>
      </c>
      <c r="P514">
        <v>7.1670404016851571E-12</v>
      </c>
      <c r="R514">
        <v>5.8417165536754734</v>
      </c>
      <c r="S514">
        <v>5.8454524208722907</v>
      </c>
      <c r="T514">
        <v>1</v>
      </c>
      <c r="U514">
        <v>2.4172722014449692</v>
      </c>
      <c r="AN514" s="7"/>
    </row>
    <row r="515" spans="1:40">
      <c r="A515">
        <v>0.10706118737533583</v>
      </c>
      <c r="B515">
        <v>-1.211531438908118</v>
      </c>
      <c r="C515">
        <v>0.98219657884381761</v>
      </c>
      <c r="D515">
        <v>-0.24840488964732521</v>
      </c>
      <c r="E515">
        <v>-0.1383535244853116</v>
      </c>
      <c r="F515">
        <v>-0.12572365572017682</v>
      </c>
      <c r="G515">
        <v>0.9067835515424002</v>
      </c>
      <c r="H515">
        <v>0.51077520896547279</v>
      </c>
      <c r="I515">
        <v>0.39602308513329082</v>
      </c>
      <c r="J515">
        <v>0.32392044632652717</v>
      </c>
      <c r="L515">
        <v>2.8019115422647518</v>
      </c>
      <c r="M515">
        <v>3.7175958954213932</v>
      </c>
      <c r="N515">
        <v>2.3648237280846001</v>
      </c>
      <c r="P515">
        <v>6.6295858168504395E-12</v>
      </c>
      <c r="R515">
        <v>5.8417165536754734</v>
      </c>
      <c r="S515">
        <v>5.8454524208722907</v>
      </c>
      <c r="T515">
        <v>1</v>
      </c>
      <c r="U515">
        <v>2.4172722014449692</v>
      </c>
      <c r="AN515" s="7"/>
    </row>
    <row r="516" spans="1:40">
      <c r="A516">
        <v>0.11508288860647857</v>
      </c>
      <c r="B516">
        <v>-1.2068383817733694</v>
      </c>
      <c r="C516">
        <v>0.99967272227403603</v>
      </c>
      <c r="D516">
        <v>-0.60263522268005543</v>
      </c>
      <c r="E516">
        <v>0.21058184042005348</v>
      </c>
      <c r="F516">
        <v>7.8003777819635601E-4</v>
      </c>
      <c r="G516">
        <v>0.85200877537949526</v>
      </c>
      <c r="H516">
        <v>0.79295302157120917</v>
      </c>
      <c r="I516">
        <v>0.10529206860728409</v>
      </c>
      <c r="J516">
        <v>0.79931637728220273</v>
      </c>
      <c r="L516">
        <v>2.8019115756047035</v>
      </c>
      <c r="M516">
        <v>3.7175958168120129</v>
      </c>
      <c r="N516">
        <v>2.3648238023527042</v>
      </c>
      <c r="P516">
        <v>6.7599105358860373E-12</v>
      </c>
      <c r="R516">
        <v>5.8417165536754734</v>
      </c>
      <c r="S516">
        <v>5.8454524208722907</v>
      </c>
      <c r="T516">
        <v>1</v>
      </c>
      <c r="U516">
        <v>2.4172722014449692</v>
      </c>
      <c r="AN516" s="7" t="s">
        <v>142</v>
      </c>
    </row>
    <row r="517" spans="1:40">
      <c r="A517">
        <v>0.11188019470773124</v>
      </c>
      <c r="B517">
        <v>-1.2090799532184384</v>
      </c>
      <c r="C517">
        <v>0.96889223742141728</v>
      </c>
      <c r="D517">
        <v>0.16081840654281657</v>
      </c>
      <c r="E517">
        <v>-0.17350241882780043</v>
      </c>
      <c r="F517">
        <v>-0.22504359657517783</v>
      </c>
      <c r="G517">
        <v>0.12506268350906058</v>
      </c>
      <c r="H517">
        <v>0.21651267594729903</v>
      </c>
      <c r="I517">
        <v>2.8213680635509438E-2</v>
      </c>
      <c r="J517">
        <v>0.38296325258845326</v>
      </c>
      <c r="L517">
        <v>2.8019114779624665</v>
      </c>
      <c r="M517">
        <v>3.7175959853943255</v>
      </c>
      <c r="N517">
        <v>2.3648236136465242</v>
      </c>
      <c r="P517">
        <v>6.348064752462773E-12</v>
      </c>
      <c r="R517">
        <v>5.8417165536754734</v>
      </c>
      <c r="S517">
        <v>5.8454524208722907</v>
      </c>
      <c r="T517">
        <v>1</v>
      </c>
      <c r="U517">
        <v>2.4172722014449692</v>
      </c>
      <c r="AN517" s="7"/>
    </row>
    <row r="518" spans="1:40">
      <c r="A518">
        <v>0.10599540993931099</v>
      </c>
      <c r="B518">
        <v>-1.203668436758091</v>
      </c>
      <c r="C518">
        <v>0.98197372768941149</v>
      </c>
      <c r="D518">
        <v>-5.0902305299660777E-2</v>
      </c>
      <c r="E518">
        <v>0.11348476381898585</v>
      </c>
      <c r="F518">
        <v>0.29735915838723204</v>
      </c>
      <c r="G518">
        <v>0.10243904410656854</v>
      </c>
      <c r="H518">
        <v>0.73324397041348499</v>
      </c>
      <c r="I518">
        <v>0.74853540371055671</v>
      </c>
      <c r="J518">
        <v>0.32408954701817655</v>
      </c>
      <c r="L518">
        <v>2.8019116976859864</v>
      </c>
      <c r="M518">
        <v>3.7175962981591497</v>
      </c>
      <c r="N518">
        <v>2.3648230457133104</v>
      </c>
      <c r="P518">
        <v>7.0871844452931887E-12</v>
      </c>
      <c r="R518">
        <v>5.8417165536754734</v>
      </c>
      <c r="S518">
        <v>5.8454524208722907</v>
      </c>
      <c r="T518">
        <v>1</v>
      </c>
      <c r="U518">
        <v>2.4172722014449692</v>
      </c>
      <c r="AN518" s="7"/>
    </row>
    <row r="519" spans="1:40">
      <c r="A519">
        <v>0.11005775312998536</v>
      </c>
      <c r="B519">
        <v>-1.2130178070103392</v>
      </c>
      <c r="C519">
        <v>0.98275403495135205</v>
      </c>
      <c r="D519">
        <v>-0.14066769560306</v>
      </c>
      <c r="E519">
        <v>0.42873445532727006</v>
      </c>
      <c r="F519">
        <v>0.26681043673355342</v>
      </c>
      <c r="G519">
        <v>0.91353519349126844</v>
      </c>
      <c r="H519">
        <v>0.41903387416207794</v>
      </c>
      <c r="I519">
        <v>0.4726358238876312</v>
      </c>
      <c r="J519">
        <v>0.79236733670432968</v>
      </c>
      <c r="L519">
        <v>2.8019116402180786</v>
      </c>
      <c r="M519">
        <v>3.7175962153035198</v>
      </c>
      <c r="N519">
        <v>2.3648232087208774</v>
      </c>
      <c r="P519">
        <v>6.822472336619849E-12</v>
      </c>
      <c r="R519">
        <v>5.8417165536754734</v>
      </c>
      <c r="S519">
        <v>5.8454524208722907</v>
      </c>
      <c r="T519">
        <v>1</v>
      </c>
      <c r="U519">
        <v>2.4172722014449692</v>
      </c>
      <c r="AN519" s="7"/>
    </row>
    <row r="520" spans="1:40">
      <c r="A520">
        <v>0.11027404777147724</v>
      </c>
      <c r="B520">
        <v>-1.2199381749067191</v>
      </c>
      <c r="C520">
        <v>0.95945706123980978</v>
      </c>
      <c r="D520">
        <v>0.77781067615092137</v>
      </c>
      <c r="E520">
        <v>0.54514575908744756</v>
      </c>
      <c r="F520">
        <v>0.22455641582412983</v>
      </c>
      <c r="G520">
        <v>0.8660552072476071</v>
      </c>
      <c r="H520">
        <v>0.15812825233644828</v>
      </c>
      <c r="I520">
        <v>0.4907817309494143</v>
      </c>
      <c r="J520">
        <v>0.99191729068706436</v>
      </c>
      <c r="L520">
        <v>2.8019116069212333</v>
      </c>
      <c r="M520">
        <v>3.7175961044412014</v>
      </c>
      <c r="N520">
        <v>2.3648234853956143</v>
      </c>
      <c r="P520">
        <v>6.8671916995773104E-12</v>
      </c>
      <c r="R520">
        <v>5.8417165536754734</v>
      </c>
      <c r="S520">
        <v>5.8454524208722907</v>
      </c>
      <c r="T520">
        <v>1</v>
      </c>
      <c r="U520">
        <v>2.4172722014449692</v>
      </c>
      <c r="AN520" s="7" t="s">
        <v>143</v>
      </c>
    </row>
    <row r="521" spans="1:40">
      <c r="A521">
        <v>-0.44565055047990598</v>
      </c>
      <c r="B521">
        <v>-1.2393955167790069</v>
      </c>
      <c r="C521">
        <v>1.7075322033353697</v>
      </c>
      <c r="D521">
        <v>-0.26422086496952196</v>
      </c>
      <c r="E521">
        <v>-0.5607224002919271</v>
      </c>
      <c r="F521">
        <v>0.26703690670511998</v>
      </c>
      <c r="G521">
        <v>0.83593561264432859</v>
      </c>
      <c r="H521">
        <v>0.13141125851630603</v>
      </c>
      <c r="I521">
        <v>0.44249325960738872</v>
      </c>
      <c r="J521">
        <v>0.60437206818260425</v>
      </c>
      <c r="L521">
        <v>2.8019108861624975</v>
      </c>
      <c r="M521">
        <v>3.717592818911974</v>
      </c>
      <c r="N521">
        <v>2.2181943853353543</v>
      </c>
      <c r="P521">
        <v>7.0034376921610571E-12</v>
      </c>
      <c r="R521">
        <v>26.824162257062156</v>
      </c>
      <c r="S521">
        <v>27.264608409535779</v>
      </c>
      <c r="T521">
        <v>1</v>
      </c>
      <c r="U521">
        <v>2.202490887023191</v>
      </c>
      <c r="AN521" s="7"/>
    </row>
    <row r="522" spans="1:40">
      <c r="A522">
        <v>-0.43177586522685857</v>
      </c>
      <c r="B522">
        <v>-1.2471488930090928</v>
      </c>
      <c r="C522">
        <v>1.6825747595888385</v>
      </c>
      <c r="D522">
        <v>0.94799483659838013</v>
      </c>
      <c r="E522">
        <v>0.10613960540378707</v>
      </c>
      <c r="F522">
        <v>0.20661989628288491</v>
      </c>
      <c r="G522">
        <v>1.0210774223984576</v>
      </c>
      <c r="H522">
        <v>0.22539152944486909</v>
      </c>
      <c r="I522">
        <v>0.34758862561442</v>
      </c>
      <c r="J522">
        <v>0.21359304321596098</v>
      </c>
      <c r="L522">
        <v>2.801911148043291</v>
      </c>
      <c r="M522">
        <v>3.7175932503386284</v>
      </c>
      <c r="N522">
        <v>2.2181948117243588</v>
      </c>
      <c r="P522">
        <v>7.7860397644941847E-12</v>
      </c>
      <c r="R522">
        <v>26.824162257062156</v>
      </c>
      <c r="S522">
        <v>27.264608409535779</v>
      </c>
      <c r="T522">
        <v>1</v>
      </c>
      <c r="U522">
        <v>2.202490887023191</v>
      </c>
      <c r="AN522" s="7"/>
    </row>
    <row r="523" spans="1:40">
      <c r="A523">
        <v>-0.44127820074938107</v>
      </c>
      <c r="B523">
        <v>-1.2393748521307675</v>
      </c>
      <c r="C523">
        <v>1.7048306160694573</v>
      </c>
      <c r="D523">
        <v>0.45008620075426997</v>
      </c>
      <c r="E523">
        <v>-0.41541855458396237</v>
      </c>
      <c r="F523">
        <v>-0.26221852022060993</v>
      </c>
      <c r="G523">
        <v>0.73030977188403645</v>
      </c>
      <c r="H523">
        <v>0.55024295966317416</v>
      </c>
      <c r="I523">
        <v>0.29774873417027486</v>
      </c>
      <c r="J523">
        <v>0</v>
      </c>
      <c r="L523">
        <v>2.8019119680341316</v>
      </c>
      <c r="M523">
        <v>3.7175941495973741</v>
      </c>
      <c r="N523">
        <v>2.2181951522306065</v>
      </c>
      <c r="P523">
        <v>1.0572794965826002E-11</v>
      </c>
      <c r="R523">
        <v>26.824162257062156</v>
      </c>
      <c r="S523">
        <v>27.264608409535779</v>
      </c>
      <c r="T523">
        <v>1</v>
      </c>
      <c r="U523">
        <v>2.202490887023191</v>
      </c>
      <c r="AN523" s="7"/>
    </row>
    <row r="524" spans="1:40">
      <c r="A524">
        <v>-0.45285170585365253</v>
      </c>
      <c r="B524">
        <v>-1.2378677983576853</v>
      </c>
      <c r="C524">
        <v>1.7117057813293111</v>
      </c>
      <c r="D524">
        <v>0.82063964416910651</v>
      </c>
      <c r="E524">
        <v>-0.24383529991492511</v>
      </c>
      <c r="F524">
        <v>2.7713486137452906E-2</v>
      </c>
      <c r="G524">
        <v>0</v>
      </c>
      <c r="H524">
        <v>0.25532767475443741</v>
      </c>
      <c r="I524">
        <v>0.19601953667113484</v>
      </c>
      <c r="J524">
        <v>0.11158825185276464</v>
      </c>
      <c r="L524">
        <v>2.801910876230751</v>
      </c>
      <c r="M524">
        <v>3.7175928430188243</v>
      </c>
      <c r="N524">
        <v>2.2181943941517401</v>
      </c>
      <c r="P524">
        <v>6.9201203797790445E-12</v>
      </c>
      <c r="R524">
        <v>26.824162257062156</v>
      </c>
      <c r="S524">
        <v>27.264608409535779</v>
      </c>
      <c r="T524">
        <v>1</v>
      </c>
      <c r="U524">
        <v>2.202490887023191</v>
      </c>
      <c r="AN524" s="7" t="s">
        <v>144</v>
      </c>
    </row>
    <row r="525" spans="1:40">
      <c r="A525">
        <v>-0.44278569227183201</v>
      </c>
      <c r="B525">
        <v>-1.2386487532006394</v>
      </c>
      <c r="C525">
        <v>1.711111879797917</v>
      </c>
      <c r="D525">
        <v>0.34773524085221852</v>
      </c>
      <c r="E525">
        <v>0.42666130696492344</v>
      </c>
      <c r="F525">
        <v>0.21633845889637798</v>
      </c>
      <c r="G525">
        <v>0.79645063246825054</v>
      </c>
      <c r="H525">
        <v>0.65415928502107745</v>
      </c>
      <c r="I525">
        <v>0.97062272531584515</v>
      </c>
      <c r="J525">
        <v>0.2977647217707925</v>
      </c>
      <c r="L525">
        <v>2.8019109949443965</v>
      </c>
      <c r="M525">
        <v>3.717592918223223</v>
      </c>
      <c r="N525">
        <v>2.2181945571041841</v>
      </c>
      <c r="P525">
        <v>7.4725302051738544E-12</v>
      </c>
      <c r="R525">
        <v>26.824162257062156</v>
      </c>
      <c r="S525">
        <v>27.264608409535779</v>
      </c>
      <c r="T525">
        <v>1</v>
      </c>
      <c r="U525">
        <v>2.202490887023191</v>
      </c>
      <c r="AN525" s="7"/>
    </row>
    <row r="526" spans="1:40">
      <c r="A526">
        <v>-0.42649076226554566</v>
      </c>
      <c r="B526">
        <v>-1.2324689199962475</v>
      </c>
      <c r="C526">
        <v>1.6955876000921373</v>
      </c>
      <c r="D526">
        <v>-0.40960256046398835</v>
      </c>
      <c r="E526">
        <v>-0.10485190162499815</v>
      </c>
      <c r="F526">
        <v>0.33606378834733719</v>
      </c>
      <c r="G526">
        <v>0.58483958969165661</v>
      </c>
      <c r="H526">
        <v>0.51853457711151962</v>
      </c>
      <c r="I526">
        <v>0.76231896065336557</v>
      </c>
      <c r="J526">
        <v>0</v>
      </c>
      <c r="L526">
        <v>2.8019122827159277</v>
      </c>
      <c r="M526">
        <v>3.7175950249298055</v>
      </c>
      <c r="N526">
        <v>2.2181949563790475</v>
      </c>
      <c r="P526">
        <v>1.1146439472568888E-11</v>
      </c>
      <c r="R526">
        <v>26.824162257062156</v>
      </c>
      <c r="S526">
        <v>27.264608409535779</v>
      </c>
      <c r="T526">
        <v>1</v>
      </c>
      <c r="U526">
        <v>2.202490887023191</v>
      </c>
      <c r="AN526" s="7"/>
    </row>
    <row r="527" spans="1:40">
      <c r="A527">
        <v>-0.45373834095829829</v>
      </c>
      <c r="B527">
        <v>-1.2329282209301131</v>
      </c>
      <c r="C527">
        <v>1.7289298730997231</v>
      </c>
      <c r="D527">
        <v>4.1201301750630234E-2</v>
      </c>
      <c r="E527">
        <v>-0.18434183818419123</v>
      </c>
      <c r="F527">
        <v>3.2714956037548558E-2</v>
      </c>
      <c r="G527">
        <v>0.31148913266206069</v>
      </c>
      <c r="H527">
        <v>0.65285091841894705</v>
      </c>
      <c r="I527">
        <v>0.62186339397633905</v>
      </c>
      <c r="J527">
        <v>0.19774705315727345</v>
      </c>
      <c r="L527">
        <v>2.8019108563945925</v>
      </c>
      <c r="M527">
        <v>3.7175929121013183</v>
      </c>
      <c r="N527">
        <v>2.2181944635495383</v>
      </c>
      <c r="P527">
        <v>6.8488747693398656E-12</v>
      </c>
      <c r="R527">
        <v>26.824162257062156</v>
      </c>
      <c r="S527">
        <v>27.264608409535779</v>
      </c>
      <c r="T527">
        <v>1</v>
      </c>
      <c r="U527">
        <v>2.202490887023191</v>
      </c>
      <c r="AN527" s="7"/>
    </row>
    <row r="528" spans="1:40">
      <c r="A528">
        <v>-0.4808196420642753</v>
      </c>
      <c r="B528">
        <v>-1.2388464079902459</v>
      </c>
      <c r="C528">
        <v>1.7895642837391537</v>
      </c>
      <c r="D528">
        <v>-0.43219236660114407</v>
      </c>
      <c r="E528">
        <v>0.47540792155860795</v>
      </c>
      <c r="F528">
        <v>0.64765733156157435</v>
      </c>
      <c r="G528">
        <v>0.90040372186316986</v>
      </c>
      <c r="H528">
        <v>0.45174908759128152</v>
      </c>
      <c r="I528">
        <v>0.31922087764245466</v>
      </c>
      <c r="J528">
        <v>0.60024281762583487</v>
      </c>
      <c r="L528">
        <v>2.8019110919296808</v>
      </c>
      <c r="M528">
        <v>3.7175930374062696</v>
      </c>
      <c r="N528">
        <v>2.2181947102655792</v>
      </c>
      <c r="P528">
        <v>7.8782407625904517E-12</v>
      </c>
      <c r="R528">
        <v>26.824162257062156</v>
      </c>
      <c r="S528">
        <v>27.264608409535779</v>
      </c>
      <c r="T528">
        <v>1</v>
      </c>
      <c r="U528">
        <v>2.202490887023191</v>
      </c>
      <c r="AN528" s="7" t="s">
        <v>145</v>
      </c>
    </row>
    <row r="529" spans="1:40">
      <c r="A529">
        <v>-0.42797163644322084</v>
      </c>
      <c r="B529">
        <v>-1.2314042902089044</v>
      </c>
      <c r="C529">
        <v>1.6982028168670018</v>
      </c>
      <c r="D529">
        <v>-0.72087063396803186</v>
      </c>
      <c r="E529">
        <v>-0.27299556617979598</v>
      </c>
      <c r="F529">
        <v>5.8267591851265267E-2</v>
      </c>
      <c r="G529">
        <v>0.70078542125281207</v>
      </c>
      <c r="H529">
        <v>0.54603781733162338</v>
      </c>
      <c r="I529">
        <v>0.87943000374675506</v>
      </c>
      <c r="J529">
        <v>0</v>
      </c>
      <c r="L529">
        <v>2.8019112674401527</v>
      </c>
      <c r="M529">
        <v>3.7175956937072825</v>
      </c>
      <c r="N529">
        <v>2.2181921519951882</v>
      </c>
      <c r="P529">
        <v>4.0394504405360933E-12</v>
      </c>
      <c r="R529">
        <v>26.824162257062156</v>
      </c>
      <c r="S529">
        <v>27.264608409535779</v>
      </c>
      <c r="T529">
        <v>1</v>
      </c>
      <c r="U529">
        <v>2.202490887023191</v>
      </c>
      <c r="AN529" s="7"/>
    </row>
    <row r="530" spans="1:40">
      <c r="A530">
        <v>-0.43521556635500558</v>
      </c>
      <c r="B530">
        <v>-1.2424301493898799</v>
      </c>
      <c r="C530">
        <v>1.7038730014333925</v>
      </c>
      <c r="D530">
        <v>4.4684074613438284E-2</v>
      </c>
      <c r="E530">
        <v>0.1443748945343464</v>
      </c>
      <c r="F530">
        <v>0.37239190147096973</v>
      </c>
      <c r="G530">
        <v>0.85804761189514378</v>
      </c>
      <c r="H530">
        <v>0</v>
      </c>
      <c r="I530">
        <v>0.19264945812114706</v>
      </c>
      <c r="J530">
        <v>0</v>
      </c>
      <c r="L530">
        <v>2.8019108887179667</v>
      </c>
      <c r="M530">
        <v>3.7175942225504004</v>
      </c>
      <c r="N530">
        <v>2.2181934427059442</v>
      </c>
      <c r="P530">
        <v>1.8929926958724717E-12</v>
      </c>
      <c r="R530">
        <v>26.824162257062156</v>
      </c>
      <c r="S530">
        <v>27.264608409535779</v>
      </c>
      <c r="T530">
        <v>1</v>
      </c>
      <c r="U530">
        <v>2.202490887023191</v>
      </c>
      <c r="AN530" s="7"/>
    </row>
    <row r="531" spans="1:40">
      <c r="A531">
        <v>0.16838206866352004</v>
      </c>
      <c r="B531">
        <v>-1.2054624676378705</v>
      </c>
      <c r="C531">
        <v>0.88544363673378779</v>
      </c>
      <c r="D531">
        <v>0.64141913206565493</v>
      </c>
      <c r="E531">
        <v>-0.63734819906533069</v>
      </c>
      <c r="F531">
        <v>-0.11739446430340363</v>
      </c>
      <c r="G531">
        <v>0.40740426948835384</v>
      </c>
      <c r="H531">
        <v>0.98439865057577969</v>
      </c>
      <c r="I531">
        <v>0.37345242581946214</v>
      </c>
      <c r="J531">
        <v>0.8900294591365262</v>
      </c>
      <c r="L531">
        <v>2.801910760809748</v>
      </c>
      <c r="M531">
        <v>3.7175958226044705</v>
      </c>
      <c r="N531">
        <v>0.83976400140958518</v>
      </c>
      <c r="P531">
        <v>2.5206160596711441E-12</v>
      </c>
      <c r="R531">
        <v>4.3630696557836925</v>
      </c>
      <c r="S531">
        <v>4.3649803826438793</v>
      </c>
      <c r="T531">
        <v>1</v>
      </c>
      <c r="U531">
        <v>2.2075838745325318</v>
      </c>
      <c r="AN531" s="7"/>
    </row>
    <row r="532" spans="1:40">
      <c r="A532">
        <v>0.16055215571740686</v>
      </c>
      <c r="B532">
        <v>-1.2026476984785175</v>
      </c>
      <c r="C532">
        <v>0.90609528693981012</v>
      </c>
      <c r="D532">
        <v>-0.46506604859127521</v>
      </c>
      <c r="E532">
        <v>-0.3061655360227955</v>
      </c>
      <c r="F532">
        <v>0.38266342027635902</v>
      </c>
      <c r="G532">
        <v>0.67342199804894354</v>
      </c>
      <c r="H532">
        <v>0.84598251954515902</v>
      </c>
      <c r="I532">
        <v>0.95340860669748617</v>
      </c>
      <c r="J532">
        <v>0.49279207297206767</v>
      </c>
      <c r="L532">
        <v>2.8019113880401139</v>
      </c>
      <c r="M532">
        <v>3.7175951794147877</v>
      </c>
      <c r="N532">
        <v>0.83976456624991991</v>
      </c>
      <c r="P532">
        <v>3.3008434339697542E-12</v>
      </c>
      <c r="R532">
        <v>4.3630696557836925</v>
      </c>
      <c r="S532">
        <v>4.3649803826438793</v>
      </c>
      <c r="T532">
        <v>1</v>
      </c>
      <c r="U532">
        <v>2.2075838745325318</v>
      </c>
      <c r="AN532" s="7" t="s">
        <v>146</v>
      </c>
    </row>
    <row r="533" spans="1:40">
      <c r="A533">
        <v>0.17254190545149883</v>
      </c>
      <c r="B533">
        <v>-1.1970749976296573</v>
      </c>
      <c r="C533">
        <v>0.8986414352673322</v>
      </c>
      <c r="D533">
        <v>-0.7248485349250634</v>
      </c>
      <c r="E533">
        <v>-0.54852851906584266</v>
      </c>
      <c r="F533">
        <v>-0.36948807537940209</v>
      </c>
      <c r="G533">
        <v>0</v>
      </c>
      <c r="H533">
        <v>0.5449203992042897</v>
      </c>
      <c r="I533">
        <v>0.32186089996020245</v>
      </c>
      <c r="J533">
        <v>0.23223011814254932</v>
      </c>
      <c r="L533">
        <v>2.8019108101025707</v>
      </c>
      <c r="M533">
        <v>3.7175957310946672</v>
      </c>
      <c r="N533">
        <v>0.83976462015456022</v>
      </c>
      <c r="P533">
        <v>2.652317299801466E-12</v>
      </c>
      <c r="R533">
        <v>4.3630696557836925</v>
      </c>
      <c r="S533">
        <v>4.3649803826438793</v>
      </c>
      <c r="T533">
        <v>1</v>
      </c>
      <c r="U533">
        <v>2.2075838745325318</v>
      </c>
      <c r="AN533" s="7"/>
    </row>
    <row r="534" spans="1:40">
      <c r="A534">
        <v>0.17634732916824541</v>
      </c>
      <c r="B534">
        <v>-1.1980707531548662</v>
      </c>
      <c r="C534">
        <v>0.90022360510681776</v>
      </c>
      <c r="D534">
        <v>-0.22856246079738454</v>
      </c>
      <c r="E534">
        <v>0.53494282355533129</v>
      </c>
      <c r="F534">
        <v>-0.6768892819583493</v>
      </c>
      <c r="G534">
        <v>0.11197094034751418</v>
      </c>
      <c r="H534">
        <v>0.92657723446471418</v>
      </c>
      <c r="I534">
        <v>0.89676607513159878</v>
      </c>
      <c r="J534">
        <v>0.23864442736009869</v>
      </c>
      <c r="L534">
        <v>2.8019107595843034</v>
      </c>
      <c r="M534">
        <v>3.7175958411859478</v>
      </c>
      <c r="N534">
        <v>0.83976398216344139</v>
      </c>
      <c r="P534">
        <v>2.5674556711154803E-12</v>
      </c>
      <c r="R534">
        <v>4.3630696557836925</v>
      </c>
      <c r="S534">
        <v>4.3649803826438793</v>
      </c>
      <c r="T534">
        <v>1</v>
      </c>
      <c r="U534">
        <v>2.2075838745325318</v>
      </c>
      <c r="AN534" s="7"/>
    </row>
    <row r="535" spans="1:40">
      <c r="A535">
        <v>0.1726712450684719</v>
      </c>
      <c r="B535">
        <v>-1.2064140368004896</v>
      </c>
      <c r="C535">
        <v>0.91191404274163201</v>
      </c>
      <c r="D535">
        <v>-0.31885188004792081</v>
      </c>
      <c r="E535">
        <v>4.5185912107022767E-2</v>
      </c>
      <c r="F535">
        <v>0.26568947634253937</v>
      </c>
      <c r="G535">
        <v>0.81857377616228411</v>
      </c>
      <c r="H535">
        <v>0.66479227307105226</v>
      </c>
      <c r="I535">
        <v>3.0515767671233908E-2</v>
      </c>
      <c r="J535">
        <v>0.82363033271379804</v>
      </c>
      <c r="L535">
        <v>2.801910823217836</v>
      </c>
      <c r="M535">
        <v>3.7175958097908048</v>
      </c>
      <c r="N535">
        <v>0.83976453978833931</v>
      </c>
      <c r="P535">
        <v>2.7860263989917318E-12</v>
      </c>
      <c r="R535">
        <v>4.3630696557836925</v>
      </c>
      <c r="S535">
        <v>4.3649803826438793</v>
      </c>
      <c r="T535">
        <v>1</v>
      </c>
      <c r="U535">
        <v>2.2075838745325318</v>
      </c>
      <c r="AN535" s="7"/>
    </row>
    <row r="536" spans="1:40">
      <c r="A536">
        <v>0.18101082313944719</v>
      </c>
      <c r="B536">
        <v>-1.1990905860481804</v>
      </c>
      <c r="C536">
        <v>0.90341197201604373</v>
      </c>
      <c r="D536">
        <v>-5.6037959752910948E-4</v>
      </c>
      <c r="E536">
        <v>0.59975904948208403</v>
      </c>
      <c r="F536">
        <v>-0.43148830638040181</v>
      </c>
      <c r="G536">
        <v>3.0046338035728624E-2</v>
      </c>
      <c r="H536">
        <v>0.8926357732836443</v>
      </c>
      <c r="I536">
        <v>0.3521834466962539</v>
      </c>
      <c r="J536">
        <v>0.39804744868056607</v>
      </c>
      <c r="L536">
        <v>2.8019107261262195</v>
      </c>
      <c r="M536">
        <v>3.7175958046780653</v>
      </c>
      <c r="N536">
        <v>0.83976435711504371</v>
      </c>
      <c r="P536">
        <v>2.4482031397431367E-12</v>
      </c>
      <c r="R536">
        <v>4.3630696557836925</v>
      </c>
      <c r="S536">
        <v>4.3649803826438793</v>
      </c>
      <c r="T536">
        <v>1</v>
      </c>
      <c r="U536">
        <v>2.2075838745325318</v>
      </c>
      <c r="AN536" s="7" t="s">
        <v>147</v>
      </c>
    </row>
    <row r="537" spans="1:40">
      <c r="A537">
        <v>0.15779577880128465</v>
      </c>
      <c r="B537">
        <v>-1.214140077727623</v>
      </c>
      <c r="C537">
        <v>0.89683652825862914</v>
      </c>
      <c r="D537">
        <v>0.6839250149685121</v>
      </c>
      <c r="E537">
        <v>0.13700721515681166</v>
      </c>
      <c r="F537">
        <v>0.51271637899866673</v>
      </c>
      <c r="G537">
        <v>0.58255746601336611</v>
      </c>
      <c r="H537">
        <v>0.21152245031770153</v>
      </c>
      <c r="I537">
        <v>0.25336912863647559</v>
      </c>
      <c r="J537">
        <v>0.54496524690662118</v>
      </c>
      <c r="L537">
        <v>2.8019107769329703</v>
      </c>
      <c r="M537">
        <v>3.7175957615977384</v>
      </c>
      <c r="N537">
        <v>0.83976380676923501</v>
      </c>
      <c r="P537">
        <v>2.4981876123266375E-12</v>
      </c>
      <c r="R537">
        <v>4.3630696557836925</v>
      </c>
      <c r="S537">
        <v>4.3649803826438793</v>
      </c>
      <c r="T537">
        <v>1</v>
      </c>
      <c r="U537">
        <v>2.2075838745325318</v>
      </c>
      <c r="AN537" s="7"/>
    </row>
    <row r="538" spans="1:40">
      <c r="A538">
        <v>0.17056280203024093</v>
      </c>
      <c r="B538">
        <v>-1.2054603936193997</v>
      </c>
      <c r="C538">
        <v>0.91876623711736638</v>
      </c>
      <c r="D538">
        <v>-0.44977653530590389</v>
      </c>
      <c r="E538">
        <v>0.51333200803676915</v>
      </c>
      <c r="F538">
        <v>5.2987927863509629E-2</v>
      </c>
      <c r="G538">
        <v>0.83494157393681712</v>
      </c>
      <c r="H538">
        <v>0.72268057701682786</v>
      </c>
      <c r="I538">
        <v>0.39741550417164606</v>
      </c>
      <c r="J538">
        <v>0.41905212453674701</v>
      </c>
      <c r="L538">
        <v>2.8019110580360183</v>
      </c>
      <c r="M538">
        <v>3.7175955095598359</v>
      </c>
      <c r="N538">
        <v>0.83976375426886929</v>
      </c>
      <c r="P538">
        <v>2.7078427219737051E-12</v>
      </c>
      <c r="R538">
        <v>4.3630696557836925</v>
      </c>
      <c r="S538">
        <v>4.3649803826438793</v>
      </c>
      <c r="T538">
        <v>1</v>
      </c>
      <c r="U538">
        <v>2.2075838745325318</v>
      </c>
      <c r="AN538" s="7"/>
    </row>
    <row r="539" spans="1:40">
      <c r="A539">
        <v>0.16957438741501607</v>
      </c>
      <c r="B539">
        <v>-1.2045353496732896</v>
      </c>
      <c r="C539">
        <v>0.90458165161979276</v>
      </c>
      <c r="D539">
        <v>-2.8523274466650581E-2</v>
      </c>
      <c r="E539">
        <v>-3.4993324696884966E-2</v>
      </c>
      <c r="F539">
        <v>0.292280826956481</v>
      </c>
      <c r="G539">
        <v>0.61826680202156026</v>
      </c>
      <c r="H539">
        <v>0.87498787191136296</v>
      </c>
      <c r="I539">
        <v>0.42225090021672029</v>
      </c>
      <c r="J539">
        <v>0.78666004819307778</v>
      </c>
      <c r="L539">
        <v>2.801910755379192</v>
      </c>
      <c r="M539">
        <v>3.7175958127348729</v>
      </c>
      <c r="N539">
        <v>0.83976438300376677</v>
      </c>
      <c r="P539">
        <v>2.540146444158227E-12</v>
      </c>
      <c r="R539">
        <v>4.3630696557836925</v>
      </c>
      <c r="S539">
        <v>4.3649803826438793</v>
      </c>
      <c r="T539">
        <v>1</v>
      </c>
      <c r="U539">
        <v>2.2075838745325318</v>
      </c>
      <c r="AN539" s="7"/>
    </row>
    <row r="540" spans="1:40">
      <c r="A540">
        <v>0.18362515151522305</v>
      </c>
      <c r="B540">
        <v>-1.2021358335147074</v>
      </c>
      <c r="C540">
        <v>0.8918683833884411</v>
      </c>
      <c r="D540">
        <v>-0.35659718230230436</v>
      </c>
      <c r="E540">
        <v>0.31783290890099808</v>
      </c>
      <c r="F540">
        <v>-0.72733732878430202</v>
      </c>
      <c r="G540">
        <v>0.15368756021990848</v>
      </c>
      <c r="H540">
        <v>0.34703150918594367</v>
      </c>
      <c r="I540">
        <v>0.16922739541238785</v>
      </c>
      <c r="J540">
        <v>0.75898959035616864</v>
      </c>
      <c r="L540">
        <v>2.8019108940322144</v>
      </c>
      <c r="M540">
        <v>3.7175956304559685</v>
      </c>
      <c r="N540">
        <v>0.83976480290888422</v>
      </c>
      <c r="P540">
        <v>2.8492035768280623E-12</v>
      </c>
      <c r="R540">
        <v>4.3630696557836925</v>
      </c>
      <c r="S540">
        <v>4.3649803826438793</v>
      </c>
      <c r="T540">
        <v>1</v>
      </c>
      <c r="U540">
        <v>2.2075838745325318</v>
      </c>
      <c r="AN540" s="7" t="s">
        <v>148</v>
      </c>
    </row>
    <row r="541" spans="1:40">
      <c r="A541">
        <v>1.9907360172898663E-2</v>
      </c>
      <c r="B541">
        <v>-1.2050902727313828</v>
      </c>
      <c r="C541">
        <v>0.79010356237816715</v>
      </c>
      <c r="D541">
        <v>-0.10234367568651903</v>
      </c>
      <c r="E541">
        <v>-0.15056553497553055</v>
      </c>
      <c r="F541">
        <v>-0.8691516679354736</v>
      </c>
      <c r="G541">
        <v>0.54213754856419716</v>
      </c>
      <c r="H541">
        <v>0.49098098928101336</v>
      </c>
      <c r="I541">
        <v>0.81013437059822957</v>
      </c>
      <c r="J541">
        <v>0.79329036832626776</v>
      </c>
      <c r="L541">
        <v>2.8019108295800921</v>
      </c>
      <c r="M541">
        <v>2.3648232645677085</v>
      </c>
      <c r="N541">
        <v>2.2181935185983175</v>
      </c>
      <c r="P541">
        <v>2.3835794524170511E-12</v>
      </c>
      <c r="R541">
        <v>4.1530811310461928</v>
      </c>
      <c r="S541">
        <v>4.155062022143496</v>
      </c>
      <c r="T541">
        <v>1</v>
      </c>
      <c r="U541">
        <v>2.4150687973016796</v>
      </c>
      <c r="AN541" s="7"/>
    </row>
    <row r="542" spans="1:40">
      <c r="A542">
        <v>3.2104787361652898E-2</v>
      </c>
      <c r="B542">
        <v>-1.2021791491221392</v>
      </c>
      <c r="C542">
        <v>0.80843018298322722</v>
      </c>
      <c r="D542">
        <v>-1.635922810377783E-2</v>
      </c>
      <c r="E542">
        <v>-0.42822755651213079</v>
      </c>
      <c r="F542">
        <v>0.49744401313052788</v>
      </c>
      <c r="G542">
        <v>0</v>
      </c>
      <c r="H542">
        <v>0.35978384468893443</v>
      </c>
      <c r="I542">
        <v>0.40497452438431653</v>
      </c>
      <c r="J542">
        <v>3.0030249968981231E-2</v>
      </c>
      <c r="L542">
        <v>2.8019099355835126</v>
      </c>
      <c r="M542">
        <v>2.3648222051742818</v>
      </c>
      <c r="N542">
        <v>2.218192768988632</v>
      </c>
      <c r="P542">
        <v>1.0705471885056373E-13</v>
      </c>
      <c r="R542">
        <v>4.1530811310461928</v>
      </c>
      <c r="S542">
        <v>4.155062022143496</v>
      </c>
      <c r="T542">
        <v>1</v>
      </c>
      <c r="U542">
        <v>2.4150687973016796</v>
      </c>
      <c r="AN542" s="7"/>
    </row>
    <row r="543" spans="1:40">
      <c r="A543">
        <v>3.05034440814268E-2</v>
      </c>
      <c r="B543">
        <v>-1.2068450720585702</v>
      </c>
      <c r="C543">
        <v>0.79440638344684888</v>
      </c>
      <c r="D543">
        <v>0.35752333558227811</v>
      </c>
      <c r="E543">
        <v>-0.71104446187778103</v>
      </c>
      <c r="F543">
        <v>0.23471925794435555</v>
      </c>
      <c r="G543">
        <v>0.44479446994440336</v>
      </c>
      <c r="H543">
        <v>0.52467213711661764</v>
      </c>
      <c r="I543">
        <v>0.72016425484633984</v>
      </c>
      <c r="J543">
        <v>0.52334319890310999</v>
      </c>
      <c r="L543">
        <v>2.8019109124617896</v>
      </c>
      <c r="M543">
        <v>2.3648229808457031</v>
      </c>
      <c r="N543">
        <v>2.2181936868556673</v>
      </c>
      <c r="P543">
        <v>2.4296392125732415E-12</v>
      </c>
      <c r="R543">
        <v>4.1530811310461928</v>
      </c>
      <c r="S543">
        <v>4.155062022143496</v>
      </c>
      <c r="T543">
        <v>1</v>
      </c>
      <c r="U543">
        <v>2.4150687973016796</v>
      </c>
      <c r="AN543" s="7"/>
    </row>
    <row r="544" spans="1:40">
      <c r="A544">
        <v>2.4973095955657023E-2</v>
      </c>
      <c r="B544">
        <v>-1.2026186456154315</v>
      </c>
      <c r="C544">
        <v>0.8243708937293649</v>
      </c>
      <c r="D544">
        <v>-0.91679133092461729</v>
      </c>
      <c r="E544">
        <v>-0.56857454635426918</v>
      </c>
      <c r="F544">
        <v>-0.40275454119111981</v>
      </c>
      <c r="G544">
        <v>0.80540077733826088</v>
      </c>
      <c r="H544">
        <v>0.55884705859965922</v>
      </c>
      <c r="I544">
        <v>4.0651545860990505E-2</v>
      </c>
      <c r="J544">
        <v>0.11546267112402121</v>
      </c>
      <c r="L544">
        <v>2.8019110122725106</v>
      </c>
      <c r="M544">
        <v>2.3648232677038803</v>
      </c>
      <c r="N544">
        <v>2.218193275543336</v>
      </c>
      <c r="P544">
        <v>2.5700719756014323E-12</v>
      </c>
      <c r="R544">
        <v>4.1530811310461928</v>
      </c>
      <c r="S544">
        <v>4.155062022143496</v>
      </c>
      <c r="T544">
        <v>1</v>
      </c>
      <c r="U544">
        <v>2.4150687973016796</v>
      </c>
      <c r="AN544" s="7" t="s">
        <v>149</v>
      </c>
    </row>
    <row r="545" spans="1:40">
      <c r="A545">
        <v>2.2261301583214689E-2</v>
      </c>
      <c r="B545">
        <v>-1.2090433521505166</v>
      </c>
      <c r="C545">
        <v>0.80853352680619772</v>
      </c>
      <c r="D545">
        <v>0.88321088084946098</v>
      </c>
      <c r="E545">
        <v>0.30923383348337813</v>
      </c>
      <c r="F545">
        <v>8.7172654644117973E-3</v>
      </c>
      <c r="G545">
        <v>0.51387794775709983</v>
      </c>
      <c r="H545">
        <v>0.79321925143401628</v>
      </c>
      <c r="I545">
        <v>0.2658877290924771</v>
      </c>
      <c r="J545">
        <v>0.40043357858062623</v>
      </c>
      <c r="L545">
        <v>2.8019108197249145</v>
      </c>
      <c r="M545">
        <v>2.3648232461107144</v>
      </c>
      <c r="N545">
        <v>2.2181935166614295</v>
      </c>
      <c r="P545">
        <v>2.3284920502874015E-12</v>
      </c>
      <c r="R545">
        <v>4.1530811310461928</v>
      </c>
      <c r="S545">
        <v>4.155062022143496</v>
      </c>
      <c r="T545">
        <v>1</v>
      </c>
      <c r="U545">
        <v>2.4150687973016796</v>
      </c>
      <c r="AN545" s="7"/>
    </row>
    <row r="546" spans="1:40">
      <c r="A546">
        <v>2.8429959310728496E-2</v>
      </c>
      <c r="B546">
        <v>-1.2009915530127109</v>
      </c>
      <c r="C546">
        <v>0.80747955530851656</v>
      </c>
      <c r="D546">
        <v>-0.66658701804023379</v>
      </c>
      <c r="E546">
        <v>-0.24063659581683466</v>
      </c>
      <c r="F546">
        <v>0.53005212909639976</v>
      </c>
      <c r="G546">
        <v>7.5854302699860307E-2</v>
      </c>
      <c r="H546">
        <v>9.0601605336318572E-2</v>
      </c>
      <c r="I546">
        <v>0.52030702535736617</v>
      </c>
      <c r="J546">
        <v>0.43374252650155243</v>
      </c>
      <c r="L546">
        <v>2.8019108820864242</v>
      </c>
      <c r="M546">
        <v>2.3648233046171621</v>
      </c>
      <c r="N546">
        <v>2.2181934576337912</v>
      </c>
      <c r="P546">
        <v>2.4960385454640072E-12</v>
      </c>
      <c r="R546">
        <v>4.1530811310461928</v>
      </c>
      <c r="S546">
        <v>4.155062022143496</v>
      </c>
      <c r="T546">
        <v>1</v>
      </c>
      <c r="U546">
        <v>2.4150687973016796</v>
      </c>
      <c r="AN546" s="7"/>
    </row>
    <row r="547" spans="1:40">
      <c r="A547">
        <v>3.4417199368563835E-2</v>
      </c>
      <c r="B547">
        <v>-1.202479233091547</v>
      </c>
      <c r="C547">
        <v>0.80960442066339922</v>
      </c>
      <c r="D547">
        <v>0.12921005310105757</v>
      </c>
      <c r="E547">
        <v>-0.5397197919243002</v>
      </c>
      <c r="F547">
        <v>0.6425642528009019</v>
      </c>
      <c r="G547">
        <v>0.14859151949260496</v>
      </c>
      <c r="H547">
        <v>0.59794663913489066</v>
      </c>
      <c r="I547">
        <v>0.62159763496191767</v>
      </c>
      <c r="J547">
        <v>5.9563961542934321E-2</v>
      </c>
      <c r="L547">
        <v>2.8019109189179439</v>
      </c>
      <c r="M547">
        <v>2.3648234208693948</v>
      </c>
      <c r="N547">
        <v>2.2181934293934651</v>
      </c>
      <c r="P547">
        <v>2.7685296560535383E-12</v>
      </c>
      <c r="R547">
        <v>4.1530811310461928</v>
      </c>
      <c r="S547">
        <v>4.155062022143496</v>
      </c>
      <c r="T547">
        <v>1</v>
      </c>
      <c r="U547">
        <v>2.4150687973016796</v>
      </c>
      <c r="AN547" s="7"/>
    </row>
    <row r="548" spans="1:40">
      <c r="A548">
        <v>2.2192441887551196E-2</v>
      </c>
      <c r="B548">
        <v>-1.2091827639213841</v>
      </c>
      <c r="C548">
        <v>0.8198877871411403</v>
      </c>
      <c r="D548">
        <v>0.70944489450284398</v>
      </c>
      <c r="E548">
        <v>0.57235452259031971</v>
      </c>
      <c r="F548">
        <v>-2.9413844418931946E-2</v>
      </c>
      <c r="G548">
        <v>0.57343383473313803</v>
      </c>
      <c r="H548">
        <v>0.7455481123772838</v>
      </c>
      <c r="I548">
        <v>0.10694952525053994</v>
      </c>
      <c r="J548">
        <v>8.5536446060293383E-2</v>
      </c>
      <c r="L548">
        <v>2.80191087434146</v>
      </c>
      <c r="M548">
        <v>2.3648234132941139</v>
      </c>
      <c r="N548">
        <v>2.2181932935907893</v>
      </c>
      <c r="P548">
        <v>2.512114215953655E-12</v>
      </c>
      <c r="R548">
        <v>4.1530811310461928</v>
      </c>
      <c r="S548">
        <v>4.155062022143496</v>
      </c>
      <c r="T548">
        <v>1</v>
      </c>
      <c r="U548">
        <v>2.4150687973016796</v>
      </c>
      <c r="AN548" s="7" t="s">
        <v>150</v>
      </c>
    </row>
    <row r="549" spans="1:40">
      <c r="A549">
        <v>1.44247854473966E-2</v>
      </c>
      <c r="B549">
        <v>-1.2042515043170086</v>
      </c>
      <c r="C549">
        <v>0.81535535528976755</v>
      </c>
      <c r="D549">
        <v>-5.2261053877583737E-2</v>
      </c>
      <c r="E549">
        <v>0.52772837089104219</v>
      </c>
      <c r="F549">
        <v>-0.41599307685322751</v>
      </c>
      <c r="G549">
        <v>0.76644016557755501</v>
      </c>
      <c r="H549">
        <v>0.96453990212338692</v>
      </c>
      <c r="I549">
        <v>0.31921757478676654</v>
      </c>
      <c r="J549">
        <v>0.89362087442927685</v>
      </c>
      <c r="L549">
        <v>2.8019109638457929</v>
      </c>
      <c r="M549">
        <v>2.3648233588791432</v>
      </c>
      <c r="N549">
        <v>2.2181932082894047</v>
      </c>
      <c r="P549">
        <v>2.5571742077023695E-12</v>
      </c>
      <c r="R549">
        <v>4.1530811310461928</v>
      </c>
      <c r="S549">
        <v>4.155062022143496</v>
      </c>
      <c r="T549">
        <v>1</v>
      </c>
      <c r="U549">
        <v>2.4150687973016796</v>
      </c>
      <c r="AN549" s="7"/>
    </row>
    <row r="550" spans="1:40">
      <c r="A550">
        <v>2.3753987318630196E-2</v>
      </c>
      <c r="B550">
        <v>-1.2083930120848023</v>
      </c>
      <c r="C550">
        <v>0.8059890138939968</v>
      </c>
      <c r="D550">
        <v>-0.40220587269270658</v>
      </c>
      <c r="E550">
        <v>-8.6319856793088998E-2</v>
      </c>
      <c r="F550">
        <v>0.50042137601423076</v>
      </c>
      <c r="G550">
        <v>0.65972714553146961</v>
      </c>
      <c r="H550">
        <v>3.8107507093215143E-2</v>
      </c>
      <c r="I550">
        <v>0.38655449842977602</v>
      </c>
      <c r="J550">
        <v>0.85546709513592001</v>
      </c>
      <c r="L550">
        <v>2.8019108588276525</v>
      </c>
      <c r="M550">
        <v>2.3648233530990876</v>
      </c>
      <c r="N550">
        <v>2.2181934415803282</v>
      </c>
      <c r="P550">
        <v>2.5108465850399624E-12</v>
      </c>
      <c r="R550">
        <v>4.1530811310461928</v>
      </c>
      <c r="S550">
        <v>4.155062022143496</v>
      </c>
      <c r="T550">
        <v>1</v>
      </c>
      <c r="U550">
        <v>2.4150687973016796</v>
      </c>
      <c r="AN550" s="7"/>
    </row>
    <row r="551" spans="1:40">
      <c r="A551">
        <v>-0.11732946984130774</v>
      </c>
      <c r="B551">
        <v>-1.19167251745759</v>
      </c>
      <c r="C551">
        <v>0.52414412894715112</v>
      </c>
      <c r="D551">
        <v>-0.41905089782264315</v>
      </c>
      <c r="E551">
        <v>-0.65132933949591065</v>
      </c>
      <c r="F551">
        <v>-0.16314459418201974</v>
      </c>
      <c r="G551">
        <v>0.40334092812301298</v>
      </c>
      <c r="H551">
        <v>1.0311842004519982</v>
      </c>
      <c r="I551">
        <v>0.54480126885760527</v>
      </c>
      <c r="J551">
        <v>0.52158028263355971</v>
      </c>
      <c r="L551">
        <v>2.801910088131951</v>
      </c>
      <c r="M551">
        <v>2.3648223894082201</v>
      </c>
      <c r="N551">
        <v>0.83976285346104218</v>
      </c>
      <c r="P551">
        <v>1.7496507008588006E-12</v>
      </c>
      <c r="R551">
        <v>17.165033250640764</v>
      </c>
      <c r="S551">
        <v>17.378066776989606</v>
      </c>
      <c r="T551">
        <v>1</v>
      </c>
      <c r="U551">
        <v>2.4192245227815903</v>
      </c>
      <c r="AN551" s="7"/>
    </row>
    <row r="552" spans="1:40">
      <c r="A552">
        <v>-0.1144603113392393</v>
      </c>
      <c r="B552">
        <v>-1.1923496931370252</v>
      </c>
      <c r="C552">
        <v>0.53679563445862766</v>
      </c>
      <c r="D552">
        <v>-0.36976117923424884</v>
      </c>
      <c r="E552">
        <v>0.44145245967089186</v>
      </c>
      <c r="F552">
        <v>0.14958308591779565</v>
      </c>
      <c r="G552">
        <v>0.19066931678394763</v>
      </c>
      <c r="H552">
        <v>0.79226089903421437</v>
      </c>
      <c r="I552">
        <v>0.94739875166819398</v>
      </c>
      <c r="J552">
        <v>0.24419849127184656</v>
      </c>
      <c r="L552">
        <v>2.8019094979596373</v>
      </c>
      <c r="M552">
        <v>2.3648228585287008</v>
      </c>
      <c r="N552">
        <v>0.83976351207933098</v>
      </c>
      <c r="P552">
        <v>6.0422718489720545E-13</v>
      </c>
      <c r="R552">
        <v>17.165033250640764</v>
      </c>
      <c r="S552">
        <v>17.378066776989606</v>
      </c>
      <c r="T552">
        <v>1</v>
      </c>
      <c r="U552">
        <v>2.4192245227815903</v>
      </c>
      <c r="AN552" s="7" t="s">
        <v>151</v>
      </c>
    </row>
    <row r="553" spans="1:40">
      <c r="A553">
        <v>-0.10237391034556895</v>
      </c>
      <c r="B553">
        <v>-1.2048899708664487</v>
      </c>
      <c r="C553">
        <v>0.53117860610103695</v>
      </c>
      <c r="D553">
        <v>0.50081309826701081</v>
      </c>
      <c r="E553">
        <v>-6.7261948509562977E-2</v>
      </c>
      <c r="F553">
        <v>-0.24390912057003819</v>
      </c>
      <c r="G553">
        <v>0.3543192538670073</v>
      </c>
      <c r="H553">
        <v>8.8965722331445216E-2</v>
      </c>
      <c r="I553">
        <v>0.74368498449107656</v>
      </c>
      <c r="J553">
        <v>0.68321518000304304</v>
      </c>
      <c r="L553">
        <v>2.8019095547057544</v>
      </c>
      <c r="M553">
        <v>2.3648226400152739</v>
      </c>
      <c r="N553">
        <v>0.8397634531927658</v>
      </c>
      <c r="P553">
        <v>5.1695191638934319E-13</v>
      </c>
      <c r="R553">
        <v>17.165033250640764</v>
      </c>
      <c r="S553">
        <v>17.378066776989606</v>
      </c>
      <c r="T553">
        <v>1</v>
      </c>
      <c r="U553">
        <v>2.4192245227815903</v>
      </c>
      <c r="AN553" s="7"/>
    </row>
    <row r="554" spans="1:40">
      <c r="A554">
        <v>-0.13398855306168292</v>
      </c>
      <c r="B554">
        <v>-1.1964553097747346</v>
      </c>
      <c r="C554">
        <v>0.50816166101924043</v>
      </c>
      <c r="D554">
        <v>0.17779198406572069</v>
      </c>
      <c r="E554">
        <v>0.62012933753501576</v>
      </c>
      <c r="F554">
        <v>0.53760104983955059</v>
      </c>
      <c r="G554">
        <v>0.35065067035468483</v>
      </c>
      <c r="H554">
        <v>0.82234429603847603</v>
      </c>
      <c r="I554">
        <v>0.42246306473138379</v>
      </c>
      <c r="J554">
        <v>0.66503437935953036</v>
      </c>
      <c r="L554">
        <v>2.8019094908704436</v>
      </c>
      <c r="M554">
        <v>2.3648228751250979</v>
      </c>
      <c r="N554">
        <v>0.83976354071348958</v>
      </c>
      <c r="P554">
        <v>5.8789380718518949E-13</v>
      </c>
      <c r="R554">
        <v>17.165033250640764</v>
      </c>
      <c r="S554">
        <v>17.378066776989606</v>
      </c>
      <c r="T554">
        <v>1</v>
      </c>
      <c r="U554">
        <v>2.4192245227815903</v>
      </c>
      <c r="AN554" s="7"/>
    </row>
    <row r="555" spans="1:40">
      <c r="A555">
        <v>-0.15541014030852407</v>
      </c>
      <c r="B555">
        <v>-1.1935254451985937</v>
      </c>
      <c r="C555">
        <v>0.46261117788953054</v>
      </c>
      <c r="D555">
        <v>-0.35638754715898924</v>
      </c>
      <c r="E555">
        <v>0.6179875187096</v>
      </c>
      <c r="F555">
        <v>-0.5301043010927684</v>
      </c>
      <c r="G555">
        <v>0.23265561954098143</v>
      </c>
      <c r="H555">
        <v>0.51865543417281601</v>
      </c>
      <c r="I555">
        <v>0.57019241892231376</v>
      </c>
      <c r="J555">
        <v>0.48131413723211064</v>
      </c>
      <c r="L555">
        <v>2.8019094939857312</v>
      </c>
      <c r="M555">
        <v>2.3648228883601257</v>
      </c>
      <c r="N555">
        <v>0.83976357325348017</v>
      </c>
      <c r="P555">
        <v>5.6187438677216519E-13</v>
      </c>
      <c r="R555">
        <v>17.165033250640764</v>
      </c>
      <c r="S555">
        <v>17.378066776989606</v>
      </c>
      <c r="T555">
        <v>1</v>
      </c>
      <c r="U555">
        <v>2.4192245227815903</v>
      </c>
      <c r="AN555" s="7"/>
    </row>
    <row r="556" spans="1:40">
      <c r="A556">
        <v>-0.1370502767821784</v>
      </c>
      <c r="B556">
        <v>-1.1981644525507884</v>
      </c>
      <c r="C556">
        <v>0.47602294100213521</v>
      </c>
      <c r="D556">
        <v>-0.10513758351577501</v>
      </c>
      <c r="E556">
        <v>-9.923224737764437E-2</v>
      </c>
      <c r="F556">
        <v>-0.55633695725555621</v>
      </c>
      <c r="G556">
        <v>0.11176798598867606</v>
      </c>
      <c r="H556">
        <v>3.8548790087709041E-2</v>
      </c>
      <c r="I556">
        <v>0.31676992908844748</v>
      </c>
      <c r="J556">
        <v>0.64661289310760928</v>
      </c>
      <c r="L556">
        <v>2.8019095389220583</v>
      </c>
      <c r="M556">
        <v>2.3648226953382938</v>
      </c>
      <c r="N556">
        <v>0.83976346630553522</v>
      </c>
      <c r="P556">
        <v>5.3159408962699649E-13</v>
      </c>
      <c r="R556">
        <v>17.165033250640764</v>
      </c>
      <c r="S556">
        <v>17.378066776989606</v>
      </c>
      <c r="T556">
        <v>1</v>
      </c>
      <c r="U556">
        <v>2.4192245227815903</v>
      </c>
      <c r="AN556" s="7" t="s">
        <v>152</v>
      </c>
    </row>
    <row r="557" spans="1:40">
      <c r="A557">
        <v>-0.1290516554118124</v>
      </c>
      <c r="B557">
        <v>-1.2001392864461853</v>
      </c>
      <c r="C557">
        <v>0.50801933221904294</v>
      </c>
      <c r="D557">
        <v>-4.2316930467761256E-2</v>
      </c>
      <c r="E557">
        <v>0.13090559021203282</v>
      </c>
      <c r="F557">
        <v>-8.7533888285412212E-2</v>
      </c>
      <c r="G557">
        <v>0.69689764946092492</v>
      </c>
      <c r="H557">
        <v>0.58061331527525395</v>
      </c>
      <c r="I557">
        <v>0.50102419095523831</v>
      </c>
      <c r="J557">
        <v>0.75303783254680778</v>
      </c>
      <c r="L557">
        <v>2.8019094984269013</v>
      </c>
      <c r="M557">
        <v>2.3648228475036963</v>
      </c>
      <c r="N557">
        <v>0.83976355399832969</v>
      </c>
      <c r="P557">
        <v>5.4529810870073726E-13</v>
      </c>
      <c r="R557">
        <v>17.165033250640764</v>
      </c>
      <c r="S557">
        <v>17.378066776989606</v>
      </c>
      <c r="T557">
        <v>1</v>
      </c>
      <c r="U557">
        <v>2.4192245227815903</v>
      </c>
      <c r="AN557" s="7"/>
    </row>
    <row r="558" spans="1:40">
      <c r="A558">
        <v>-9.3494661932155582E-2</v>
      </c>
      <c r="B558">
        <v>-1.2027167516902868</v>
      </c>
      <c r="C558">
        <v>0.56677906482637519</v>
      </c>
      <c r="D558">
        <v>0.24503258028222227</v>
      </c>
      <c r="E558">
        <v>-0.72340356972639452</v>
      </c>
      <c r="F558">
        <v>0.25636629312098164</v>
      </c>
      <c r="G558">
        <v>0.99039161884745364</v>
      </c>
      <c r="H558">
        <v>0.95430893613348988</v>
      </c>
      <c r="I558">
        <v>0.49552013301277592</v>
      </c>
      <c r="J558">
        <v>0.82148243514644881</v>
      </c>
      <c r="L558">
        <v>2.8019095057730876</v>
      </c>
      <c r="M558">
        <v>2.3648230301020647</v>
      </c>
      <c r="N558">
        <v>0.83976366413342873</v>
      </c>
      <c r="P558">
        <v>6.1675281877156888E-13</v>
      </c>
      <c r="R558">
        <v>17.165033250640764</v>
      </c>
      <c r="S558">
        <v>17.378066776989606</v>
      </c>
      <c r="T558">
        <v>1</v>
      </c>
      <c r="U558">
        <v>2.4192245227815903</v>
      </c>
      <c r="AN558" s="7"/>
    </row>
    <row r="559" spans="1:40">
      <c r="A559">
        <v>-0.17645966059443552</v>
      </c>
      <c r="B559">
        <v>-1.1949186618099759</v>
      </c>
      <c r="C559">
        <v>0.43474572670342476</v>
      </c>
      <c r="D559">
        <v>-0.28362797310003768</v>
      </c>
      <c r="E559">
        <v>0.70784088384857435</v>
      </c>
      <c r="F559">
        <v>0.2458417125379774</v>
      </c>
      <c r="G559">
        <v>0.35788223120049861</v>
      </c>
      <c r="H559">
        <v>0.47968097999635823</v>
      </c>
      <c r="I559">
        <v>1.6122701794153978E-2</v>
      </c>
      <c r="J559">
        <v>1.0507936066111316</v>
      </c>
      <c r="L559">
        <v>2.801909532436635</v>
      </c>
      <c r="M559">
        <v>2.3648226766443221</v>
      </c>
      <c r="N559">
        <v>0.83976341211805994</v>
      </c>
      <c r="P559">
        <v>5.9806611409934147E-13</v>
      </c>
      <c r="R559">
        <v>17.165033250640764</v>
      </c>
      <c r="S559">
        <v>17.378066776989606</v>
      </c>
      <c r="T559">
        <v>1</v>
      </c>
      <c r="U559">
        <v>2.4192245227815903</v>
      </c>
      <c r="AN559" s="7"/>
    </row>
    <row r="560" spans="1:40">
      <c r="A560">
        <v>-0.10391357082866222</v>
      </c>
      <c r="B560">
        <v>-1.2011108891242832</v>
      </c>
      <c r="C560">
        <v>0.54293079173141578</v>
      </c>
      <c r="D560">
        <v>0.70314423050477715</v>
      </c>
      <c r="E560">
        <v>0.25352558413354742</v>
      </c>
      <c r="F560">
        <v>-0.10548987378009859</v>
      </c>
      <c r="G560">
        <v>0.29940409036650928</v>
      </c>
      <c r="H560">
        <v>0.67996528154066893</v>
      </c>
      <c r="I560">
        <v>0.72301370953099164</v>
      </c>
      <c r="J560">
        <v>0.3316357846287098</v>
      </c>
      <c r="L560">
        <v>2.8019095038250201</v>
      </c>
      <c r="M560">
        <v>2.3648228956286115</v>
      </c>
      <c r="N560">
        <v>0.83976362490875978</v>
      </c>
      <c r="P560">
        <v>5.1051255901405277E-13</v>
      </c>
      <c r="R560">
        <v>17.165033250640764</v>
      </c>
      <c r="S560">
        <v>17.378066776989606</v>
      </c>
      <c r="T560">
        <v>1</v>
      </c>
      <c r="U560">
        <v>2.4192245227815903</v>
      </c>
      <c r="AN560" s="7" t="s">
        <v>153</v>
      </c>
    </row>
    <row r="561" spans="1:40">
      <c r="A561">
        <v>5.7820191088903239E-2</v>
      </c>
      <c r="B561">
        <v>-1.2026143343538875</v>
      </c>
      <c r="C561">
        <v>0.75941314128237836</v>
      </c>
      <c r="D561">
        <v>0.2554025280146181</v>
      </c>
      <c r="E561">
        <v>0.82348534799778439</v>
      </c>
      <c r="F561">
        <v>-0.15058243000159885</v>
      </c>
      <c r="G561">
        <v>0.10240751794142626</v>
      </c>
      <c r="H561">
        <v>0.43426940793816926</v>
      </c>
      <c r="I561">
        <v>0.20917074459470006</v>
      </c>
      <c r="J561">
        <v>1.9201679415187047E-2</v>
      </c>
      <c r="L561">
        <v>2.8019103817596651</v>
      </c>
      <c r="M561">
        <v>2.2181933634451183</v>
      </c>
      <c r="N561">
        <v>0.83976400375055871</v>
      </c>
      <c r="P561">
        <v>7.138978901368136E-13</v>
      </c>
      <c r="R561">
        <v>2.9236362720747331</v>
      </c>
      <c r="S561">
        <v>2.9250187817951137</v>
      </c>
      <c r="T561">
        <v>1</v>
      </c>
      <c r="U561">
        <v>2.0635880207369159</v>
      </c>
      <c r="AN561" s="7"/>
    </row>
    <row r="562" spans="1:40">
      <c r="A562">
        <v>5.5271293150060831E-2</v>
      </c>
      <c r="B562">
        <v>-1.2051238089229763</v>
      </c>
      <c r="C562">
        <v>0.74489572222569445</v>
      </c>
      <c r="D562">
        <v>0.35313066092819012</v>
      </c>
      <c r="E562">
        <v>-0.41156949687981104</v>
      </c>
      <c r="F562">
        <v>-0.6253442026447017</v>
      </c>
      <c r="G562">
        <v>0.77730583437508016</v>
      </c>
      <c r="H562">
        <v>0.89913734300760606</v>
      </c>
      <c r="I562">
        <v>0.49389580678431644</v>
      </c>
      <c r="J562">
        <v>0.63698287504432738</v>
      </c>
      <c r="L562">
        <v>2.8019103730346622</v>
      </c>
      <c r="M562">
        <v>2.2181934027530845</v>
      </c>
      <c r="N562">
        <v>0.83976413809803951</v>
      </c>
      <c r="P562">
        <v>7.2979905783885002E-13</v>
      </c>
      <c r="R562">
        <v>2.9236362720747331</v>
      </c>
      <c r="S562">
        <v>2.9250187817951137</v>
      </c>
      <c r="T562">
        <v>1</v>
      </c>
      <c r="U562">
        <v>2.0635880207369159</v>
      </c>
      <c r="AN562" s="7"/>
    </row>
    <row r="563" spans="1:40">
      <c r="A563">
        <v>5.6232198636280192E-2</v>
      </c>
      <c r="B563">
        <v>-1.1996742346239542</v>
      </c>
      <c r="C563">
        <v>0.74859686538243753</v>
      </c>
      <c r="D563">
        <v>0.28645288014922737</v>
      </c>
      <c r="E563">
        <v>6.408380463372064E-2</v>
      </c>
      <c r="F563">
        <v>-0.53402711363951483</v>
      </c>
      <c r="G563">
        <v>0.26874691228422354</v>
      </c>
      <c r="H563">
        <v>0.96142631446814442</v>
      </c>
      <c r="I563">
        <v>0.46739761591693735</v>
      </c>
      <c r="J563">
        <v>0.23294892477487406</v>
      </c>
      <c r="L563">
        <v>2.8019105997727163</v>
      </c>
      <c r="M563">
        <v>2.2181932660905757</v>
      </c>
      <c r="N563">
        <v>0.83976452646561739</v>
      </c>
      <c r="P563">
        <v>1.1155046764861787E-12</v>
      </c>
      <c r="R563">
        <v>2.9236362720747331</v>
      </c>
      <c r="S563">
        <v>2.9250187817951137</v>
      </c>
      <c r="T563">
        <v>1</v>
      </c>
      <c r="U563">
        <v>2.0635880207369159</v>
      </c>
      <c r="AN563" s="7"/>
    </row>
    <row r="564" spans="1:40">
      <c r="A564">
        <v>5.3115908964990237E-2</v>
      </c>
      <c r="B564">
        <v>-1.2036909038367263</v>
      </c>
      <c r="C564">
        <v>0.76474578214315381</v>
      </c>
      <c r="D564">
        <v>-0.56805166096904602</v>
      </c>
      <c r="E564">
        <v>0.66670624738245843</v>
      </c>
      <c r="F564">
        <v>-9.7452163904581238E-2</v>
      </c>
      <c r="G564">
        <v>0.88213342191105693</v>
      </c>
      <c r="H564">
        <v>0.54960862229053509</v>
      </c>
      <c r="I564">
        <v>0.86849342695711229</v>
      </c>
      <c r="J564">
        <v>0.35937303672439574</v>
      </c>
      <c r="L564">
        <v>2.8019106229522142</v>
      </c>
      <c r="M564">
        <v>2.2181932100080592</v>
      </c>
      <c r="N564">
        <v>0.83976447116311892</v>
      </c>
      <c r="P564">
        <v>1.0731721115581678E-12</v>
      </c>
      <c r="R564">
        <v>2.9236362720747331</v>
      </c>
      <c r="S564">
        <v>2.9250187817951137</v>
      </c>
      <c r="T564">
        <v>1</v>
      </c>
      <c r="U564">
        <v>2.0635880207369159</v>
      </c>
      <c r="AN564" s="7" t="s">
        <v>154</v>
      </c>
    </row>
    <row r="565" spans="1:40">
      <c r="A565">
        <v>5.5931157496126323E-2</v>
      </c>
      <c r="B565">
        <v>-1.2090251410330668</v>
      </c>
      <c r="C565">
        <v>0.7621506326526718</v>
      </c>
      <c r="D565">
        <v>0.69622694671803642</v>
      </c>
      <c r="E565">
        <v>8.356051445193613E-2</v>
      </c>
      <c r="F565">
        <v>-0.58995401707653028</v>
      </c>
      <c r="G565">
        <v>0.91206150237570782</v>
      </c>
      <c r="H565">
        <v>0.89285976622264351</v>
      </c>
      <c r="I565">
        <v>0.14898407241335729</v>
      </c>
      <c r="J565">
        <v>0.22468632628731489</v>
      </c>
      <c r="L565">
        <v>2.8019104075714876</v>
      </c>
      <c r="M565">
        <v>2.2181934290793426</v>
      </c>
      <c r="N565">
        <v>0.83976415561073869</v>
      </c>
      <c r="P565">
        <v>8.0672093671002116E-13</v>
      </c>
      <c r="R565">
        <v>2.9236362720747331</v>
      </c>
      <c r="S565">
        <v>2.9250187817951137</v>
      </c>
      <c r="T565">
        <v>1</v>
      </c>
      <c r="U565">
        <v>2.0635880207369159</v>
      </c>
      <c r="AN565" s="7"/>
    </row>
    <row r="566" spans="1:40">
      <c r="A566">
        <v>3.9723962681834105E-2</v>
      </c>
      <c r="B566">
        <v>-1.2056124434760505</v>
      </c>
      <c r="C566">
        <v>0.76018925878369525</v>
      </c>
      <c r="D566">
        <v>-0.32998273496407893</v>
      </c>
      <c r="E566">
        <v>-0.50576814389270897</v>
      </c>
      <c r="F566">
        <v>0.30365203609997082</v>
      </c>
      <c r="G566">
        <v>0.89788984950972406</v>
      </c>
      <c r="H566">
        <v>0.51946539260135083</v>
      </c>
      <c r="I566">
        <v>0.99983952086335814</v>
      </c>
      <c r="J566">
        <v>0.18922844040668851</v>
      </c>
      <c r="L566">
        <v>2.8019104942165836</v>
      </c>
      <c r="M566">
        <v>2.2181933479321292</v>
      </c>
      <c r="N566">
        <v>0.83976434213306583</v>
      </c>
      <c r="P566">
        <v>8.9679786055040896E-13</v>
      </c>
      <c r="R566">
        <v>2.9236362720747331</v>
      </c>
      <c r="S566">
        <v>2.9250187817951137</v>
      </c>
      <c r="T566">
        <v>1</v>
      </c>
      <c r="U566">
        <v>2.0635880207369159</v>
      </c>
      <c r="AN566" s="7"/>
    </row>
    <row r="567" spans="1:40">
      <c r="A567">
        <v>5.2719084930051403E-2</v>
      </c>
      <c r="B567">
        <v>-1.2070222790899905</v>
      </c>
      <c r="C567">
        <v>0.75150759402467504</v>
      </c>
      <c r="D567">
        <v>-0.21735244365180498</v>
      </c>
      <c r="E567">
        <v>0.16471593827693348</v>
      </c>
      <c r="F567">
        <v>-0.30106724157227754</v>
      </c>
      <c r="G567">
        <v>0.67297756752425542</v>
      </c>
      <c r="H567">
        <v>0.14477450015320717</v>
      </c>
      <c r="I567">
        <v>0.61125911022488322</v>
      </c>
      <c r="J567">
        <v>0.41320621365769522</v>
      </c>
      <c r="L567">
        <v>2.801910573022159</v>
      </c>
      <c r="M567">
        <v>2.2181931102731038</v>
      </c>
      <c r="N567">
        <v>0.83976406366149592</v>
      </c>
      <c r="P567">
        <v>8.059740884594054E-13</v>
      </c>
      <c r="R567">
        <v>2.9236362720747331</v>
      </c>
      <c r="S567">
        <v>2.9250187817951137</v>
      </c>
      <c r="T567">
        <v>1</v>
      </c>
      <c r="U567">
        <v>2.0635880207369159</v>
      </c>
      <c r="AN567" s="7"/>
    </row>
    <row r="568" spans="1:40">
      <c r="A568">
        <v>4.9642453492462081E-2</v>
      </c>
      <c r="B568">
        <v>-1.2146873816164185</v>
      </c>
      <c r="C568">
        <v>0.76048750529770337</v>
      </c>
      <c r="D568">
        <v>0.38935077438898258</v>
      </c>
      <c r="E568">
        <v>-0.32123106149115205</v>
      </c>
      <c r="F568">
        <v>0.36710625928928398</v>
      </c>
      <c r="G568">
        <v>0.95834941832572762</v>
      </c>
      <c r="H568">
        <v>2.8157979271052441E-2</v>
      </c>
      <c r="I568">
        <v>6.0724960580086966E-2</v>
      </c>
      <c r="J568">
        <v>0.58093620581134531</v>
      </c>
      <c r="L568">
        <v>2.8019104374817849</v>
      </c>
      <c r="M568">
        <v>2.2181934317464616</v>
      </c>
      <c r="N568">
        <v>0.83976420582361833</v>
      </c>
      <c r="P568">
        <v>8.5821776136110838E-13</v>
      </c>
      <c r="R568">
        <v>2.9236362720747331</v>
      </c>
      <c r="S568">
        <v>2.9250187817951137</v>
      </c>
      <c r="T568">
        <v>1</v>
      </c>
      <c r="U568">
        <v>2.0635880207369159</v>
      </c>
      <c r="AN568" s="7" t="s">
        <v>155</v>
      </c>
    </row>
    <row r="569" spans="1:40">
      <c r="A569">
        <v>5.4845472367494721E-2</v>
      </c>
      <c r="B569">
        <v>-1.2042964396296374</v>
      </c>
      <c r="C569">
        <v>0.72863421469481104</v>
      </c>
      <c r="D569">
        <v>-0.1727127753810167</v>
      </c>
      <c r="E569">
        <v>7.8171036078393569E-2</v>
      </c>
      <c r="F569">
        <v>-0.29904461626219642</v>
      </c>
      <c r="G569">
        <v>0.3289323789976073</v>
      </c>
      <c r="H569">
        <v>5.5206285254470688E-2</v>
      </c>
      <c r="I569">
        <v>0.95931906224203745</v>
      </c>
      <c r="J569">
        <v>0.94267829669567604</v>
      </c>
      <c r="L569">
        <v>2.8019104995566244</v>
      </c>
      <c r="M569">
        <v>2.2181931547641112</v>
      </c>
      <c r="N569">
        <v>0.83976458978666513</v>
      </c>
      <c r="P569">
        <v>9.2531435127480721E-13</v>
      </c>
      <c r="R569">
        <v>2.9236362720747331</v>
      </c>
      <c r="S569">
        <v>2.9250187817951137</v>
      </c>
      <c r="T569">
        <v>1</v>
      </c>
      <c r="U569">
        <v>2.0635880207369159</v>
      </c>
      <c r="AN569" s="7"/>
    </row>
    <row r="570" spans="1:40">
      <c r="A570">
        <v>5.8976658583498279E-2</v>
      </c>
      <c r="B570">
        <v>-1.2063124036328796</v>
      </c>
      <c r="C570">
        <v>0.76171617497642119</v>
      </c>
      <c r="D570">
        <v>-0.42381142961720997</v>
      </c>
      <c r="E570">
        <v>0.10588355294635732</v>
      </c>
      <c r="F570">
        <v>-0.32175743364041892</v>
      </c>
      <c r="G570">
        <v>0.8430309961101804</v>
      </c>
      <c r="H570">
        <v>0.28332631195024732</v>
      </c>
      <c r="I570">
        <v>7.8425751166423863E-2</v>
      </c>
      <c r="J570">
        <v>0.49530229555656141</v>
      </c>
      <c r="L570">
        <v>2.8019105898504644</v>
      </c>
      <c r="M570">
        <v>2.2181931913344117</v>
      </c>
      <c r="N570">
        <v>0.8397639936469744</v>
      </c>
      <c r="P570">
        <v>8.9509250913219594E-13</v>
      </c>
      <c r="R570">
        <v>2.9236362720747331</v>
      </c>
      <c r="S570">
        <v>2.9250187817951137</v>
      </c>
      <c r="T570">
        <v>1</v>
      </c>
      <c r="U570">
        <v>2.0635880207369159</v>
      </c>
      <c r="AN570" s="7"/>
    </row>
    <row r="571" spans="1:40">
      <c r="A571">
        <v>5.2279215382835864E-2</v>
      </c>
      <c r="B571">
        <v>-1.4145107666594987</v>
      </c>
      <c r="C571">
        <v>0.34409266391113752</v>
      </c>
      <c r="D571">
        <v>-0.18187528115689944</v>
      </c>
      <c r="E571">
        <v>-0.55839506090651236</v>
      </c>
      <c r="F571">
        <v>-0.71884075168978745</v>
      </c>
      <c r="G571">
        <v>0.40258499277111987</v>
      </c>
      <c r="H571">
        <v>0.9485438085844965</v>
      </c>
      <c r="I571">
        <v>0.99718222842000015</v>
      </c>
      <c r="J571">
        <v>0.71945681912814452</v>
      </c>
      <c r="L571">
        <v>3.7176007847828072</v>
      </c>
      <c r="M571">
        <v>2.3648257878330341</v>
      </c>
      <c r="N571">
        <v>2.2181902983453501</v>
      </c>
      <c r="P571">
        <v>5.5675009750766472E-11</v>
      </c>
      <c r="R571">
        <v>12.046295485423123</v>
      </c>
      <c r="S571">
        <v>12.100449578887144</v>
      </c>
      <c r="T571">
        <v>1</v>
      </c>
      <c r="U571">
        <v>2.430841681821684</v>
      </c>
      <c r="AN571" s="7"/>
    </row>
    <row r="572" spans="1:40">
      <c r="A572">
        <v>4.6633194539270832E-2</v>
      </c>
      <c r="B572">
        <v>-1.3984411187933699</v>
      </c>
      <c r="C572">
        <v>0.41169758696644854</v>
      </c>
      <c r="D572">
        <v>-2.2097201538983355E-2</v>
      </c>
      <c r="E572">
        <v>0.59537540001619327</v>
      </c>
      <c r="F572">
        <v>-4.0347417785400456E-2</v>
      </c>
      <c r="G572">
        <v>0.42176649811273204</v>
      </c>
      <c r="H572">
        <v>0.92791542253514647</v>
      </c>
      <c r="I572">
        <v>0.40428230374636581</v>
      </c>
      <c r="J572">
        <v>0.35079672554652602</v>
      </c>
      <c r="L572">
        <v>3.7176010632292842</v>
      </c>
      <c r="M572">
        <v>2.3648256346889234</v>
      </c>
      <c r="N572">
        <v>2.2181900307874827</v>
      </c>
      <c r="P572">
        <v>5.9613360620028133E-11</v>
      </c>
      <c r="R572">
        <v>12.046295485423123</v>
      </c>
      <c r="S572">
        <v>12.100449578887144</v>
      </c>
      <c r="T572">
        <v>1</v>
      </c>
      <c r="U572">
        <v>2.430841681821684</v>
      </c>
      <c r="AN572" s="7" t="s">
        <v>156</v>
      </c>
    </row>
    <row r="573" spans="1:40">
      <c r="A573">
        <v>4.7429663916252231E-2</v>
      </c>
      <c r="B573">
        <v>-1.4067847432232452</v>
      </c>
      <c r="C573">
        <v>0.39189825071225876</v>
      </c>
      <c r="D573">
        <v>-0.44743691867113772</v>
      </c>
      <c r="E573">
        <v>-0.36571865453071856</v>
      </c>
      <c r="F573">
        <v>-0.25932805635938871</v>
      </c>
      <c r="G573">
        <v>0.76995046938319922</v>
      </c>
      <c r="H573">
        <v>0.62505289783633555</v>
      </c>
      <c r="I573">
        <v>3.9995700405894792E-2</v>
      </c>
      <c r="J573">
        <v>0.61228820669610329</v>
      </c>
      <c r="L573">
        <v>3.7176010449701584</v>
      </c>
      <c r="M573">
        <v>2.364825647550262</v>
      </c>
      <c r="N573">
        <v>2.218190167447327</v>
      </c>
      <c r="P573">
        <v>5.8706706423072299E-11</v>
      </c>
      <c r="R573">
        <v>12.046295485423123</v>
      </c>
      <c r="S573">
        <v>12.100449578887144</v>
      </c>
      <c r="T573">
        <v>1</v>
      </c>
      <c r="U573">
        <v>2.430841681821684</v>
      </c>
      <c r="AN573" s="7"/>
    </row>
    <row r="574" spans="1:40">
      <c r="A574">
        <v>4.7969742064447575E-2</v>
      </c>
      <c r="B574">
        <v>-1.4199744616494738</v>
      </c>
      <c r="C574">
        <v>0.32803105127326726</v>
      </c>
      <c r="D574">
        <v>0.11689928588079625</v>
      </c>
      <c r="E574">
        <v>-0.39089496826522113</v>
      </c>
      <c r="F574">
        <v>-0.72597358438556459</v>
      </c>
      <c r="G574">
        <v>5.281945645219694E-2</v>
      </c>
      <c r="H574">
        <v>0.93922667538520543</v>
      </c>
      <c r="I574">
        <v>0.44259044407095299</v>
      </c>
      <c r="J574">
        <v>0.84971346307429696</v>
      </c>
      <c r="L574">
        <v>3.7176013755919204</v>
      </c>
      <c r="M574">
        <v>2.3648253595711242</v>
      </c>
      <c r="N574">
        <v>2.2181897535942285</v>
      </c>
      <c r="P574">
        <v>6.3682073671864729E-11</v>
      </c>
      <c r="R574">
        <v>12.046295485423123</v>
      </c>
      <c r="S574">
        <v>12.100449578887144</v>
      </c>
      <c r="T574">
        <v>1</v>
      </c>
      <c r="U574">
        <v>2.430841681821684</v>
      </c>
      <c r="AN574" s="7"/>
    </row>
    <row r="575" spans="1:40">
      <c r="A575">
        <v>4.573715649764018E-2</v>
      </c>
      <c r="B575">
        <v>-1.4054562242849353</v>
      </c>
      <c r="C575">
        <v>0.39602583162679517</v>
      </c>
      <c r="D575">
        <v>-0.57396383223582004</v>
      </c>
      <c r="E575">
        <v>9.8330747054556175E-2</v>
      </c>
      <c r="F575">
        <v>-6.8722419069089546E-2</v>
      </c>
      <c r="G575">
        <v>0.76811627673633531</v>
      </c>
      <c r="H575">
        <v>0.63256404565993118</v>
      </c>
      <c r="I575">
        <v>0.28648987908942453</v>
      </c>
      <c r="J575">
        <v>0.78038293752902221</v>
      </c>
      <c r="L575">
        <v>3.7176020744475675</v>
      </c>
      <c r="M575">
        <v>2.3648226999533124</v>
      </c>
      <c r="N575">
        <v>2.2181922880359748</v>
      </c>
      <c r="P575">
        <v>5.5728066877508562E-11</v>
      </c>
      <c r="R575">
        <v>12.046295485423123</v>
      </c>
      <c r="S575">
        <v>12.100449578887144</v>
      </c>
      <c r="T575">
        <v>1</v>
      </c>
      <c r="U575">
        <v>2.430841681821684</v>
      </c>
      <c r="AN575" s="7"/>
    </row>
    <row r="576" spans="1:40">
      <c r="A576">
        <v>4.9158493559467609E-2</v>
      </c>
      <c r="B576">
        <v>-1.4225386098082862</v>
      </c>
      <c r="C576">
        <v>0.35516098662021867</v>
      </c>
      <c r="D576">
        <v>-0.34077239062847936</v>
      </c>
      <c r="E576">
        <v>0.11275730651209911</v>
      </c>
      <c r="F576">
        <v>-0.10905863431665151</v>
      </c>
      <c r="G576">
        <v>0.91552263744486262</v>
      </c>
      <c r="H576">
        <v>0.15619831442884</v>
      </c>
      <c r="I576">
        <v>0.81091144881298116</v>
      </c>
      <c r="J576">
        <v>0.96929999229340147</v>
      </c>
      <c r="L576">
        <v>3.7176013820010887</v>
      </c>
      <c r="M576">
        <v>2.3648254187886408</v>
      </c>
      <c r="N576">
        <v>2.2181897316644998</v>
      </c>
      <c r="P576">
        <v>6.4256257467664535E-11</v>
      </c>
      <c r="R576">
        <v>12.046295485423123</v>
      </c>
      <c r="S576">
        <v>12.100449578887144</v>
      </c>
      <c r="T576">
        <v>1</v>
      </c>
      <c r="U576">
        <v>2.430841681821684</v>
      </c>
      <c r="AN576" s="7" t="s">
        <v>157</v>
      </c>
    </row>
    <row r="577" spans="1:40">
      <c r="A577">
        <v>5.7345842950627328E-2</v>
      </c>
      <c r="B577">
        <v>-1.4074974622310434</v>
      </c>
      <c r="C577">
        <v>0.38255251502101134</v>
      </c>
      <c r="D577">
        <v>-0.3712063978479066</v>
      </c>
      <c r="E577">
        <v>-0.51412415214296003</v>
      </c>
      <c r="F577">
        <v>0.6072012673235988</v>
      </c>
      <c r="G577">
        <v>0.4830510374550982</v>
      </c>
      <c r="H577">
        <v>7.0048635216009764E-2</v>
      </c>
      <c r="I577">
        <v>0.68571278327647511</v>
      </c>
      <c r="J577">
        <v>0.53512038501674897</v>
      </c>
      <c r="L577">
        <v>3.717600982988849</v>
      </c>
      <c r="M577">
        <v>2.3648256858801626</v>
      </c>
      <c r="N577">
        <v>2.2181901528869621</v>
      </c>
      <c r="P577">
        <v>5.824323997810831E-11</v>
      </c>
      <c r="R577">
        <v>12.046295485423123</v>
      </c>
      <c r="S577">
        <v>12.100449578887144</v>
      </c>
      <c r="T577">
        <v>1</v>
      </c>
      <c r="U577">
        <v>2.430841681821684</v>
      </c>
      <c r="AN577" s="7"/>
    </row>
    <row r="578" spans="1:40">
      <c r="A578">
        <v>5.6570393112385618E-2</v>
      </c>
      <c r="B578">
        <v>-1.4338509594226769</v>
      </c>
      <c r="C578">
        <v>0.31756665112017968</v>
      </c>
      <c r="D578">
        <v>0.48529801910082565</v>
      </c>
      <c r="E578">
        <v>-0.78489955642499165</v>
      </c>
      <c r="F578">
        <v>6.5387277043397002E-2</v>
      </c>
      <c r="G578">
        <v>0.63078412090487457</v>
      </c>
      <c r="H578">
        <v>4.1127017684110367E-2</v>
      </c>
      <c r="I578">
        <v>0.67049278024511583</v>
      </c>
      <c r="J578">
        <v>0.88457243920759043</v>
      </c>
      <c r="L578">
        <v>3.7176008415342623</v>
      </c>
      <c r="M578">
        <v>2.3648255730808656</v>
      </c>
      <c r="N578">
        <v>2.2181911640121132</v>
      </c>
      <c r="P578">
        <v>5.1289992954561186E-11</v>
      </c>
      <c r="R578">
        <v>12.046295485423123</v>
      </c>
      <c r="S578">
        <v>12.100449578887144</v>
      </c>
      <c r="T578">
        <v>1</v>
      </c>
      <c r="U578">
        <v>2.430841681821684</v>
      </c>
      <c r="AN578" s="7"/>
    </row>
    <row r="579" spans="1:40">
      <c r="A579">
        <v>5.5684400629679387E-2</v>
      </c>
      <c r="B579">
        <v>-1.4079148078983643</v>
      </c>
      <c r="C579">
        <v>0.38449322366184968</v>
      </c>
      <c r="D579">
        <v>0.24759217618804058</v>
      </c>
      <c r="E579">
        <v>4.7020887358164939E-2</v>
      </c>
      <c r="F579">
        <v>0.5988770084477395</v>
      </c>
      <c r="G579">
        <v>0.18854570064185053</v>
      </c>
      <c r="H579">
        <v>0.19290712736317245</v>
      </c>
      <c r="I579">
        <v>0.554100707268389</v>
      </c>
      <c r="J579">
        <v>0.28911010415112876</v>
      </c>
      <c r="L579">
        <v>3.7176005436267991</v>
      </c>
      <c r="M579">
        <v>2.3648259715338709</v>
      </c>
      <c r="N579">
        <v>2.21819024022829</v>
      </c>
      <c r="P579">
        <v>5.4338002236843077E-11</v>
      </c>
      <c r="R579">
        <v>12.046295485423123</v>
      </c>
      <c r="S579">
        <v>12.100449578887144</v>
      </c>
      <c r="T579">
        <v>1</v>
      </c>
      <c r="U579">
        <v>2.430841681821684</v>
      </c>
      <c r="AN579" s="7"/>
    </row>
    <row r="580" spans="1:40">
      <c r="A580">
        <v>4.8677213412444575E-2</v>
      </c>
      <c r="B580">
        <v>-1.4154277098048087</v>
      </c>
      <c r="C580">
        <v>0.37375198123206183</v>
      </c>
      <c r="D580">
        <v>0.62083539482835093</v>
      </c>
      <c r="E580">
        <v>0.43809713859614141</v>
      </c>
      <c r="F580">
        <v>9.5925748742013484E-2</v>
      </c>
      <c r="G580">
        <v>0.52158121842189764</v>
      </c>
      <c r="H580">
        <v>0.69878606505516028</v>
      </c>
      <c r="I580">
        <v>0.47429623118542463</v>
      </c>
      <c r="J580">
        <v>0.60834782923819042</v>
      </c>
      <c r="L580">
        <v>3.7176012313739109</v>
      </c>
      <c r="M580">
        <v>2.3648255394217506</v>
      </c>
      <c r="N580">
        <v>2.2181898633223005</v>
      </c>
      <c r="P580">
        <v>6.2176686735186159E-11</v>
      </c>
      <c r="R580">
        <v>12.046295485423123</v>
      </c>
      <c r="S580">
        <v>12.100449578887144</v>
      </c>
      <c r="T580">
        <v>1</v>
      </c>
      <c r="U580">
        <v>2.430841681821684</v>
      </c>
      <c r="AN580" s="7" t="s">
        <v>158</v>
      </c>
    </row>
    <row r="581" spans="1:40">
      <c r="A581">
        <v>9.2203357332897959E-2</v>
      </c>
      <c r="B581">
        <v>-1.2703502422669362</v>
      </c>
      <c r="C581">
        <v>0.80213153345522292</v>
      </c>
      <c r="D581">
        <v>-0.46375695646491899</v>
      </c>
      <c r="E581">
        <v>0.26569494041754588</v>
      </c>
      <c r="F581">
        <v>0.61031734703958096</v>
      </c>
      <c r="G581">
        <v>0.72273156227604973</v>
      </c>
      <c r="H581">
        <v>3.5258983120262218E-2</v>
      </c>
      <c r="I581">
        <v>0.84195994337629987</v>
      </c>
      <c r="J581">
        <v>0.38017722954631006</v>
      </c>
      <c r="L581">
        <v>3.717597352433077</v>
      </c>
      <c r="M581">
        <v>2.3648246105259045</v>
      </c>
      <c r="N581">
        <v>0.83976293308699068</v>
      </c>
      <c r="P581">
        <v>1.356128067492576E-11</v>
      </c>
      <c r="R581">
        <v>6.706996676484458</v>
      </c>
      <c r="S581">
        <v>6.7197741867997447</v>
      </c>
      <c r="T581">
        <v>1</v>
      </c>
      <c r="U581">
        <v>2.4354631551667487</v>
      </c>
      <c r="AN581" s="7"/>
    </row>
    <row r="582" spans="1:40">
      <c r="A582">
        <v>8.0158419578849338E-2</v>
      </c>
      <c r="B582">
        <v>-1.2779703364033232</v>
      </c>
      <c r="C582">
        <v>0.75710808227332616</v>
      </c>
      <c r="D582">
        <v>-0.48333766095060421</v>
      </c>
      <c r="E582">
        <v>0.25085251270527487</v>
      </c>
      <c r="F582">
        <v>5.1640007355489119E-3</v>
      </c>
      <c r="G582">
        <v>0.21519923620464151</v>
      </c>
      <c r="H582">
        <v>0.82871649510944667</v>
      </c>
      <c r="I582">
        <v>0.21752279888925913</v>
      </c>
      <c r="J582">
        <v>0.39479414096925963</v>
      </c>
      <c r="L582">
        <v>3.717596865995028</v>
      </c>
      <c r="M582">
        <v>2.3648252183009966</v>
      </c>
      <c r="N582">
        <v>0.83976348648992383</v>
      </c>
      <c r="P582">
        <v>1.317186940213778E-11</v>
      </c>
      <c r="R582">
        <v>6.706996676484458</v>
      </c>
      <c r="S582">
        <v>6.7197741867997447</v>
      </c>
      <c r="T582">
        <v>1</v>
      </c>
      <c r="U582">
        <v>2.4354631551667487</v>
      </c>
      <c r="AN582" s="7"/>
    </row>
    <row r="583" spans="1:40">
      <c r="A583">
        <v>8.6872107340263016E-2</v>
      </c>
      <c r="B583">
        <v>-1.2787666223284477</v>
      </c>
      <c r="C583">
        <v>0.74903719448289308</v>
      </c>
      <c r="D583">
        <v>-0.74529337450299382</v>
      </c>
      <c r="E583">
        <v>-0.16052487983111405</v>
      </c>
      <c r="F583">
        <v>-8.970609355544322E-2</v>
      </c>
      <c r="G583">
        <v>7.7084454166763086E-2</v>
      </c>
      <c r="H583">
        <v>0.29604821745107335</v>
      </c>
      <c r="I583">
        <v>0.47923884836439395</v>
      </c>
      <c r="J583">
        <v>0.734639307057666</v>
      </c>
      <c r="L583">
        <v>3.717597085504309</v>
      </c>
      <c r="M583">
        <v>2.3648246225718035</v>
      </c>
      <c r="N583">
        <v>0.83976347477554969</v>
      </c>
      <c r="P583">
        <v>1.124162330199736E-11</v>
      </c>
      <c r="R583">
        <v>6.706996676484458</v>
      </c>
      <c r="S583">
        <v>6.7197741867997447</v>
      </c>
      <c r="T583">
        <v>1</v>
      </c>
      <c r="U583">
        <v>2.4354631551667487</v>
      </c>
      <c r="AN583" s="7"/>
    </row>
    <row r="584" spans="1:40">
      <c r="A584">
        <v>9.1036326928966377E-2</v>
      </c>
      <c r="B584">
        <v>-1.2717686111361006</v>
      </c>
      <c r="C584">
        <v>0.76708039279071583</v>
      </c>
      <c r="D584">
        <v>0.17997431716375575</v>
      </c>
      <c r="E584">
        <v>-0.44000627813829879</v>
      </c>
      <c r="F584">
        <v>0.29098844511163763</v>
      </c>
      <c r="G584">
        <v>0</v>
      </c>
      <c r="H584">
        <v>0.91115930508114551</v>
      </c>
      <c r="I584">
        <v>0.41167940528046099</v>
      </c>
      <c r="J584">
        <v>0.5839730141629379</v>
      </c>
      <c r="L584">
        <v>3.7175947211147635</v>
      </c>
      <c r="M584">
        <v>2.364822589318567</v>
      </c>
      <c r="N584">
        <v>0.83976317510541953</v>
      </c>
      <c r="P584">
        <v>9.2897195349811646E-13</v>
      </c>
      <c r="R584">
        <v>6.706996676484458</v>
      </c>
      <c r="S584">
        <v>6.7197741867997447</v>
      </c>
      <c r="T584">
        <v>1</v>
      </c>
      <c r="U584">
        <v>2.4354631551667487</v>
      </c>
      <c r="AN584" s="7" t="s">
        <v>159</v>
      </c>
    </row>
    <row r="585" spans="1:40">
      <c r="A585">
        <v>8.313806406544931E-2</v>
      </c>
      <c r="B585">
        <v>-1.2813661625987844</v>
      </c>
      <c r="C585">
        <v>0.7402372676801684</v>
      </c>
      <c r="D585">
        <v>-0.23582418097888369</v>
      </c>
      <c r="E585">
        <v>-0.35118135395259681</v>
      </c>
      <c r="F585">
        <v>-0.26057518490909176</v>
      </c>
      <c r="G585">
        <v>7.0438030897492343E-2</v>
      </c>
      <c r="H585">
        <v>0.89178212819136127</v>
      </c>
      <c r="I585">
        <v>7.8224525435558703E-2</v>
      </c>
      <c r="J585">
        <v>0.71749906937473285</v>
      </c>
      <c r="L585">
        <v>3.7175970790697166</v>
      </c>
      <c r="M585">
        <v>2.3648251035192849</v>
      </c>
      <c r="N585">
        <v>0.83976321802405418</v>
      </c>
      <c r="P585">
        <v>1.3952376614723359E-11</v>
      </c>
      <c r="R585">
        <v>6.706996676484458</v>
      </c>
      <c r="S585">
        <v>6.7197741867997447</v>
      </c>
      <c r="T585">
        <v>1</v>
      </c>
      <c r="U585">
        <v>2.4354631551667487</v>
      </c>
      <c r="AN585" s="7"/>
    </row>
    <row r="586" spans="1:40">
      <c r="A586">
        <v>8.6102726043605873E-2</v>
      </c>
      <c r="B586">
        <v>-1.2717068238005769</v>
      </c>
      <c r="C586">
        <v>0.79697396723779301</v>
      </c>
      <c r="D586">
        <v>0.36599629224305896</v>
      </c>
      <c r="E586">
        <v>0.42097058959301575</v>
      </c>
      <c r="F586">
        <v>0.78821644339825814</v>
      </c>
      <c r="G586">
        <v>0.38144351937012849</v>
      </c>
      <c r="H586">
        <v>0.66078915444364639</v>
      </c>
      <c r="I586">
        <v>8.4169722198519439E-2</v>
      </c>
      <c r="J586">
        <v>8.7421434122709502E-2</v>
      </c>
      <c r="L586">
        <v>3.7175971713227143</v>
      </c>
      <c r="M586">
        <v>2.3648244317639864</v>
      </c>
      <c r="N586">
        <v>0.83976339047180182</v>
      </c>
      <c r="P586">
        <v>1.0983519845532522E-11</v>
      </c>
      <c r="R586">
        <v>6.706996676484458</v>
      </c>
      <c r="S586">
        <v>6.7197741867997447</v>
      </c>
      <c r="T586">
        <v>1</v>
      </c>
      <c r="U586">
        <v>2.4354631551667487</v>
      </c>
      <c r="AN586" s="7"/>
    </row>
    <row r="587" spans="1:40">
      <c r="A587">
        <v>8.5795418226325262E-2</v>
      </c>
      <c r="B587">
        <v>-1.2886934126855529</v>
      </c>
      <c r="C587">
        <v>0.7494896719058558</v>
      </c>
      <c r="D587">
        <v>0.16815445692388509</v>
      </c>
      <c r="E587">
        <v>0.26009415918888951</v>
      </c>
      <c r="F587">
        <v>-0.82035873030542594</v>
      </c>
      <c r="G587">
        <v>0.44384234909393289</v>
      </c>
      <c r="H587">
        <v>0.21673699154431117</v>
      </c>
      <c r="I587">
        <v>0.28957651197034168</v>
      </c>
      <c r="J587">
        <v>0.44446654557203513</v>
      </c>
      <c r="L587">
        <v>3.7175971431007198</v>
      </c>
      <c r="M587">
        <v>2.3648244040611468</v>
      </c>
      <c r="N587">
        <v>0.83976346358022858</v>
      </c>
      <c r="P587">
        <v>1.0629365049735112E-11</v>
      </c>
      <c r="R587">
        <v>6.706996676484458</v>
      </c>
      <c r="S587">
        <v>6.7197741867997447</v>
      </c>
      <c r="T587">
        <v>1</v>
      </c>
      <c r="U587">
        <v>2.4354631551667487</v>
      </c>
      <c r="AN587" s="7"/>
    </row>
    <row r="588" spans="1:40">
      <c r="A588">
        <v>9.7598614907721551E-2</v>
      </c>
      <c r="B588">
        <v>-1.274343826448765</v>
      </c>
      <c r="C588">
        <v>0.78124312626576886</v>
      </c>
      <c r="D588">
        <v>0.77499853330596669</v>
      </c>
      <c r="E588">
        <v>0.36260996173698606</v>
      </c>
      <c r="F588">
        <v>-0.1022176301982041</v>
      </c>
      <c r="G588">
        <v>8.593917383652977E-2</v>
      </c>
      <c r="H588">
        <v>0.26229317726208662</v>
      </c>
      <c r="I588">
        <v>1.0142732301201398</v>
      </c>
      <c r="J588">
        <v>0.2206599861734948</v>
      </c>
      <c r="L588">
        <v>3.7175966980667146</v>
      </c>
      <c r="M588">
        <v>2.3648245672479624</v>
      </c>
      <c r="N588">
        <v>0.8397639748471194</v>
      </c>
      <c r="P588">
        <v>8.8575693311477992E-12</v>
      </c>
      <c r="R588">
        <v>6.706996676484458</v>
      </c>
      <c r="S588">
        <v>6.7197741867997447</v>
      </c>
      <c r="T588">
        <v>1</v>
      </c>
      <c r="U588">
        <v>2.4354631551667487</v>
      </c>
      <c r="AN588" s="7" t="s">
        <v>160</v>
      </c>
    </row>
    <row r="589" spans="1:40">
      <c r="A589">
        <v>8.9522439653113933E-2</v>
      </c>
      <c r="B589">
        <v>-1.2744998682747455</v>
      </c>
      <c r="C589">
        <v>0.78374952741142878</v>
      </c>
      <c r="D589">
        <v>0.20245618378485292</v>
      </c>
      <c r="E589">
        <v>0.4427669412687319</v>
      </c>
      <c r="F589">
        <v>0.27445867640834909</v>
      </c>
      <c r="G589">
        <v>0.21017393779270283</v>
      </c>
      <c r="H589">
        <v>0.29066078663808426</v>
      </c>
      <c r="I589">
        <v>0.44157492375055313</v>
      </c>
      <c r="J589">
        <v>0.14722249892148756</v>
      </c>
      <c r="L589">
        <v>3.717597127478907</v>
      </c>
      <c r="M589">
        <v>2.3648247857361513</v>
      </c>
      <c r="N589">
        <v>0.83976334696091015</v>
      </c>
      <c r="P589">
        <v>1.2374053077695338E-11</v>
      </c>
      <c r="R589">
        <v>6.706996676484458</v>
      </c>
      <c r="S589">
        <v>6.7197741867997447</v>
      </c>
      <c r="T589">
        <v>1</v>
      </c>
      <c r="U589">
        <v>2.4354631551667487</v>
      </c>
      <c r="AN589" s="7"/>
    </row>
    <row r="590" spans="1:40">
      <c r="A590">
        <v>8.1579530983739254E-2</v>
      </c>
      <c r="B590">
        <v>-1.2748065917374325</v>
      </c>
      <c r="C590">
        <v>0.76775134829742342</v>
      </c>
      <c r="D590">
        <v>-0.72404646824878027</v>
      </c>
      <c r="E590">
        <v>0.82227102199078861</v>
      </c>
      <c r="F590">
        <v>-0.10223843929768811</v>
      </c>
      <c r="G590">
        <v>0.24901173384590178</v>
      </c>
      <c r="H590">
        <v>0.60371767444452773</v>
      </c>
      <c r="I590">
        <v>0.79197251715563677</v>
      </c>
      <c r="J590">
        <v>0.12000272012589265</v>
      </c>
      <c r="L590">
        <v>3.7175971156073548</v>
      </c>
      <c r="M590">
        <v>2.3648249602816693</v>
      </c>
      <c r="N590">
        <v>0.8397632556999135</v>
      </c>
      <c r="P590">
        <v>1.3318989253452302E-11</v>
      </c>
      <c r="R590">
        <v>6.706996676484458</v>
      </c>
      <c r="S590">
        <v>6.7197741867997447</v>
      </c>
      <c r="T590">
        <v>1</v>
      </c>
      <c r="U590">
        <v>2.4354631551667487</v>
      </c>
      <c r="AN590" s="7"/>
    </row>
    <row r="591" spans="1:40">
      <c r="A591">
        <v>-4.0845844277497739E-2</v>
      </c>
      <c r="B591">
        <v>-1.399615706297932</v>
      </c>
      <c r="C591">
        <v>0.5481314918064637</v>
      </c>
      <c r="D591">
        <v>0.52762126088550498</v>
      </c>
      <c r="E591">
        <v>-0.57613008391171938</v>
      </c>
      <c r="F591">
        <v>-0.70846696597105696</v>
      </c>
      <c r="G591">
        <v>6.3644019132727728E-2</v>
      </c>
      <c r="H591">
        <v>0.63727504407525681</v>
      </c>
      <c r="I591">
        <v>0.85202883651079941</v>
      </c>
      <c r="J591">
        <v>6.3736044688267393E-2</v>
      </c>
      <c r="L591">
        <v>3.717597040362782</v>
      </c>
      <c r="M591">
        <v>2.2181928470072294</v>
      </c>
      <c r="N591">
        <v>0.83976599960931542</v>
      </c>
      <c r="P591">
        <v>9.3075899164607127E-12</v>
      </c>
      <c r="R591">
        <v>6.5616354473090093</v>
      </c>
      <c r="S591">
        <v>6.5721137062563466</v>
      </c>
      <c r="T591">
        <v>1</v>
      </c>
      <c r="U591">
        <v>2.0863166120331988</v>
      </c>
      <c r="AN591" s="7"/>
    </row>
    <row r="592" spans="1:40">
      <c r="A592">
        <v>-2.9411882091462206E-2</v>
      </c>
      <c r="B592">
        <v>-1.3835227743328371</v>
      </c>
      <c r="C592">
        <v>0.59047686102108465</v>
      </c>
      <c r="D592">
        <v>-0.34177528904249999</v>
      </c>
      <c r="E592">
        <v>9.921351382584534E-2</v>
      </c>
      <c r="F592">
        <v>0.31442654381803664</v>
      </c>
      <c r="G592">
        <v>0.52965619118195173</v>
      </c>
      <c r="H592">
        <v>0.29783839111353533</v>
      </c>
      <c r="I592">
        <v>0.59967037049856831</v>
      </c>
      <c r="J592">
        <v>0.4160629486144391</v>
      </c>
      <c r="L592">
        <v>3.7175966242916636</v>
      </c>
      <c r="M592">
        <v>2.2181928479152488</v>
      </c>
      <c r="N592">
        <v>0.83976596420040772</v>
      </c>
      <c r="P592">
        <v>7.3484933176379627E-12</v>
      </c>
      <c r="R592">
        <v>6.5616354473090093</v>
      </c>
      <c r="S592">
        <v>6.5721137062563466</v>
      </c>
      <c r="T592">
        <v>1</v>
      </c>
      <c r="U592">
        <v>2.0863166120331988</v>
      </c>
      <c r="AN592" s="7" t="s">
        <v>161</v>
      </c>
    </row>
    <row r="593" spans="1:40">
      <c r="A593">
        <v>-2.369567482108122E-2</v>
      </c>
      <c r="B593">
        <v>-1.3799906920835299</v>
      </c>
      <c r="C593">
        <v>0.59199610667897384</v>
      </c>
      <c r="D593">
        <v>-0.65661345137921934</v>
      </c>
      <c r="E593">
        <v>-8.7501721804970595E-2</v>
      </c>
      <c r="F593">
        <v>2.2966742510138142E-2</v>
      </c>
      <c r="G593">
        <v>0.49427520161085831</v>
      </c>
      <c r="H593">
        <v>8.2031883636209654E-2</v>
      </c>
      <c r="I593">
        <v>0.25363302351808215</v>
      </c>
      <c r="J593">
        <v>0.43275887735932911</v>
      </c>
      <c r="L593">
        <v>3.7175969301822698</v>
      </c>
      <c r="M593">
        <v>2.2181928692132433</v>
      </c>
      <c r="N593">
        <v>0.83976595777352869</v>
      </c>
      <c r="P593">
        <v>8.6344276887000362E-12</v>
      </c>
      <c r="R593">
        <v>6.5616354473090093</v>
      </c>
      <c r="S593">
        <v>6.5721137062563466</v>
      </c>
      <c r="T593">
        <v>1</v>
      </c>
      <c r="U593">
        <v>2.0863166120331988</v>
      </c>
      <c r="AN593" s="7"/>
    </row>
    <row r="594" spans="1:40">
      <c r="A594">
        <v>-1.2193831939516996E-2</v>
      </c>
      <c r="B594">
        <v>-1.3700055312585748</v>
      </c>
      <c r="C594">
        <v>0.60819001741837009</v>
      </c>
      <c r="D594">
        <v>-0.19251325318800294</v>
      </c>
      <c r="E594">
        <v>0.60993450040845199</v>
      </c>
      <c r="F594">
        <v>6.0225112286582269E-2</v>
      </c>
      <c r="G594">
        <v>0.49382195030135134</v>
      </c>
      <c r="H594">
        <v>0.4580119287203554</v>
      </c>
      <c r="I594">
        <v>4.8260876257036865E-2</v>
      </c>
      <c r="J594">
        <v>0.5299366276978924</v>
      </c>
      <c r="L594">
        <v>3.7175965651429528</v>
      </c>
      <c r="M594">
        <v>2.2181928902579577</v>
      </c>
      <c r="N594">
        <v>0.8397659027497214</v>
      </c>
      <c r="P594">
        <v>6.8947467383532089E-12</v>
      </c>
      <c r="R594">
        <v>6.5616354473090093</v>
      </c>
      <c r="S594">
        <v>6.5721137062563466</v>
      </c>
      <c r="T594">
        <v>1</v>
      </c>
      <c r="U594">
        <v>2.0863166120331988</v>
      </c>
      <c r="AN594" s="7"/>
    </row>
    <row r="595" spans="1:40">
      <c r="A595">
        <v>-3.6321260297513452E-2</v>
      </c>
      <c r="B595">
        <v>-1.3913460337285393</v>
      </c>
      <c r="C595">
        <v>0.58809291904906524</v>
      </c>
      <c r="D595">
        <v>-7.4206463111304979E-2</v>
      </c>
      <c r="E595">
        <v>-6.5080753517967924E-2</v>
      </c>
      <c r="F595">
        <v>0.49948641767139124</v>
      </c>
      <c r="G595">
        <v>0.64041837370906318</v>
      </c>
      <c r="H595">
        <v>0.12170366411780385</v>
      </c>
      <c r="I595">
        <v>0.65851662394632904</v>
      </c>
      <c r="J595">
        <v>0.33224621055075515</v>
      </c>
      <c r="L595">
        <v>3.7175966916827221</v>
      </c>
      <c r="M595">
        <v>2.2181929945817123</v>
      </c>
      <c r="N595">
        <v>0.83976584335176463</v>
      </c>
      <c r="P595">
        <v>7.2076570169720012E-12</v>
      </c>
      <c r="R595">
        <v>6.5616354473090093</v>
      </c>
      <c r="S595">
        <v>6.5721137062563466</v>
      </c>
      <c r="T595">
        <v>1</v>
      </c>
      <c r="U595">
        <v>2.0863166120331988</v>
      </c>
      <c r="AN595" s="7"/>
    </row>
    <row r="596" spans="1:40">
      <c r="A596">
        <v>-4.4080847755529215E-2</v>
      </c>
      <c r="B596">
        <v>-1.3985335018303613</v>
      </c>
      <c r="C596">
        <v>0.5595626827365362</v>
      </c>
      <c r="D596">
        <v>0.28386053085999663</v>
      </c>
      <c r="E596">
        <v>-0.55914456787872846</v>
      </c>
      <c r="F596">
        <v>-9.3467830703443028E-2</v>
      </c>
      <c r="G596">
        <v>0.12500116144856099</v>
      </c>
      <c r="H596">
        <v>0.40932647428482766</v>
      </c>
      <c r="I596">
        <v>0.82943452756525649</v>
      </c>
      <c r="J596">
        <v>1.5043491081231744E-2</v>
      </c>
      <c r="L596">
        <v>3.7175967289544936</v>
      </c>
      <c r="M596">
        <v>2.2181928453281539</v>
      </c>
      <c r="N596">
        <v>0.8397659951627654</v>
      </c>
      <c r="P596">
        <v>7.8907218428122944E-12</v>
      </c>
      <c r="R596">
        <v>6.5616354473090093</v>
      </c>
      <c r="S596">
        <v>6.5721137062563466</v>
      </c>
      <c r="T596">
        <v>1</v>
      </c>
      <c r="U596">
        <v>2.0863166120331988</v>
      </c>
      <c r="AN596" s="7" t="s">
        <v>162</v>
      </c>
    </row>
    <row r="597" spans="1:40">
      <c r="A597">
        <v>-2.6389901866883038E-2</v>
      </c>
      <c r="B597">
        <v>-1.3869295910113726</v>
      </c>
      <c r="C597">
        <v>0.58605273711173778</v>
      </c>
      <c r="D597">
        <v>0.63103875687771627</v>
      </c>
      <c r="E597">
        <v>-0.40965439044886054</v>
      </c>
      <c r="F597">
        <v>0.44418122100653223</v>
      </c>
      <c r="G597">
        <v>0.63675342871337204</v>
      </c>
      <c r="H597">
        <v>0.74409116349202298</v>
      </c>
      <c r="I597">
        <v>0.14220134788773528</v>
      </c>
      <c r="J597">
        <v>0.81324004062128874</v>
      </c>
      <c r="L597">
        <v>3.7175965405261278</v>
      </c>
      <c r="M597">
        <v>2.2181928835040039</v>
      </c>
      <c r="N597">
        <v>0.83976592435865571</v>
      </c>
      <c r="P597">
        <v>6.8775140662917917E-12</v>
      </c>
      <c r="R597">
        <v>6.5616354473090093</v>
      </c>
      <c r="S597">
        <v>6.5721137062563466</v>
      </c>
      <c r="T597">
        <v>1</v>
      </c>
      <c r="U597">
        <v>2.0863166120331988</v>
      </c>
      <c r="AN597" s="7"/>
    </row>
    <row r="598" spans="1:40">
      <c r="A598">
        <v>-2.4427051259389668E-2</v>
      </c>
      <c r="B598">
        <v>-1.3758149408384368</v>
      </c>
      <c r="C598">
        <v>0.58679045254884676</v>
      </c>
      <c r="D598">
        <v>-0.7810090967197314</v>
      </c>
      <c r="E598">
        <v>0.10792292446426575</v>
      </c>
      <c r="F598">
        <v>-8.0737459572510106E-2</v>
      </c>
      <c r="G598">
        <v>0.34879992566353707</v>
      </c>
      <c r="H598">
        <v>0.57821904436031013</v>
      </c>
      <c r="I598">
        <v>0.67488211728746839</v>
      </c>
      <c r="J598">
        <v>0.41956963419891224</v>
      </c>
      <c r="L598">
        <v>3.7175968935142887</v>
      </c>
      <c r="M598">
        <v>2.2181929110133076</v>
      </c>
      <c r="N598">
        <v>0.83976591473588225</v>
      </c>
      <c r="P598">
        <v>8.3137213850036043E-12</v>
      </c>
      <c r="R598">
        <v>6.5616354473090093</v>
      </c>
      <c r="S598">
        <v>6.5721137062563466</v>
      </c>
      <c r="T598">
        <v>1</v>
      </c>
      <c r="U598">
        <v>2.0863166120331988</v>
      </c>
      <c r="AN598" s="7"/>
    </row>
    <row r="599" spans="1:40">
      <c r="A599">
        <v>-2.5840448557938996E-2</v>
      </c>
      <c r="B599">
        <v>-1.3838234884207146</v>
      </c>
      <c r="C599">
        <v>0.58159757607265117</v>
      </c>
      <c r="D599">
        <v>0.53215104650045586</v>
      </c>
      <c r="E599">
        <v>0.35138356015271477</v>
      </c>
      <c r="F599">
        <v>-2.1343970648561618E-2</v>
      </c>
      <c r="G599">
        <v>0.45048525895942709</v>
      </c>
      <c r="H599">
        <v>0.9821616252750961</v>
      </c>
      <c r="I599">
        <v>0.71906882483373791</v>
      </c>
      <c r="J599">
        <v>0.56207242739089858</v>
      </c>
      <c r="L599">
        <v>3.7175968298482722</v>
      </c>
      <c r="M599">
        <v>2.2181928861889935</v>
      </c>
      <c r="N599">
        <v>0.83976594654040293</v>
      </c>
      <c r="P599">
        <v>8.1436286606003532E-12</v>
      </c>
      <c r="R599">
        <v>6.5616354473090093</v>
      </c>
      <c r="S599">
        <v>6.5721137062563466</v>
      </c>
      <c r="T599">
        <v>1</v>
      </c>
      <c r="U599">
        <v>2.0863166120331988</v>
      </c>
      <c r="AN599" s="7"/>
    </row>
    <row r="600" spans="1:40">
      <c r="A600">
        <v>-2.2563572097714622E-2</v>
      </c>
      <c r="B600">
        <v>-1.3776356119478963</v>
      </c>
      <c r="C600">
        <v>0.6040531120772461</v>
      </c>
      <c r="D600">
        <v>4.769102573264531E-2</v>
      </c>
      <c r="E600">
        <v>0.18093212086086413</v>
      </c>
      <c r="F600">
        <v>7.5680809994960213E-2</v>
      </c>
      <c r="G600">
        <v>0.64911826079455226</v>
      </c>
      <c r="H600">
        <v>0.59092823917646842</v>
      </c>
      <c r="I600">
        <v>0.25552547556920108</v>
      </c>
      <c r="J600">
        <v>0.29625778628141425</v>
      </c>
      <c r="L600">
        <v>3.7175970451607467</v>
      </c>
      <c r="M600">
        <v>2.2181928164556912</v>
      </c>
      <c r="N600">
        <v>0.83976599636820237</v>
      </c>
      <c r="P600">
        <v>9.3203306752695826E-12</v>
      </c>
      <c r="R600">
        <v>6.5616354473090093</v>
      </c>
      <c r="S600">
        <v>6.5721137062563466</v>
      </c>
      <c r="T600">
        <v>1</v>
      </c>
      <c r="U600">
        <v>2.0863166120331988</v>
      </c>
      <c r="AN600" s="7" t="s">
        <v>163</v>
      </c>
    </row>
    <row r="601" spans="1:40">
      <c r="A601">
        <v>2.4093353925694512E-2</v>
      </c>
      <c r="B601">
        <v>-1.2516157799734067</v>
      </c>
      <c r="C601">
        <v>0.70021035869888026</v>
      </c>
      <c r="D601">
        <v>3.8493519799480493E-2</v>
      </c>
      <c r="E601">
        <v>-0.48314270996047542</v>
      </c>
      <c r="F601">
        <v>-0.74147724437364759</v>
      </c>
      <c r="G601">
        <v>0.57006722400633936</v>
      </c>
      <c r="H601">
        <v>0.55649266340127646</v>
      </c>
      <c r="I601">
        <v>0.95407625859227019</v>
      </c>
      <c r="J601">
        <v>0</v>
      </c>
      <c r="L601">
        <v>2.3648247313257378</v>
      </c>
      <c r="M601">
        <v>2.2181926941186356</v>
      </c>
      <c r="N601">
        <v>0.83976179996157307</v>
      </c>
      <c r="P601">
        <v>1.0731523283381136E-11</v>
      </c>
      <c r="R601">
        <v>4.4240759180638625</v>
      </c>
      <c r="S601">
        <v>4.4300562065933597</v>
      </c>
      <c r="T601">
        <v>1</v>
      </c>
      <c r="U601">
        <v>2.3093855835084951</v>
      </c>
      <c r="AN601" s="7"/>
    </row>
    <row r="602" spans="1:40">
      <c r="A602">
        <v>3.2941743082882502E-2</v>
      </c>
      <c r="B602">
        <v>-1.254404854345869</v>
      </c>
      <c r="C602">
        <v>0.69065121180320921</v>
      </c>
      <c r="D602">
        <v>0.3797225916148716</v>
      </c>
      <c r="E602">
        <v>0.59520530107197622</v>
      </c>
      <c r="F602">
        <v>0.22573026339652341</v>
      </c>
      <c r="G602">
        <v>0</v>
      </c>
      <c r="H602">
        <v>0.99701961352442658</v>
      </c>
      <c r="I602">
        <v>0.71521045682574513</v>
      </c>
      <c r="J602">
        <v>0.72345587459319205</v>
      </c>
      <c r="L602">
        <v>2.3648232992373566</v>
      </c>
      <c r="M602">
        <v>2.21819393789076</v>
      </c>
      <c r="N602">
        <v>0.83976410603431217</v>
      </c>
      <c r="P602">
        <v>1.9218594674468044E-12</v>
      </c>
      <c r="R602">
        <v>4.4240759180638625</v>
      </c>
      <c r="S602">
        <v>4.4300562065933597</v>
      </c>
      <c r="T602">
        <v>1</v>
      </c>
      <c r="U602">
        <v>2.3093855835084951</v>
      </c>
      <c r="AN602" s="7"/>
    </row>
    <row r="603" spans="1:40">
      <c r="A603">
        <v>3.5313134004141877E-2</v>
      </c>
      <c r="B603">
        <v>-1.2696894870781006</v>
      </c>
      <c r="C603">
        <v>0.66900774105511818</v>
      </c>
      <c r="D603">
        <v>0.23863113809682515</v>
      </c>
      <c r="E603">
        <v>0.41698449028429085</v>
      </c>
      <c r="F603">
        <v>-0.76440672133004584</v>
      </c>
      <c r="G603">
        <v>7.4494550956372071E-2</v>
      </c>
      <c r="H603">
        <v>0.57254647053656194</v>
      </c>
      <c r="I603">
        <v>0.33985879535287733</v>
      </c>
      <c r="J603">
        <v>0.792240941813808</v>
      </c>
      <c r="L603">
        <v>2.3648236485895784</v>
      </c>
      <c r="M603">
        <v>2.218193747306215</v>
      </c>
      <c r="N603">
        <v>0.83976425225404838</v>
      </c>
      <c r="P603">
        <v>2.2971479635629354E-12</v>
      </c>
      <c r="R603">
        <v>4.4240759180638625</v>
      </c>
      <c r="S603">
        <v>4.4300562065933597</v>
      </c>
      <c r="T603">
        <v>1</v>
      </c>
      <c r="U603">
        <v>2.3093855835084951</v>
      </c>
      <c r="AN603" s="7"/>
    </row>
    <row r="604" spans="1:40">
      <c r="A604">
        <v>3.2128689133733006E-2</v>
      </c>
      <c r="B604">
        <v>-1.2605457869596406</v>
      </c>
      <c r="C604">
        <v>0.68487557383779862</v>
      </c>
      <c r="D604">
        <v>0.58265873942331414</v>
      </c>
      <c r="E604">
        <v>0.39901314063394078</v>
      </c>
      <c r="F604">
        <v>0.23085518355235771</v>
      </c>
      <c r="G604">
        <v>7.5320935494043909E-2</v>
      </c>
      <c r="H604">
        <v>0.85881071628030126</v>
      </c>
      <c r="I604">
        <v>0.54690663660467687</v>
      </c>
      <c r="J604">
        <v>0.87268241900503019</v>
      </c>
      <c r="L604">
        <v>2.364823725367601</v>
      </c>
      <c r="M604">
        <v>2.2181937821696365</v>
      </c>
      <c r="N604">
        <v>0.83976421339564067</v>
      </c>
      <c r="P604">
        <v>2.5451170928756379E-12</v>
      </c>
      <c r="R604">
        <v>4.4240759180638625</v>
      </c>
      <c r="S604">
        <v>4.4300562065933597</v>
      </c>
      <c r="T604">
        <v>1</v>
      </c>
      <c r="U604">
        <v>2.3093855835084951</v>
      </c>
      <c r="AN604" s="7" t="s">
        <v>164</v>
      </c>
    </row>
    <row r="605" spans="1:40">
      <c r="A605">
        <v>3.2295192130795049E-2</v>
      </c>
      <c r="B605">
        <v>-1.2610372700186874</v>
      </c>
      <c r="C605">
        <v>0.71385112282414087</v>
      </c>
      <c r="D605">
        <v>0.60034130283409715</v>
      </c>
      <c r="E605">
        <v>-6.9297044324523993E-2</v>
      </c>
      <c r="F605">
        <v>-0.25893162872727293</v>
      </c>
      <c r="G605">
        <v>0.87157177395445351</v>
      </c>
      <c r="H605">
        <v>0.71948108319124282</v>
      </c>
      <c r="I605">
        <v>5.5368138478501326E-2</v>
      </c>
      <c r="J605">
        <v>0.36768260733050839</v>
      </c>
      <c r="L605">
        <v>2.3648236882604174</v>
      </c>
      <c r="M605">
        <v>2.2181934405495483</v>
      </c>
      <c r="N605">
        <v>0.83976439100918476</v>
      </c>
      <c r="P605">
        <v>2.0019794813673068E-12</v>
      </c>
      <c r="R605">
        <v>4.4240759180638625</v>
      </c>
      <c r="S605">
        <v>4.4300562065933597</v>
      </c>
      <c r="T605">
        <v>1</v>
      </c>
      <c r="U605">
        <v>2.3093855835084951</v>
      </c>
      <c r="AN605" s="7"/>
    </row>
    <row r="606" spans="1:40">
      <c r="A606">
        <v>2.6975821606203355E-2</v>
      </c>
      <c r="B606">
        <v>-1.2517290905999381</v>
      </c>
      <c r="C606">
        <v>0.70231956701239195</v>
      </c>
      <c r="D606">
        <v>-0.15198544726525046</v>
      </c>
      <c r="E606">
        <v>-0.69991675337618464</v>
      </c>
      <c r="F606">
        <v>1.5943072954351701E-2</v>
      </c>
      <c r="G606">
        <v>0.32946678667985424</v>
      </c>
      <c r="H606">
        <v>0.20613321868105339</v>
      </c>
      <c r="I606">
        <v>0.36263888661785548</v>
      </c>
      <c r="J606">
        <v>0.30343008957033235</v>
      </c>
      <c r="L606">
        <v>2.3648236807298124</v>
      </c>
      <c r="M606">
        <v>2.2181937503261224</v>
      </c>
      <c r="N606">
        <v>0.8397642364366128</v>
      </c>
      <c r="P606">
        <v>2.3782458936269607E-12</v>
      </c>
      <c r="R606">
        <v>4.4240759180638625</v>
      </c>
      <c r="S606">
        <v>4.4300562065933597</v>
      </c>
      <c r="T606">
        <v>1</v>
      </c>
      <c r="U606">
        <v>2.3093855835084951</v>
      </c>
      <c r="AN606" s="7"/>
    </row>
    <row r="607" spans="1:40">
      <c r="A607">
        <v>3.2013009438484619E-2</v>
      </c>
      <c r="B607">
        <v>-1.2447154785780343</v>
      </c>
      <c r="C607">
        <v>0.71725893868606472</v>
      </c>
      <c r="D607">
        <v>0.24238982938255046</v>
      </c>
      <c r="E607">
        <v>-0.35475504422701531</v>
      </c>
      <c r="F607">
        <v>0.48835892607925036</v>
      </c>
      <c r="G607">
        <v>0.1676955937380101</v>
      </c>
      <c r="H607">
        <v>0.86175608519147817</v>
      </c>
      <c r="I607">
        <v>6.3456498617395746E-2</v>
      </c>
      <c r="J607">
        <v>0.26742260814970209</v>
      </c>
      <c r="L607">
        <v>2.3648232722981621</v>
      </c>
      <c r="M607">
        <v>2.2181940158170481</v>
      </c>
      <c r="N607">
        <v>0.839764026606167</v>
      </c>
      <c r="P607">
        <v>2.0580800314670176E-12</v>
      </c>
      <c r="R607">
        <v>4.4240759180638625</v>
      </c>
      <c r="S607">
        <v>4.4300562065933597</v>
      </c>
      <c r="T607">
        <v>1</v>
      </c>
      <c r="U607">
        <v>2.3093855835084951</v>
      </c>
      <c r="AN607" s="7"/>
    </row>
    <row r="608" spans="1:40">
      <c r="A608">
        <v>2.9606828198512364E-2</v>
      </c>
      <c r="B608">
        <v>-1.2481215553351992</v>
      </c>
      <c r="C608">
        <v>0.72072414905860005</v>
      </c>
      <c r="D608">
        <v>-0.18303184718651402</v>
      </c>
      <c r="E608">
        <v>0.15815194701875951</v>
      </c>
      <c r="F608">
        <v>8.7006748513621487E-2</v>
      </c>
      <c r="G608">
        <v>0.96328518334891244</v>
      </c>
      <c r="H608">
        <v>0.84818084585568609</v>
      </c>
      <c r="I608">
        <v>0.94089880585085928</v>
      </c>
      <c r="J608">
        <v>0.47209459190319575</v>
      </c>
      <c r="L608">
        <v>2.3648236219699759</v>
      </c>
      <c r="M608">
        <v>2.2181937356044084</v>
      </c>
      <c r="N608">
        <v>0.83976425162362689</v>
      </c>
      <c r="P608">
        <v>2.2119958407517462E-12</v>
      </c>
      <c r="R608">
        <v>4.4240759180638625</v>
      </c>
      <c r="S608">
        <v>4.4300562065933597</v>
      </c>
      <c r="T608">
        <v>1</v>
      </c>
      <c r="U608">
        <v>2.3093855835084951</v>
      </c>
      <c r="AN608" s="7" t="s">
        <v>165</v>
      </c>
    </row>
    <row r="609" spans="1:40">
      <c r="A609">
        <v>2.7084609366157735E-2</v>
      </c>
      <c r="B609">
        <v>-1.2555081691573871</v>
      </c>
      <c r="C609">
        <v>0.70685844142798171</v>
      </c>
      <c r="D609">
        <v>0.16485845029204294</v>
      </c>
      <c r="E609">
        <v>3.3778252442512043E-2</v>
      </c>
      <c r="F609">
        <v>-0.45155568100684507</v>
      </c>
      <c r="G609">
        <v>0.7480989867700546</v>
      </c>
      <c r="H609">
        <v>0.52037036483049193</v>
      </c>
      <c r="I609">
        <v>0.83818298461270602</v>
      </c>
      <c r="J609">
        <v>0.20582019238570085</v>
      </c>
      <c r="L609">
        <v>2.3648234788810001</v>
      </c>
      <c r="M609">
        <v>2.2181937571767558</v>
      </c>
      <c r="N609">
        <v>0.83976424963340901</v>
      </c>
      <c r="P609">
        <v>1.9278175821757074E-12</v>
      </c>
      <c r="R609">
        <v>4.4240759180638625</v>
      </c>
      <c r="S609">
        <v>4.4300562065933597</v>
      </c>
      <c r="T609">
        <v>1</v>
      </c>
      <c r="U609">
        <v>2.3093855835084951</v>
      </c>
      <c r="AN609" s="7"/>
    </row>
    <row r="610" spans="1:40">
      <c r="A610">
        <v>2.9845029647429484E-2</v>
      </c>
      <c r="B610">
        <v>-1.2527234339450741</v>
      </c>
      <c r="C610">
        <v>0.72446242369945191</v>
      </c>
      <c r="D610">
        <v>0.42516592814942816</v>
      </c>
      <c r="E610">
        <v>0.42302109036374647</v>
      </c>
      <c r="F610">
        <v>-0.1074937744981227</v>
      </c>
      <c r="G610">
        <v>0.89643298438098329</v>
      </c>
      <c r="H610">
        <v>0.74921765214877711</v>
      </c>
      <c r="I610">
        <v>0.66756062092027157</v>
      </c>
      <c r="J610">
        <v>0.13994650840688735</v>
      </c>
      <c r="L610">
        <v>2.3648232984146498</v>
      </c>
      <c r="M610">
        <v>2.21819396343155</v>
      </c>
      <c r="N610">
        <v>0.83976408413368264</v>
      </c>
      <c r="P610">
        <v>1.9772049397887422E-12</v>
      </c>
      <c r="R610">
        <v>4.4240759180638625</v>
      </c>
      <c r="S610">
        <v>4.4300562065933597</v>
      </c>
      <c r="T610">
        <v>1</v>
      </c>
      <c r="U610">
        <v>2.3093855835084951</v>
      </c>
      <c r="AN610" s="7"/>
    </row>
    <row r="611" spans="1:40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  <c r="AN611" s="7"/>
    </row>
    <row r="612" spans="1:40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  <c r="AN612" s="7" t="s">
        <v>166</v>
      </c>
    </row>
    <row r="613" spans="1:40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  <c r="AN613" s="7"/>
    </row>
    <row r="614" spans="1:40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  <c r="AN614" s="7"/>
    </row>
    <row r="615" spans="1:40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  <c r="AN615" s="7"/>
    </row>
    <row r="616" spans="1:40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  <c r="AN616" s="7" t="s">
        <v>167</v>
      </c>
    </row>
    <row r="617" spans="1:40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  <c r="AN617" s="7"/>
    </row>
    <row r="618" spans="1:40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  <c r="AN618" s="7"/>
    </row>
    <row r="619" spans="1:40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  <c r="AN619" s="7"/>
    </row>
    <row r="620" spans="1:40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  <c r="AN620" s="7" t="s">
        <v>168</v>
      </c>
    </row>
    <row r="621" spans="1:40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  <c r="AN621" s="7"/>
    </row>
    <row r="622" spans="1:40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  <c r="AN622" s="7"/>
    </row>
    <row r="623" spans="1:40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  <c r="AN623" s="7"/>
    </row>
    <row r="624" spans="1:40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  <c r="AN624" s="7" t="s">
        <v>169</v>
      </c>
    </row>
    <row r="625" spans="1:40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  <c r="AN625" s="7"/>
    </row>
    <row r="626" spans="1:40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  <c r="AN626" s="7"/>
    </row>
    <row r="627" spans="1:40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  <c r="AN627" s="7"/>
    </row>
    <row r="628" spans="1:40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  <c r="AN628" s="7" t="s">
        <v>170</v>
      </c>
    </row>
    <row r="629" spans="1:40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  <c r="AN629" s="7"/>
    </row>
    <row r="630" spans="1:40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  <c r="AN630" s="7"/>
    </row>
    <row r="631" spans="1:40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  <c r="AN631" s="7"/>
    </row>
    <row r="632" spans="1:40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  <c r="AN632" s="7" t="s">
        <v>171</v>
      </c>
    </row>
    <row r="633" spans="1:40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  <c r="AN633" s="7"/>
    </row>
    <row r="634" spans="1:40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  <c r="AN634" s="7"/>
    </row>
    <row r="635" spans="1:40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  <c r="AN635" s="7"/>
    </row>
    <row r="636" spans="1:40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  <c r="AN636" s="7" t="s">
        <v>172</v>
      </c>
    </row>
    <row r="637" spans="1:40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  <c r="AN637" s="7"/>
    </row>
    <row r="638" spans="1:40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  <c r="AN638" s="7"/>
    </row>
    <row r="639" spans="1:40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  <c r="AN639" s="7"/>
    </row>
    <row r="640" spans="1:40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  <c r="AN640" s="7" t="s">
        <v>173</v>
      </c>
    </row>
    <row r="641" spans="1:40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  <c r="AN641" s="7"/>
    </row>
    <row r="642" spans="1:40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  <c r="AN642" s="7"/>
    </row>
    <row r="643" spans="1:40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  <c r="AN643" s="7"/>
    </row>
    <row r="644" spans="1:40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  <c r="AN644" s="7" t="s">
        <v>174</v>
      </c>
    </row>
    <row r="645" spans="1:40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  <c r="AN645" s="7"/>
    </row>
    <row r="646" spans="1:40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  <c r="AN646" s="7"/>
    </row>
    <row r="647" spans="1:40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  <c r="AN647" s="7"/>
    </row>
    <row r="648" spans="1:40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  <c r="AN648" s="7" t="s">
        <v>175</v>
      </c>
    </row>
    <row r="649" spans="1:40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  <c r="AN649" s="7"/>
    </row>
    <row r="650" spans="1:40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  <c r="AN650" s="7"/>
    </row>
    <row r="651" spans="1:40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  <c r="AN651" s="7"/>
    </row>
    <row r="652" spans="1:40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  <c r="AN652" s="7" t="s">
        <v>176</v>
      </c>
    </row>
    <row r="653" spans="1:40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  <c r="AN653" s="7"/>
    </row>
    <row r="654" spans="1:40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  <c r="AN654" s="7"/>
    </row>
    <row r="655" spans="1:40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  <c r="AN655" s="7"/>
    </row>
    <row r="656" spans="1:40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  <c r="AN656" s="7" t="s">
        <v>177</v>
      </c>
    </row>
    <row r="657" spans="1:40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  <c r="AN657" s="7"/>
    </row>
    <row r="658" spans="1:40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  <c r="AN658" s="7"/>
    </row>
    <row r="659" spans="1:40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  <c r="AN659" s="7"/>
    </row>
    <row r="660" spans="1:40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  <c r="AN660" s="7" t="s">
        <v>178</v>
      </c>
    </row>
    <row r="661" spans="1:40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  <c r="AN661" s="7"/>
    </row>
    <row r="662" spans="1:40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  <c r="AN662" s="7"/>
    </row>
    <row r="663" spans="1:40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  <c r="AN663" s="7"/>
    </row>
    <row r="664" spans="1:40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  <c r="AN664" s="7" t="s">
        <v>179</v>
      </c>
    </row>
    <row r="665" spans="1:40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  <c r="AN665" s="7"/>
    </row>
    <row r="666" spans="1:40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  <c r="AN666" s="7"/>
    </row>
    <row r="667" spans="1:40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  <c r="AN667" s="7"/>
    </row>
    <row r="668" spans="1:40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  <c r="AN668" s="7" t="s">
        <v>180</v>
      </c>
    </row>
    <row r="669" spans="1:40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  <c r="AN669" s="7"/>
    </row>
    <row r="670" spans="1:40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  <c r="AN670" s="7"/>
    </row>
    <row r="671" spans="1:40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  <c r="AN671" s="7"/>
    </row>
    <row r="672" spans="1:40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  <c r="AN672" s="7" t="s">
        <v>181</v>
      </c>
    </row>
    <row r="673" spans="1:40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  <c r="AN673" s="7"/>
    </row>
    <row r="674" spans="1:40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  <c r="AN674" s="7"/>
    </row>
    <row r="675" spans="1:40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  <c r="AN675" s="7"/>
    </row>
    <row r="676" spans="1:40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  <c r="AN676" s="7" t="s">
        <v>182</v>
      </c>
    </row>
    <row r="677" spans="1:40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  <c r="AN677" s="7"/>
    </row>
    <row r="678" spans="1:40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  <c r="AN678" s="7"/>
    </row>
    <row r="679" spans="1:40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  <c r="AN679" s="7"/>
    </row>
    <row r="680" spans="1:40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  <c r="AN680" s="7" t="s">
        <v>183</v>
      </c>
    </row>
    <row r="681" spans="1:40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  <c r="AN681" s="7"/>
    </row>
    <row r="682" spans="1:40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  <c r="AN682" s="7"/>
    </row>
    <row r="683" spans="1:40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  <c r="AN683" s="7"/>
    </row>
    <row r="684" spans="1:40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  <c r="AN684" s="7" t="s">
        <v>184</v>
      </c>
    </row>
    <row r="685" spans="1:40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  <c r="AN685" s="7"/>
    </row>
    <row r="686" spans="1:40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  <c r="AN686" s="7"/>
    </row>
    <row r="687" spans="1:40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  <c r="AN687" s="7"/>
    </row>
    <row r="688" spans="1:40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  <c r="AN688" s="7" t="s">
        <v>185</v>
      </c>
    </row>
    <row r="689" spans="1:40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  <c r="AN689" s="7"/>
    </row>
    <row r="690" spans="1:40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  <c r="AN690" s="7"/>
    </row>
    <row r="691" spans="1:40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  <c r="AN691" s="7"/>
    </row>
    <row r="692" spans="1:40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  <c r="AN692" s="7" t="s">
        <v>186</v>
      </c>
    </row>
    <row r="693" spans="1:40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  <c r="AN693" s="7"/>
    </row>
    <row r="694" spans="1:40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  <c r="AN694" s="7"/>
    </row>
    <row r="695" spans="1:40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  <c r="AN695" s="7"/>
    </row>
    <row r="696" spans="1:40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  <c r="AN696" s="7" t="s">
        <v>187</v>
      </c>
    </row>
    <row r="697" spans="1:40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  <c r="AN697" s="7"/>
    </row>
    <row r="698" spans="1:40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  <c r="AN698" s="7"/>
    </row>
    <row r="699" spans="1:40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  <c r="AN699" s="7"/>
    </row>
    <row r="700" spans="1:40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  <c r="AN700" s="7" t="s">
        <v>188</v>
      </c>
    </row>
    <row r="701" spans="1:40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  <c r="AN701" s="7"/>
    </row>
    <row r="702" spans="1:40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  <c r="AN702" s="7"/>
    </row>
    <row r="703" spans="1:40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  <c r="AN703" s="7"/>
    </row>
    <row r="704" spans="1:40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  <c r="AN704" s="7" t="s">
        <v>189</v>
      </c>
    </row>
    <row r="705" spans="1:40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  <c r="AN705" s="7"/>
    </row>
    <row r="706" spans="1:40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  <c r="AN706" s="7"/>
    </row>
    <row r="707" spans="1:40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  <c r="AN707" s="7"/>
    </row>
    <row r="708" spans="1:40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  <c r="AN708" s="7" t="s">
        <v>190</v>
      </c>
    </row>
    <row r="709" spans="1:40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  <c r="AN709" s="7"/>
    </row>
    <row r="710" spans="1:40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  <c r="AN710" s="7"/>
    </row>
    <row r="711" spans="1:40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  <c r="AN711" s="7"/>
    </row>
    <row r="712" spans="1:40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  <c r="AN712" s="7" t="s">
        <v>191</v>
      </c>
    </row>
    <row r="713" spans="1:40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  <c r="AN713" s="7"/>
    </row>
    <row r="714" spans="1:40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  <c r="AN714" s="7"/>
    </row>
    <row r="715" spans="1:40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  <c r="AN715" s="7"/>
    </row>
    <row r="716" spans="1:40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  <c r="AN716" s="7" t="s">
        <v>192</v>
      </c>
    </row>
    <row r="717" spans="1:40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  <c r="AN717" s="7"/>
    </row>
    <row r="718" spans="1:40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  <c r="AN718" s="7"/>
    </row>
    <row r="719" spans="1:40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  <c r="AN719" s="7"/>
    </row>
    <row r="720" spans="1:40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  <c r="AN720" s="7" t="s">
        <v>193</v>
      </c>
    </row>
    <row r="721" spans="1:40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  <c r="AN721" s="7"/>
    </row>
    <row r="722" spans="1:40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  <c r="AN722" s="7"/>
    </row>
    <row r="723" spans="1:40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  <c r="AN723" s="7"/>
    </row>
    <row r="724" spans="1:40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  <c r="AN724" s="7" t="s">
        <v>194</v>
      </c>
    </row>
    <row r="725" spans="1:40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  <c r="AN725" s="7"/>
    </row>
    <row r="726" spans="1:40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  <c r="AN726" s="7"/>
    </row>
    <row r="727" spans="1:40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  <c r="AN727" s="7"/>
    </row>
    <row r="728" spans="1:40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  <c r="AN728" s="7" t="s">
        <v>195</v>
      </c>
    </row>
    <row r="729" spans="1:40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  <c r="AN729" s="7"/>
    </row>
    <row r="730" spans="1:40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  <c r="AN730" s="7"/>
    </row>
    <row r="731" spans="1:40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  <c r="AN731" s="7"/>
    </row>
    <row r="732" spans="1:40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  <c r="AN732" s="7" t="s">
        <v>196</v>
      </c>
    </row>
    <row r="733" spans="1:40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  <c r="AN733" s="7"/>
    </row>
    <row r="734" spans="1:40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  <c r="AN734" s="7"/>
    </row>
    <row r="735" spans="1:40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  <c r="AN735" s="7"/>
    </row>
    <row r="736" spans="1:40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  <c r="AN736" s="7" t="s">
        <v>197</v>
      </c>
    </row>
    <row r="737" spans="1:40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  <c r="AN737" s="7"/>
    </row>
    <row r="738" spans="1:40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  <c r="AN738" s="7"/>
    </row>
    <row r="739" spans="1:40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  <c r="AN739" s="7"/>
    </row>
    <row r="740" spans="1:40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  <c r="AN740" s="7" t="s">
        <v>198</v>
      </c>
    </row>
    <row r="741" spans="1:40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  <c r="AN741" s="7"/>
    </row>
    <row r="742" spans="1:40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  <c r="AN742" s="7"/>
    </row>
    <row r="743" spans="1:40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  <c r="AN743" s="7"/>
    </row>
    <row r="744" spans="1:40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  <c r="AN744" s="7" t="s">
        <v>199</v>
      </c>
    </row>
    <row r="745" spans="1:40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  <c r="AN745" s="7"/>
    </row>
    <row r="746" spans="1:40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  <c r="AN746" s="7"/>
    </row>
    <row r="747" spans="1:40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  <c r="AN747" s="7"/>
    </row>
    <row r="748" spans="1:40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  <c r="AN748" s="7" t="s">
        <v>200</v>
      </c>
    </row>
    <row r="749" spans="1:40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  <c r="AN749" s="7"/>
    </row>
    <row r="750" spans="1:40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  <c r="AN750" s="7"/>
    </row>
    <row r="751" spans="1:40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  <c r="AN751" s="7"/>
    </row>
    <row r="752" spans="1:40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  <c r="AN752" s="7" t="s">
        <v>201</v>
      </c>
    </row>
    <row r="753" spans="1:40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  <c r="AN753" s="7"/>
    </row>
    <row r="754" spans="1:40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  <c r="AN754" s="7"/>
    </row>
    <row r="755" spans="1:40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  <c r="AN755" s="7"/>
    </row>
    <row r="756" spans="1:40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  <c r="AN756" s="7" t="s">
        <v>202</v>
      </c>
    </row>
    <row r="757" spans="1:40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  <c r="AN757" s="7"/>
    </row>
    <row r="758" spans="1:40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  <c r="AN758" s="7"/>
    </row>
    <row r="759" spans="1:40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  <c r="AN759" s="7"/>
    </row>
    <row r="760" spans="1:40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  <c r="AN760" s="7" t="s">
        <v>203</v>
      </c>
    </row>
    <row r="761" spans="1:40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  <c r="AN761" s="7"/>
    </row>
    <row r="762" spans="1:40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  <c r="AN762" s="7"/>
    </row>
    <row r="763" spans="1:40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  <c r="AN763" s="7"/>
    </row>
    <row r="764" spans="1:40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  <c r="AN764" s="7" t="s">
        <v>204</v>
      </c>
    </row>
    <row r="765" spans="1:40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  <c r="AN765" s="7"/>
    </row>
    <row r="766" spans="1:40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  <c r="AN766" s="7"/>
    </row>
    <row r="767" spans="1:40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  <c r="AN767" s="7"/>
    </row>
    <row r="768" spans="1:40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  <c r="AN768" s="7" t="s">
        <v>205</v>
      </c>
    </row>
    <row r="769" spans="1:40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  <c r="AN769" s="7"/>
    </row>
    <row r="770" spans="1:40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  <c r="AN770" s="7"/>
    </row>
    <row r="771" spans="1:40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  <c r="AN771" s="7"/>
    </row>
    <row r="772" spans="1:40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  <c r="AN772" s="7" t="s">
        <v>206</v>
      </c>
    </row>
    <row r="773" spans="1:40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  <c r="AN773" s="7"/>
    </row>
    <row r="774" spans="1:40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  <c r="AN774" s="7"/>
    </row>
    <row r="775" spans="1:40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  <c r="AN775" s="7"/>
    </row>
    <row r="776" spans="1:40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  <c r="AN776" s="7" t="s">
        <v>207</v>
      </c>
    </row>
    <row r="777" spans="1:40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  <c r="AN777" s="7"/>
    </row>
    <row r="778" spans="1:40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  <c r="AN778" s="7"/>
    </row>
    <row r="779" spans="1:40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  <c r="AN779" s="7"/>
    </row>
    <row r="780" spans="1:40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  <c r="AN780" s="7" t="s">
        <v>208</v>
      </c>
    </row>
    <row r="781" spans="1:40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  <c r="AN781" s="7"/>
    </row>
    <row r="782" spans="1:40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  <c r="AN782" s="7"/>
    </row>
    <row r="783" spans="1:40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  <c r="AN783" s="7"/>
    </row>
    <row r="784" spans="1:40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  <c r="AN784" s="7" t="s">
        <v>209</v>
      </c>
    </row>
    <row r="785" spans="1:40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  <c r="AN785" s="7"/>
    </row>
    <row r="786" spans="1:40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  <c r="AN786" s="7"/>
    </row>
    <row r="787" spans="1:40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  <c r="AN787" s="7"/>
    </row>
    <row r="788" spans="1:40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  <c r="AN788" s="7" t="s">
        <v>210</v>
      </c>
    </row>
    <row r="789" spans="1:40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  <c r="AN789" s="7"/>
    </row>
    <row r="790" spans="1:40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  <c r="AN790" s="7"/>
    </row>
    <row r="791" spans="1:40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  <c r="AN791" s="7"/>
    </row>
    <row r="792" spans="1:40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  <c r="AN792" s="7" t="s">
        <v>211</v>
      </c>
    </row>
    <row r="793" spans="1:40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  <c r="AN793" s="7"/>
    </row>
    <row r="794" spans="1:40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  <c r="AN794" s="7"/>
    </row>
    <row r="795" spans="1:40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  <c r="AN795" s="7"/>
    </row>
    <row r="796" spans="1:40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  <c r="AN796" s="7" t="s">
        <v>212</v>
      </c>
    </row>
    <row r="797" spans="1:40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  <c r="AN797" s="7"/>
    </row>
    <row r="798" spans="1:40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  <c r="AN798" s="7"/>
    </row>
    <row r="799" spans="1:40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  <c r="AN799" s="7"/>
    </row>
    <row r="800" spans="1:40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  <c r="AN800" s="7" t="s">
        <v>213</v>
      </c>
    </row>
    <row r="801" spans="1:40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  <c r="AN801" s="7"/>
    </row>
    <row r="802" spans="1:40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  <c r="AN802" s="7"/>
    </row>
    <row r="803" spans="1:40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  <c r="AN803" s="7"/>
    </row>
    <row r="804" spans="1:40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  <c r="AN804" s="7" t="s">
        <v>214</v>
      </c>
    </row>
    <row r="805" spans="1:40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  <c r="AN805" s="7"/>
    </row>
    <row r="806" spans="1:40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  <c r="AN806" s="7"/>
    </row>
    <row r="807" spans="1:40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  <c r="AN807" s="7"/>
    </row>
    <row r="808" spans="1:40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  <c r="AN808" s="7" t="s">
        <v>215</v>
      </c>
    </row>
    <row r="809" spans="1:40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  <c r="AN809" s="7"/>
    </row>
    <row r="810" spans="1:40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  <c r="AN810" s="7"/>
    </row>
    <row r="811" spans="1:40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  <c r="AN811" s="7"/>
    </row>
    <row r="812" spans="1:40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  <c r="AN812" s="7" t="s">
        <v>216</v>
      </c>
    </row>
    <row r="813" spans="1:40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  <c r="AN813" s="7"/>
    </row>
    <row r="814" spans="1:40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  <c r="AN814" s="7"/>
    </row>
    <row r="815" spans="1:40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  <c r="AN815" s="7"/>
    </row>
    <row r="816" spans="1:40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  <c r="AN816" s="7" t="s">
        <v>217</v>
      </c>
    </row>
    <row r="817" spans="1:40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  <c r="AN817" s="7"/>
    </row>
    <row r="818" spans="1:40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  <c r="AN818" s="7"/>
    </row>
    <row r="819" spans="1:40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  <c r="AN819" s="7"/>
    </row>
    <row r="820" spans="1:40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  <c r="AN820" s="7" t="s">
        <v>218</v>
      </c>
    </row>
    <row r="821" spans="1:40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  <c r="AN821" s="7"/>
    </row>
    <row r="822" spans="1:40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  <c r="AN822" s="7"/>
    </row>
    <row r="823" spans="1:40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  <c r="AN823" s="7"/>
    </row>
    <row r="824" spans="1:40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  <c r="AN824" s="7" t="s">
        <v>219</v>
      </c>
    </row>
    <row r="825" spans="1:40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  <c r="AN825" s="7"/>
    </row>
    <row r="826" spans="1:40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  <c r="AN826" s="7"/>
    </row>
    <row r="827" spans="1:40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  <c r="AN827" s="7"/>
    </row>
    <row r="828" spans="1:40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  <c r="AN828" s="7" t="s">
        <v>220</v>
      </c>
    </row>
    <row r="829" spans="1:40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  <c r="AN829" s="7"/>
    </row>
    <row r="830" spans="1:40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  <c r="AN830" s="7"/>
    </row>
    <row r="831" spans="1:40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  <c r="AN831" s="7"/>
    </row>
    <row r="832" spans="1:40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  <c r="AN832" s="7" t="s">
        <v>221</v>
      </c>
    </row>
    <row r="833" spans="1:40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  <c r="AN833" s="7"/>
    </row>
    <row r="834" spans="1:40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  <c r="AN834" s="7"/>
    </row>
    <row r="835" spans="1:40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  <c r="AN835" s="7"/>
    </row>
    <row r="836" spans="1:40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  <c r="AN836" s="7" t="s">
        <v>222</v>
      </c>
    </row>
    <row r="837" spans="1:40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  <c r="AN837" s="7"/>
    </row>
    <row r="838" spans="1:40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  <c r="AN838" s="7"/>
    </row>
    <row r="839" spans="1:40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  <c r="AN839" s="7"/>
    </row>
    <row r="840" spans="1:40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  <c r="AN840" s="7" t="s">
        <v>223</v>
      </c>
    </row>
    <row r="841" spans="1:40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  <c r="AN841" s="7"/>
    </row>
    <row r="842" spans="1:40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  <c r="AN842" s="7"/>
    </row>
    <row r="843" spans="1:40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  <c r="AN843" s="7"/>
    </row>
    <row r="844" spans="1:40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  <c r="AN844" s="7" t="s">
        <v>224</v>
      </c>
    </row>
    <row r="845" spans="1:40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  <c r="AN845" s="7"/>
    </row>
    <row r="846" spans="1:40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  <c r="AN846" s="7"/>
    </row>
    <row r="847" spans="1:40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  <c r="AN847" s="7"/>
    </row>
    <row r="848" spans="1:40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  <c r="AN848" s="7" t="s">
        <v>225</v>
      </c>
    </row>
    <row r="849" spans="1:40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  <c r="AN849" s="7"/>
    </row>
    <row r="850" spans="1:40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  <c r="AN850" s="7"/>
    </row>
    <row r="851" spans="1:40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  <c r="AN851" s="7"/>
    </row>
    <row r="852" spans="1:40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  <c r="AN852" s="7" t="s">
        <v>226</v>
      </c>
    </row>
    <row r="853" spans="1:40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  <c r="AN853" s="7"/>
    </row>
    <row r="854" spans="1:40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  <c r="AN854" s="7"/>
    </row>
    <row r="855" spans="1:40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  <c r="AN855" s="7"/>
    </row>
    <row r="856" spans="1:40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  <c r="AN856" s="7" t="s">
        <v>227</v>
      </c>
    </row>
    <row r="857" spans="1:40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  <c r="AN857" s="7"/>
    </row>
    <row r="858" spans="1:40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  <c r="AN858" s="7"/>
    </row>
    <row r="859" spans="1:40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  <c r="AN859" s="7"/>
    </row>
    <row r="860" spans="1:40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  <c r="AN860" s="7" t="s">
        <v>228</v>
      </c>
    </row>
    <row r="861" spans="1:40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  <c r="AN861" s="7"/>
    </row>
    <row r="862" spans="1:40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  <c r="AN862" s="7"/>
    </row>
    <row r="863" spans="1:40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  <c r="AN863" s="7"/>
    </row>
    <row r="864" spans="1:40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  <c r="AN864" s="7" t="s">
        <v>229</v>
      </c>
    </row>
    <row r="865" spans="1:40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  <c r="AN865" s="7"/>
    </row>
    <row r="866" spans="1:40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  <c r="AN866" s="7"/>
    </row>
    <row r="867" spans="1:40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  <c r="AN867" s="7"/>
    </row>
    <row r="868" spans="1:40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  <c r="AN868" s="7" t="s">
        <v>230</v>
      </c>
    </row>
    <row r="869" spans="1:40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  <c r="AN869" s="7"/>
    </row>
    <row r="870" spans="1:40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  <c r="AN870" s="7"/>
    </row>
    <row r="871" spans="1:40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  <c r="AN871" s="7"/>
    </row>
    <row r="872" spans="1:40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  <c r="AN872" s="7" t="s">
        <v>231</v>
      </c>
    </row>
    <row r="873" spans="1:40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  <c r="AN873" s="7"/>
    </row>
    <row r="874" spans="1:40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  <c r="AN874" s="7"/>
    </row>
    <row r="875" spans="1:40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  <c r="AN875" s="7"/>
    </row>
    <row r="876" spans="1:40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  <c r="AN876" s="7" t="s">
        <v>232</v>
      </c>
    </row>
    <row r="877" spans="1:40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  <c r="AN877" s="7"/>
    </row>
    <row r="878" spans="1:40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  <c r="AN878" s="7"/>
    </row>
    <row r="879" spans="1:40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  <c r="AN879" s="7"/>
    </row>
    <row r="880" spans="1:40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  <c r="AN880" s="7" t="s">
        <v>233</v>
      </c>
    </row>
    <row r="881" spans="1:40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  <c r="AN881" s="7"/>
    </row>
    <row r="882" spans="1:40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  <c r="AN882" s="7"/>
    </row>
    <row r="883" spans="1:40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  <c r="AN883" s="7"/>
    </row>
    <row r="884" spans="1:40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  <c r="AN884" s="7" t="s">
        <v>234</v>
      </c>
    </row>
    <row r="885" spans="1:40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  <c r="AN885" s="7"/>
    </row>
    <row r="886" spans="1:40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  <c r="AN886" s="7"/>
    </row>
    <row r="887" spans="1:40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  <c r="AN887" s="7"/>
    </row>
    <row r="888" spans="1:40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  <c r="AN888" s="7" t="s">
        <v>235</v>
      </c>
    </row>
    <row r="889" spans="1:40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  <c r="AN889" s="7"/>
    </row>
    <row r="890" spans="1:40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  <c r="AN890" s="7"/>
    </row>
    <row r="891" spans="1:40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  <c r="AN891" s="7"/>
    </row>
    <row r="892" spans="1:40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  <c r="AN892" s="7" t="s">
        <v>236</v>
      </c>
    </row>
    <row r="893" spans="1:40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  <c r="AN893" s="7"/>
    </row>
    <row r="894" spans="1:40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  <c r="AN894" s="7"/>
    </row>
    <row r="895" spans="1:40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  <c r="AN895" s="7"/>
    </row>
    <row r="896" spans="1:40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  <c r="AN896" s="7" t="s">
        <v>237</v>
      </c>
    </row>
    <row r="897" spans="1:40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  <c r="AN897" s="7"/>
    </row>
    <row r="898" spans="1:40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  <c r="AN898" s="7"/>
    </row>
    <row r="899" spans="1:40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  <c r="AN899" s="7"/>
    </row>
    <row r="900" spans="1:40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  <c r="AN900" s="7" t="s">
        <v>238</v>
      </c>
    </row>
    <row r="901" spans="1:40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  <c r="AN901" s="7"/>
    </row>
    <row r="902" spans="1:40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  <c r="AN902" s="7"/>
    </row>
    <row r="903" spans="1:40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  <c r="AN903" s="7"/>
    </row>
    <row r="904" spans="1:40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  <c r="AN904" s="7" t="s">
        <v>239</v>
      </c>
    </row>
    <row r="905" spans="1:40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  <c r="AN905" s="7"/>
    </row>
    <row r="906" spans="1:40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  <c r="AN906" s="7"/>
    </row>
    <row r="907" spans="1:40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  <c r="AN907" s="7"/>
    </row>
    <row r="908" spans="1:40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  <c r="AN908" s="7" t="s">
        <v>240</v>
      </c>
    </row>
    <row r="909" spans="1:40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  <c r="AN909" s="7"/>
    </row>
    <row r="910" spans="1:40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  <c r="AN910" s="7"/>
    </row>
    <row r="911" spans="1:40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  <c r="AN911" s="7"/>
    </row>
    <row r="912" spans="1:40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  <c r="AN912" s="7" t="s">
        <v>241</v>
      </c>
    </row>
    <row r="913" spans="1:40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  <c r="AN913" s="7"/>
    </row>
    <row r="914" spans="1:40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  <c r="AN914" s="7"/>
    </row>
    <row r="915" spans="1:40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  <c r="AN915" s="7"/>
    </row>
    <row r="916" spans="1:40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  <c r="AN916" s="7" t="s">
        <v>242</v>
      </c>
    </row>
    <row r="917" spans="1:40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  <c r="AN917" s="7"/>
    </row>
    <row r="918" spans="1:40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  <c r="AN918" s="7"/>
    </row>
    <row r="919" spans="1:40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  <c r="AN919" s="7"/>
    </row>
    <row r="920" spans="1:40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  <c r="AN920" s="7" t="s">
        <v>243</v>
      </c>
    </row>
    <row r="921" spans="1:40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  <c r="AN921" s="7"/>
    </row>
    <row r="922" spans="1:40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  <c r="AN922" s="7"/>
    </row>
    <row r="923" spans="1:40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  <c r="AN923" s="7"/>
    </row>
    <row r="924" spans="1:40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  <c r="AN924" s="7" t="s">
        <v>244</v>
      </c>
    </row>
    <row r="925" spans="1:40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  <c r="AN925" s="7"/>
    </row>
    <row r="926" spans="1:40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  <c r="AN926" s="7"/>
    </row>
    <row r="927" spans="1:40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  <c r="AN927" s="7"/>
    </row>
    <row r="928" spans="1:40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  <c r="AN928" s="7" t="s">
        <v>245</v>
      </c>
    </row>
    <row r="929" spans="1:40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  <c r="AN929" s="7"/>
    </row>
    <row r="930" spans="1:40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  <c r="AN930" s="7"/>
    </row>
    <row r="931" spans="1:40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  <c r="AN931" s="7"/>
    </row>
    <row r="932" spans="1:40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  <c r="AN932" s="7" t="s">
        <v>246</v>
      </c>
    </row>
    <row r="933" spans="1:40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  <c r="AN933" s="7"/>
    </row>
    <row r="934" spans="1:40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  <c r="AN934" s="7"/>
    </row>
    <row r="935" spans="1:40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  <c r="AN935" s="7"/>
    </row>
    <row r="936" spans="1:40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  <c r="AN936" s="7" t="s">
        <v>247</v>
      </c>
    </row>
    <row r="937" spans="1:40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  <c r="AN937" s="7"/>
    </row>
    <row r="938" spans="1:40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  <c r="AN938" s="7"/>
    </row>
    <row r="939" spans="1:40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  <c r="AN939" s="7"/>
    </row>
    <row r="940" spans="1:40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  <c r="AN940" s="7" t="s">
        <v>248</v>
      </c>
    </row>
    <row r="941" spans="1:40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  <c r="AN941" s="7"/>
    </row>
    <row r="942" spans="1:40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  <c r="AN942" s="7"/>
    </row>
    <row r="943" spans="1:40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  <c r="AN943" s="7"/>
    </row>
    <row r="944" spans="1:40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  <c r="AN944" s="7" t="s">
        <v>249</v>
      </c>
    </row>
    <row r="945" spans="1:40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  <c r="AN945" s="7"/>
    </row>
    <row r="946" spans="1:40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  <c r="AN946" s="7"/>
    </row>
    <row r="947" spans="1:40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  <c r="AN947" s="7"/>
    </row>
    <row r="948" spans="1:40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  <c r="AN948" s="7" t="s">
        <v>250</v>
      </c>
    </row>
    <row r="949" spans="1:40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  <c r="AN949" s="7"/>
    </row>
    <row r="950" spans="1:40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  <c r="AN950" s="7"/>
    </row>
    <row r="951" spans="1:40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  <c r="AN951" s="7"/>
    </row>
    <row r="952" spans="1:40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  <c r="AN952" s="7" t="s">
        <v>251</v>
      </c>
    </row>
    <row r="953" spans="1:40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  <c r="AN953" s="7"/>
    </row>
    <row r="954" spans="1:40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  <c r="AN954" s="7"/>
    </row>
    <row r="955" spans="1:40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  <c r="AN955" s="7"/>
    </row>
    <row r="956" spans="1:40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  <c r="AN956" s="7" t="s">
        <v>252</v>
      </c>
    </row>
    <row r="957" spans="1:40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  <c r="AN957" s="7"/>
    </row>
    <row r="958" spans="1:40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  <c r="AN958" s="7"/>
    </row>
    <row r="959" spans="1:40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  <c r="AN959" s="7"/>
    </row>
    <row r="960" spans="1:40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  <c r="AN960" s="7" t="s">
        <v>253</v>
      </c>
    </row>
    <row r="961" spans="1:40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  <c r="AN961" s="7"/>
    </row>
    <row r="962" spans="1:40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  <c r="AN962" s="7"/>
    </row>
    <row r="963" spans="1:40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  <c r="AN963" s="7"/>
    </row>
    <row r="964" spans="1:40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  <c r="AN964" s="7" t="s">
        <v>254</v>
      </c>
    </row>
    <row r="965" spans="1:40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  <c r="AN965" s="7"/>
    </row>
    <row r="966" spans="1:40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  <c r="AN966" s="7"/>
    </row>
    <row r="967" spans="1:40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  <c r="AN967" s="7"/>
    </row>
    <row r="968" spans="1:40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  <c r="AN968" s="7" t="s">
        <v>255</v>
      </c>
    </row>
    <row r="969" spans="1:40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  <c r="AN969" s="7"/>
    </row>
    <row r="970" spans="1:40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  <c r="AN970" s="7"/>
    </row>
    <row r="971" spans="1:40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  <c r="AN971" s="7"/>
    </row>
    <row r="972" spans="1:40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  <c r="AN972" s="7" t="s">
        <v>256</v>
      </c>
    </row>
    <row r="973" spans="1:40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  <c r="AN973" s="7"/>
    </row>
    <row r="974" spans="1:40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  <c r="AN974" s="7"/>
    </row>
    <row r="975" spans="1:40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  <c r="AN975" s="7"/>
    </row>
    <row r="976" spans="1:40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  <c r="AN976" s="7" t="s">
        <v>257</v>
      </c>
    </row>
    <row r="977" spans="1:40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  <c r="AN977" s="7"/>
    </row>
    <row r="978" spans="1:40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  <c r="AN978" s="7"/>
    </row>
    <row r="979" spans="1:40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  <c r="AN979" s="7"/>
    </row>
    <row r="980" spans="1:40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  <c r="AN980" s="7" t="s">
        <v>258</v>
      </c>
    </row>
    <row r="981" spans="1:40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  <c r="AN981" s="7"/>
    </row>
    <row r="982" spans="1:40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  <c r="AN982" s="7"/>
    </row>
    <row r="983" spans="1:40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  <c r="AN983" s="7"/>
    </row>
    <row r="984" spans="1:40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  <c r="AN984" s="7" t="s">
        <v>259</v>
      </c>
    </row>
    <row r="985" spans="1:40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  <c r="AN985" s="7"/>
    </row>
    <row r="986" spans="1:40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  <c r="AN986" s="7"/>
    </row>
    <row r="987" spans="1:40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  <c r="AN987" s="7"/>
    </row>
    <row r="988" spans="1:40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  <c r="AN988" s="7" t="s">
        <v>260</v>
      </c>
    </row>
    <row r="989" spans="1:40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  <c r="AN989" s="7"/>
    </row>
    <row r="990" spans="1:40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  <c r="AN990" s="7"/>
    </row>
    <row r="991" spans="1:40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  <c r="AN991" s="7"/>
    </row>
    <row r="992" spans="1:40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  <c r="AN992" s="7" t="s">
        <v>261</v>
      </c>
    </row>
    <row r="993" spans="1:40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  <c r="AN993" s="7"/>
    </row>
    <row r="994" spans="1:40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  <c r="AN994" s="7"/>
    </row>
    <row r="995" spans="1:40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  <c r="AN995" s="7"/>
    </row>
    <row r="996" spans="1:40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  <c r="AN996" s="7" t="s">
        <v>262</v>
      </c>
    </row>
    <row r="997" spans="1:40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  <c r="AN997" s="7"/>
    </row>
    <row r="998" spans="1:40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  <c r="AN998" s="7"/>
    </row>
    <row r="999" spans="1:40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  <c r="AN999" s="7"/>
    </row>
    <row r="1000" spans="1:40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  <c r="AN1000" s="7" t="s">
        <v>263</v>
      </c>
    </row>
    <row r="1001" spans="1:40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  <c r="AN1001" s="7"/>
    </row>
    <row r="1002" spans="1:40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  <c r="AN1002" s="7"/>
    </row>
    <row r="1003" spans="1:40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  <c r="AN1003" s="7"/>
    </row>
    <row r="1004" spans="1:40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  <c r="AN1004" s="7" t="s">
        <v>264</v>
      </c>
    </row>
    <row r="1005" spans="1:40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  <c r="AN1005" s="7"/>
    </row>
    <row r="1006" spans="1:40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  <c r="AN1006" s="7"/>
    </row>
    <row r="1007" spans="1:40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  <c r="AN1007" s="7"/>
    </row>
    <row r="1008" spans="1:40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  <c r="AN1008" s="7" t="s">
        <v>265</v>
      </c>
    </row>
    <row r="1009" spans="1:40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  <c r="AN1009" s="7"/>
    </row>
    <row r="1010" spans="1:40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  <c r="AN1010" s="7"/>
    </row>
    <row r="1011" spans="1:40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  <c r="AN1011" s="7"/>
    </row>
    <row r="1012" spans="1:40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  <c r="AN1012" s="7" t="s">
        <v>266</v>
      </c>
    </row>
    <row r="1013" spans="1:40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  <c r="AN1013" s="7"/>
    </row>
    <row r="1014" spans="1:40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  <c r="AN1014" s="7"/>
    </row>
    <row r="1015" spans="1:40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  <c r="AN1015" s="7"/>
    </row>
    <row r="1016" spans="1:40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  <c r="AN1016" s="7" t="s">
        <v>267</v>
      </c>
    </row>
    <row r="1017" spans="1:40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  <c r="AN1017" s="7"/>
    </row>
    <row r="1018" spans="1:40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  <c r="AN1018" s="7"/>
    </row>
    <row r="1019" spans="1:40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  <c r="AN1019" s="7"/>
    </row>
    <row r="1020" spans="1:40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  <c r="AN1020" s="7" t="s">
        <v>268</v>
      </c>
    </row>
    <row r="1021" spans="1:40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  <c r="AN1021" s="7"/>
    </row>
    <row r="1022" spans="1:40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  <c r="AN1022" s="7"/>
    </row>
    <row r="1023" spans="1:40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  <c r="AN1023" s="7"/>
    </row>
    <row r="1024" spans="1:40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  <c r="AN1024" s="7" t="s">
        <v>269</v>
      </c>
    </row>
    <row r="1025" spans="1:40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  <c r="AN1025" s="7"/>
    </row>
    <row r="1026" spans="1:40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  <c r="AN1026" s="7"/>
    </row>
    <row r="1027" spans="1:40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  <c r="AN1027" s="7"/>
    </row>
    <row r="1028" spans="1:40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  <c r="AN1028" s="7" t="s">
        <v>270</v>
      </c>
    </row>
    <row r="1029" spans="1:40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  <c r="AN1029" s="7"/>
    </row>
    <row r="1030" spans="1:40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  <c r="AN1030" s="7"/>
    </row>
    <row r="1031" spans="1:40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  <c r="AN1031" s="7"/>
    </row>
    <row r="1032" spans="1:40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  <c r="AN1032" s="7" t="s">
        <v>271</v>
      </c>
    </row>
    <row r="1033" spans="1:40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  <c r="AN1033" s="7"/>
    </row>
    <row r="1034" spans="1:40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  <c r="AN1034" s="7"/>
    </row>
    <row r="1035" spans="1:40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  <c r="AN1035" s="7"/>
    </row>
    <row r="1036" spans="1:40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  <c r="AN1036" s="7" t="s">
        <v>272</v>
      </c>
    </row>
    <row r="1037" spans="1:40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  <c r="AN1037" s="7"/>
    </row>
    <row r="1038" spans="1:40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  <c r="AN1038" s="7"/>
    </row>
    <row r="1039" spans="1:40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  <c r="AN1039" s="7"/>
    </row>
    <row r="1040" spans="1:40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  <c r="AN1040" s="7" t="s">
        <v>273</v>
      </c>
    </row>
    <row r="1041" spans="1:40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  <c r="AN1041" s="7"/>
    </row>
    <row r="1042" spans="1:40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  <c r="AN1042" s="7"/>
    </row>
    <row r="1043" spans="1:40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  <c r="AN1043" s="7"/>
    </row>
    <row r="1044" spans="1:40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  <c r="AN1044" s="7" t="s">
        <v>274</v>
      </c>
    </row>
    <row r="1045" spans="1:40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  <c r="AN1045" s="7"/>
    </row>
    <row r="1046" spans="1:40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  <c r="AN1046" s="7"/>
    </row>
    <row r="1047" spans="1:40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  <c r="AN1047" s="7"/>
    </row>
    <row r="1048" spans="1:40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  <c r="AN1048" s="7" t="s">
        <v>275</v>
      </c>
    </row>
    <row r="1049" spans="1:40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  <c r="AN1049" s="7"/>
    </row>
    <row r="1050" spans="1:40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  <c r="AN1050" s="7"/>
    </row>
    <row r="1051" spans="1:40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  <c r="AN1051" s="7"/>
    </row>
    <row r="1052" spans="1:40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  <c r="AN1052" s="7" t="s">
        <v>276</v>
      </c>
    </row>
    <row r="1053" spans="1:40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  <c r="AN1053" s="7"/>
    </row>
    <row r="1054" spans="1:40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  <c r="AN1054" s="7"/>
    </row>
    <row r="1055" spans="1:40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  <c r="AN1055" s="7"/>
    </row>
    <row r="1056" spans="1:40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  <c r="AN1056" s="7" t="s">
        <v>277</v>
      </c>
    </row>
    <row r="1057" spans="1:40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  <c r="AN1057" s="7"/>
    </row>
    <row r="1058" spans="1:40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  <c r="AN1058" s="7"/>
    </row>
    <row r="1059" spans="1:40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  <c r="AN1059" s="7"/>
    </row>
    <row r="1060" spans="1:40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  <c r="AN1060" s="7" t="s">
        <v>278</v>
      </c>
    </row>
    <row r="1061" spans="1:40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  <c r="AN1061" s="7"/>
    </row>
    <row r="1062" spans="1:40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  <c r="AN1062" s="7"/>
    </row>
    <row r="1063" spans="1:40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  <c r="AN1063" s="7"/>
    </row>
    <row r="1064" spans="1:40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  <c r="AN1064" s="7" t="s">
        <v>279</v>
      </c>
    </row>
    <row r="1065" spans="1:40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  <c r="AN1065" s="7"/>
    </row>
    <row r="1066" spans="1:40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  <c r="AN1066" s="7"/>
    </row>
    <row r="1067" spans="1:40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  <c r="AN1067" s="7"/>
    </row>
    <row r="1068" spans="1:40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  <c r="AN1068" s="7" t="s">
        <v>280</v>
      </c>
    </row>
    <row r="1069" spans="1:40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  <c r="AN1069" s="7"/>
    </row>
    <row r="1070" spans="1:40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  <c r="AN1070" s="7"/>
    </row>
    <row r="1071" spans="1:40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  <c r="AN1071" s="7"/>
    </row>
    <row r="1072" spans="1:40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  <c r="AN1072" s="7" t="s">
        <v>281</v>
      </c>
    </row>
    <row r="1073" spans="1:40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  <c r="AN1073" s="7"/>
    </row>
    <row r="1074" spans="1:40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  <c r="AN1074" s="7"/>
    </row>
    <row r="1075" spans="1:40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  <c r="AN1075" s="7"/>
    </row>
    <row r="1076" spans="1:40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  <c r="AN1076" s="7" t="s">
        <v>282</v>
      </c>
    </row>
    <row r="1077" spans="1:40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  <c r="AN1077" s="7"/>
    </row>
    <row r="1078" spans="1:40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  <c r="AN1078" s="7"/>
    </row>
    <row r="1079" spans="1:40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  <c r="AN1079" s="7"/>
    </row>
    <row r="1080" spans="1:40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  <c r="AN1080" s="7" t="s">
        <v>283</v>
      </c>
    </row>
    <row r="1081" spans="1:40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  <c r="AN1081" s="7"/>
    </row>
    <row r="1082" spans="1:40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  <c r="AN1082" s="7"/>
    </row>
    <row r="1083" spans="1:40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  <c r="AN1083" s="7"/>
    </row>
    <row r="1084" spans="1:40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  <c r="AN1084" s="7" t="s">
        <v>284</v>
      </c>
    </row>
    <row r="1085" spans="1:40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  <c r="AN1085" s="7"/>
    </row>
    <row r="1086" spans="1:40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  <c r="AN1086" s="7"/>
    </row>
    <row r="1087" spans="1:40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  <c r="AN1087" s="7"/>
    </row>
    <row r="1088" spans="1:40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  <c r="AN1088" s="7" t="s">
        <v>285</v>
      </c>
    </row>
    <row r="1089" spans="1:40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  <c r="AN1089" s="7"/>
    </row>
    <row r="1090" spans="1:40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  <c r="AN1090" s="7"/>
    </row>
    <row r="1091" spans="1:40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  <c r="AN1091" s="7"/>
    </row>
    <row r="1092" spans="1:40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  <c r="AN1092" s="7" t="s">
        <v>286</v>
      </c>
    </row>
    <row r="1093" spans="1:40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  <c r="AN1093" s="7"/>
    </row>
    <row r="1094" spans="1:40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  <c r="AN1094" s="7"/>
    </row>
    <row r="1095" spans="1:40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  <c r="AN1095" s="7"/>
    </row>
    <row r="1096" spans="1:40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  <c r="AN1096" s="7" t="s">
        <v>287</v>
      </c>
    </row>
    <row r="1097" spans="1:40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  <c r="AN1097" s="7"/>
    </row>
    <row r="1098" spans="1:40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  <c r="AN1098" s="7"/>
    </row>
    <row r="1099" spans="1:40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  <c r="AN1099" s="7"/>
    </row>
    <row r="1100" spans="1:40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  <c r="AN1100" s="7" t="s">
        <v>288</v>
      </c>
    </row>
    <row r="1101" spans="1:40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  <c r="AN1101" s="7"/>
    </row>
    <row r="1102" spans="1:40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  <c r="AN1102" s="7"/>
    </row>
    <row r="1103" spans="1:40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  <c r="AN1103" s="7"/>
    </row>
    <row r="1104" spans="1:40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  <c r="AN1104" s="7" t="s">
        <v>289</v>
      </c>
    </row>
    <row r="1105" spans="1:40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  <c r="AN1105" s="7"/>
    </row>
    <row r="1106" spans="1:40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  <c r="AN1106" s="7"/>
    </row>
    <row r="1107" spans="1:40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  <c r="AN1107" s="7"/>
    </row>
    <row r="1108" spans="1:40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  <c r="AN1108" s="7" t="s">
        <v>290</v>
      </c>
    </row>
    <row r="1109" spans="1:40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  <c r="AN1109" s="7"/>
    </row>
    <row r="1110" spans="1:40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  <c r="AN1110" s="7"/>
    </row>
    <row r="1111" spans="1:40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  <c r="AN1111" s="7"/>
    </row>
    <row r="1112" spans="1:40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  <c r="AN1112" s="7" t="s">
        <v>291</v>
      </c>
    </row>
    <row r="1113" spans="1:40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  <c r="AN1113" s="7"/>
    </row>
    <row r="1114" spans="1:40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  <c r="AN1114" s="7"/>
    </row>
    <row r="1115" spans="1:40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  <c r="AN1115" s="7"/>
    </row>
    <row r="1116" spans="1:40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  <c r="AN1116" s="7" t="s">
        <v>292</v>
      </c>
    </row>
    <row r="1117" spans="1:40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  <c r="AN1117" s="7"/>
    </row>
    <row r="1118" spans="1:40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  <c r="AN1118" s="7"/>
    </row>
    <row r="1119" spans="1:40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  <c r="AN1119" s="7"/>
    </row>
    <row r="1120" spans="1:40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  <c r="AN1120" s="7" t="s">
        <v>293</v>
      </c>
    </row>
    <row r="1121" spans="1:40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  <c r="AN1121" s="7"/>
    </row>
    <row r="1122" spans="1:40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  <c r="AN1122" s="7"/>
    </row>
    <row r="1123" spans="1:40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  <c r="AN1123" s="7"/>
    </row>
    <row r="1124" spans="1:40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  <c r="AN1124" s="7" t="s">
        <v>294</v>
      </c>
    </row>
    <row r="1125" spans="1:40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  <c r="AN1125" s="7"/>
    </row>
    <row r="1126" spans="1:40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  <c r="AN1126" s="7"/>
    </row>
    <row r="1127" spans="1:40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  <c r="AN1127" s="7"/>
    </row>
    <row r="1128" spans="1:40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  <c r="AN1128" s="7" t="s">
        <v>295</v>
      </c>
    </row>
    <row r="1129" spans="1:40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  <c r="AN1129" s="7"/>
    </row>
    <row r="1130" spans="1:40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  <c r="AN1130" s="7"/>
    </row>
    <row r="1131" spans="1:40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40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40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40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40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40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348"/>
  <sheetViews>
    <sheetView topLeftCell="A4" zoomScale="85" zoomScaleNormal="85" workbookViewId="0">
      <selection activeCell="A6" sqref="A6"/>
    </sheetView>
  </sheetViews>
  <sheetFormatPr baseColWidth="10" defaultRowHeight="15"/>
  <sheetData>
    <row r="1" spans="1:25">
      <c r="L1" t="s">
        <v>307</v>
      </c>
      <c r="M1" t="s">
        <v>308</v>
      </c>
    </row>
    <row r="2" spans="1:25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5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5">
      <c r="O4" s="14"/>
    </row>
    <row r="5" spans="1:25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6" t="s">
        <v>306</v>
      </c>
      <c r="M5" s="36"/>
      <c r="N5" s="36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5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34">
        <f>ABS(1-U6/T6)</f>
        <v>0.920830269191244</v>
      </c>
      <c r="W6">
        <f>ABS(T6-U6)</f>
        <v>1.0405382041861055</v>
      </c>
      <c r="Y6">
        <v>8.5792479895371088E-2</v>
      </c>
    </row>
    <row r="7" spans="1:25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34">
        <f t="shared" ref="V7:V65" si="1">ABS(1-U7/T7)</f>
        <v>1.0617645738595178</v>
      </c>
      <c r="W7">
        <f t="shared" ref="W7:W65" si="2">ABS(T7-U7)</f>
        <v>1.1997939684612549</v>
      </c>
      <c r="Y7">
        <v>-4.1989410247759817E-2</v>
      </c>
    </row>
    <row r="8" spans="1:25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34">
        <f t="shared" si="1"/>
        <v>1.1347399242256007</v>
      </c>
      <c r="W8">
        <f t="shared" si="2"/>
        <v>1.2822561143749285</v>
      </c>
      <c r="Y8">
        <v>-0.14353923919000167</v>
      </c>
    </row>
    <row r="9" spans="1:25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34">
        <f t="shared" si="1"/>
        <v>1.1402342927879063</v>
      </c>
      <c r="W9">
        <f t="shared" si="2"/>
        <v>1.2884647508503342</v>
      </c>
      <c r="Y9">
        <v>-0.11043263378725543</v>
      </c>
    </row>
    <row r="10" spans="1:25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34">
        <f t="shared" si="1"/>
        <v>3.2221725832338013</v>
      </c>
      <c r="W10">
        <f t="shared" si="2"/>
        <v>3.6410550190541953</v>
      </c>
      <c r="Y10">
        <v>-2.1402228988212313</v>
      </c>
    </row>
    <row r="11" spans="1:25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34">
        <f t="shared" si="1"/>
        <v>1.0225420557605385</v>
      </c>
      <c r="W11">
        <f t="shared" si="2"/>
        <v>1.1554725230094083</v>
      </c>
      <c r="Y11">
        <v>-3.6700454393721937E-2</v>
      </c>
    </row>
    <row r="12" spans="1:25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34">
        <f t="shared" si="1"/>
        <v>0.83953735753517589</v>
      </c>
      <c r="W12">
        <f t="shared" si="2"/>
        <v>0.94867721401474858</v>
      </c>
      <c r="Y12">
        <v>0.12351503277537201</v>
      </c>
    </row>
    <row r="13" spans="1:25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34">
        <f t="shared" si="1"/>
        <v>0.86385573483449729</v>
      </c>
      <c r="W13">
        <f t="shared" si="2"/>
        <v>0.97615698036298193</v>
      </c>
      <c r="Y13">
        <v>0.13878169108369609</v>
      </c>
    </row>
    <row r="14" spans="1:25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34">
        <f t="shared" si="1"/>
        <v>0.48833903314200477</v>
      </c>
      <c r="W14">
        <f t="shared" si="2"/>
        <v>0.55182310745046537</v>
      </c>
      <c r="Y14">
        <v>0.47750810575135283</v>
      </c>
    </row>
    <row r="15" spans="1:25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34">
        <f t="shared" si="1"/>
        <v>0.79233904217991191</v>
      </c>
      <c r="W15">
        <f t="shared" si="2"/>
        <v>0.89534311766330044</v>
      </c>
      <c r="Y15">
        <v>0.21526048737834591</v>
      </c>
    </row>
    <row r="16" spans="1:25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>
        <v>0.85784053771929503</v>
      </c>
    </row>
    <row r="17" spans="1:25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>
        <v>0.78773031550967088</v>
      </c>
    </row>
    <row r="18" spans="1:25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>
        <v>0.72573723991024774</v>
      </c>
    </row>
    <row r="19" spans="1:25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>
        <v>0.73864588377475271</v>
      </c>
    </row>
    <row r="20" spans="1:25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>
        <v>-0.47838185889712381</v>
      </c>
    </row>
    <row r="21" spans="1:25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>
        <v>0.80116283197171034</v>
      </c>
    </row>
    <row r="22" spans="1:25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>
        <v>-0.59026869423631467</v>
      </c>
    </row>
    <row r="23" spans="1:25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>
        <v>0.88227401184149112</v>
      </c>
    </row>
    <row r="24" spans="1:25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>
        <v>0.82968999177927771</v>
      </c>
    </row>
    <row r="25" spans="1:25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>
        <v>0.8140976682869745</v>
      </c>
    </row>
    <row r="26" spans="1:25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34">
        <f t="shared" si="1"/>
        <v>6.4843193372336794E-2</v>
      </c>
      <c r="W26">
        <f t="shared" si="2"/>
        <v>0.13286370321991825</v>
      </c>
      <c r="Y26">
        <v>0.93610715591790283</v>
      </c>
    </row>
    <row r="27" spans="1:25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34">
        <f t="shared" si="1"/>
        <v>0.12545929902956954</v>
      </c>
      <c r="W27">
        <f t="shared" si="2"/>
        <v>0.25706610371158778</v>
      </c>
      <c r="Y27">
        <v>0.8748398009663223</v>
      </c>
    </row>
    <row r="28" spans="1:25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34">
        <f t="shared" si="1"/>
        <v>0.17498873732040554</v>
      </c>
      <c r="W28">
        <f t="shared" si="2"/>
        <v>0.35855192276951087</v>
      </c>
      <c r="Y28">
        <v>0.81445423847497267</v>
      </c>
    </row>
    <row r="29" spans="1:25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34">
        <f t="shared" si="1"/>
        <v>2.5377518563777013E-2</v>
      </c>
      <c r="W29">
        <f t="shared" si="2"/>
        <v>5.1998535537179258E-2</v>
      </c>
      <c r="Y29">
        <v>0.97690250093427977</v>
      </c>
    </row>
    <row r="30" spans="1:25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34">
        <f t="shared" si="1"/>
        <v>2.4570108682770542E-2</v>
      </c>
      <c r="W30">
        <f t="shared" si="2"/>
        <v>5.034415269099668E-2</v>
      </c>
      <c r="Y30">
        <v>0.97481953158101908</v>
      </c>
    </row>
    <row r="31" spans="1:25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34">
        <f t="shared" si="1"/>
        <v>0.1653321539841307</v>
      </c>
      <c r="W31">
        <f t="shared" si="2"/>
        <v>0.33876558351348374</v>
      </c>
      <c r="Y31">
        <v>0.82665305558370827</v>
      </c>
    </row>
    <row r="32" spans="1:25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34">
        <f t="shared" si="1"/>
        <v>1.3851356851117531</v>
      </c>
      <c r="W32">
        <f t="shared" si="2"/>
        <v>2.8381430187939825</v>
      </c>
      <c r="Y32">
        <v>-0.41127498781528971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34">
        <f t="shared" si="1"/>
        <v>3.7277338524476455E-2</v>
      </c>
      <c r="W33">
        <f t="shared" si="2"/>
        <v>7.6381266636652345E-2</v>
      </c>
      <c r="Y33">
        <v>0.95799657390348947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34">
        <f t="shared" si="1"/>
        <v>8.5654463399088776E-2</v>
      </c>
      <c r="W34">
        <f t="shared" si="2"/>
        <v>0.17550599550473267</v>
      </c>
      <c r="Y34">
        <v>0.91096363713681416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34">
        <f t="shared" si="1"/>
        <v>1.3682545010346159E-2</v>
      </c>
      <c r="W35">
        <f t="shared" si="2"/>
        <v>2.8035534726199351E-2</v>
      </c>
      <c r="Y35">
        <v>0.99032295536726189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>
        <v>0.82759338802744642</v>
      </c>
      <c r="AB36" s="14"/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>
        <v>0.72093677223329022</v>
      </c>
      <c r="AB37" s="14"/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>
        <v>-0.50607951249336658</v>
      </c>
      <c r="AB38" s="14"/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>
        <v>0.87029995778040492</v>
      </c>
      <c r="AB39" s="14"/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>
        <v>0.86542421597470676</v>
      </c>
      <c r="AB40" s="14"/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>
        <v>0.91217476032670741</v>
      </c>
      <c r="AB41" s="14"/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>
        <v>-0.46111484009254644</v>
      </c>
      <c r="AB42" s="14"/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>
        <v>0.84673817237759308</v>
      </c>
      <c r="AB43" s="14"/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>
        <v>0.78197435612335497</v>
      </c>
      <c r="AB44" s="14"/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>
        <v>0.88167779017320314</v>
      </c>
      <c r="AB45" s="14"/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34">
        <f t="shared" si="1"/>
        <v>0.31052785785706805</v>
      </c>
      <c r="W46">
        <f t="shared" si="2"/>
        <v>0.54715008554415379</v>
      </c>
      <c r="Y46">
        <v>0.69013018312346097</v>
      </c>
      <c r="AA46" s="14"/>
      <c r="AB46" s="14"/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34">
        <f t="shared" si="1"/>
        <v>0.33796942843553035</v>
      </c>
      <c r="W47">
        <f t="shared" si="2"/>
        <v>0.59550213290340448</v>
      </c>
      <c r="Y47">
        <v>0.63143951250937325</v>
      </c>
      <c r="AA47" s="14"/>
      <c r="AB47" s="14"/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34">
        <f t="shared" si="1"/>
        <v>0.29407901751622734</v>
      </c>
      <c r="W48">
        <f t="shared" si="2"/>
        <v>0.51816722886359257</v>
      </c>
      <c r="Y48">
        <v>0.69747402617498633</v>
      </c>
      <c r="AA48" s="14"/>
      <c r="AB48" s="14"/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34">
        <f t="shared" si="1"/>
        <v>0.19166448422587012</v>
      </c>
      <c r="W49">
        <f t="shared" si="2"/>
        <v>0.337712821205983</v>
      </c>
      <c r="Y49">
        <v>0.80755669896807691</v>
      </c>
      <c r="AA49" s="14"/>
      <c r="AB49" s="14"/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34">
        <f t="shared" si="1"/>
        <v>1.1498305529521247E-2</v>
      </c>
      <c r="W50">
        <f t="shared" si="2"/>
        <v>2.0260014343016497E-2</v>
      </c>
      <c r="Y50">
        <v>0.9839807700938149</v>
      </c>
      <c r="AA50" s="14"/>
      <c r="AB50" s="14"/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34">
        <f t="shared" si="1"/>
        <v>0.14071053591534088</v>
      </c>
      <c r="W51">
        <f t="shared" si="2"/>
        <v>0.24793196428283082</v>
      </c>
      <c r="Y51">
        <v>0.85693999292416279</v>
      </c>
      <c r="AA51" s="14"/>
      <c r="AB51" s="14"/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34">
        <f t="shared" si="1"/>
        <v>1.4659021109373183</v>
      </c>
      <c r="W52">
        <f t="shared" si="2"/>
        <v>2.5829195194715546</v>
      </c>
      <c r="Y52">
        <v>-1.0136674067876097</v>
      </c>
      <c r="AA52" s="14"/>
      <c r="AB52" s="14"/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34">
        <f t="shared" si="1"/>
        <v>0.26814026812389558</v>
      </c>
      <c r="W53">
        <f t="shared" si="2"/>
        <v>0.47246315243430415</v>
      </c>
      <c r="Y53">
        <v>0.72678979043152103</v>
      </c>
      <c r="AA53" s="14"/>
      <c r="AB53" s="14"/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34">
        <f t="shared" si="1"/>
        <v>0.2764404363092221</v>
      </c>
      <c r="W54">
        <f t="shared" si="2"/>
        <v>0.48708804877684919</v>
      </c>
      <c r="Y54">
        <v>0.71992999841915206</v>
      </c>
      <c r="AA54" s="14"/>
      <c r="AB54" s="14"/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34">
        <f t="shared" si="1"/>
        <v>0.16674539276064504</v>
      </c>
      <c r="W55">
        <f t="shared" si="2"/>
        <v>0.29380538204425655</v>
      </c>
      <c r="Y55">
        <v>0.82575878383627055</v>
      </c>
      <c r="AA55" s="14"/>
      <c r="AB55" s="14"/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>
        <v>0.38939110304520774</v>
      </c>
      <c r="Z56" s="14"/>
      <c r="AA56" s="14"/>
      <c r="AB56" s="14"/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>
        <v>-1.227086256125983</v>
      </c>
      <c r="Z57" s="14"/>
      <c r="AA57" s="14"/>
      <c r="AB57" s="14"/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>
        <v>0.49026565426721702</v>
      </c>
      <c r="Z58" s="14"/>
      <c r="AA58" s="14"/>
      <c r="AB58" s="14"/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>
        <v>0.60399323218846601</v>
      </c>
      <c r="Z59" s="14"/>
      <c r="AA59" s="14"/>
      <c r="AB59" s="14"/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>
        <v>0.85158978649509898</v>
      </c>
      <c r="Z60" s="14"/>
      <c r="AA60" s="14"/>
      <c r="AB60" s="14"/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>
        <v>0.67393587644362873</v>
      </c>
      <c r="Z61" s="14"/>
      <c r="AA61" s="14"/>
      <c r="AB61" s="14"/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>
        <v>0.58096983505235555</v>
      </c>
      <c r="Z62" s="14"/>
      <c r="AA62" s="14"/>
      <c r="AB62" s="14"/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>
        <v>0.52435305012099009</v>
      </c>
      <c r="Z63" s="14"/>
      <c r="AA63" s="14"/>
      <c r="AB63" s="14"/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>
        <v>0.50378477000219024</v>
      </c>
      <c r="Z64" s="14"/>
      <c r="AA64" s="14"/>
      <c r="AB64" s="14"/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>
        <v>0.63686432294837592</v>
      </c>
      <c r="Z65" s="14"/>
      <c r="AA65" s="14"/>
      <c r="AB65" s="14"/>
    </row>
    <row r="70" spans="1:28">
      <c r="A70">
        <v>0</v>
      </c>
      <c r="B70">
        <v>12</v>
      </c>
      <c r="C70">
        <f>IF(A69=1,C69+1,C69)</f>
        <v>0</v>
      </c>
      <c r="D70">
        <f ca="1">IF($A70=1, OFFSET($Y$6,$C70,0),-2.5)</f>
        <v>-2.5</v>
      </c>
      <c r="F70" s="3">
        <f ca="1">OFFSET($D70,(COLUMN(A1)-1)*35,0,1,1)</f>
        <v>-2.5</v>
      </c>
      <c r="G70" s="3">
        <f t="shared" ref="G70:M85" ca="1" si="3">OFFSET($D70,(COLUMN(B1)-1)*35,0,1,1)</f>
        <v>-2.5</v>
      </c>
      <c r="H70" s="3">
        <f t="shared" ca="1" si="3"/>
        <v>-2.5</v>
      </c>
      <c r="I70" s="3">
        <f t="shared" ca="1" si="3"/>
        <v>-2.5</v>
      </c>
      <c r="J70" s="3">
        <f t="shared" ca="1" si="3"/>
        <v>-2.5</v>
      </c>
      <c r="K70" s="3">
        <f t="shared" ca="1" si="3"/>
        <v>-2.5</v>
      </c>
      <c r="L70" s="3">
        <f t="shared" ca="1" si="3"/>
        <v>-2.5</v>
      </c>
      <c r="M70" s="3">
        <f t="shared" ca="1" si="3"/>
        <v>-2.5</v>
      </c>
    </row>
    <row r="71" spans="1:28">
      <c r="A71">
        <v>1</v>
      </c>
      <c r="B71">
        <v>16</v>
      </c>
      <c r="C71">
        <f t="shared" ref="C71:C76" si="4">IF(A70=1,C70+1,C70)</f>
        <v>0</v>
      </c>
      <c r="D71">
        <f t="shared" ref="D71:D134" ca="1" si="5">IF($A71=1, OFFSET($Y$6,$C71,0),-2.5)</f>
        <v>8.5792479895371088E-2</v>
      </c>
      <c r="F71" s="3">
        <f t="shared" ref="F71:F103" ca="1" si="6">OFFSET($D71,(COLUMN(A2)-1)*35,0,1,1)</f>
        <v>8.5792479895371088E-2</v>
      </c>
      <c r="G71" s="3">
        <f t="shared" ca="1" si="3"/>
        <v>-2.5</v>
      </c>
      <c r="H71" s="3">
        <f t="shared" ca="1" si="3"/>
        <v>-2.5</v>
      </c>
      <c r="I71" s="3">
        <f t="shared" ca="1" si="3"/>
        <v>-2.5</v>
      </c>
      <c r="J71" s="3">
        <f t="shared" ca="1" si="3"/>
        <v>-2.5</v>
      </c>
      <c r="K71" s="3">
        <f t="shared" ca="1" si="3"/>
        <v>-2.5</v>
      </c>
      <c r="L71" s="3">
        <f t="shared" ca="1" si="3"/>
        <v>-2.5</v>
      </c>
      <c r="M71" s="3">
        <f t="shared" ca="1" si="3"/>
        <v>-2.5</v>
      </c>
    </row>
    <row r="72" spans="1:28">
      <c r="A72">
        <v>0</v>
      </c>
      <c r="B72">
        <v>20</v>
      </c>
      <c r="C72">
        <f t="shared" si="4"/>
        <v>1</v>
      </c>
      <c r="D72">
        <f t="shared" ca="1" si="5"/>
        <v>-2.5</v>
      </c>
      <c r="F72" s="3">
        <f t="shared" ca="1" si="6"/>
        <v>-2.5</v>
      </c>
      <c r="G72" s="3">
        <f t="shared" ca="1" si="3"/>
        <v>-2.5</v>
      </c>
      <c r="H72" s="3">
        <f t="shared" ca="1" si="3"/>
        <v>-2.5</v>
      </c>
      <c r="I72" s="3">
        <f t="shared" ca="1" si="3"/>
        <v>-2.5</v>
      </c>
      <c r="J72" s="3">
        <f t="shared" ca="1" si="3"/>
        <v>-2.5</v>
      </c>
      <c r="K72" s="3">
        <f t="shared" ca="1" si="3"/>
        <v>-2.5</v>
      </c>
      <c r="L72" s="3">
        <f t="shared" ca="1" si="3"/>
        <v>-2.5</v>
      </c>
      <c r="M72" s="3">
        <f t="shared" ca="1" si="3"/>
        <v>-2.5</v>
      </c>
    </row>
    <row r="73" spans="1:28">
      <c r="A73">
        <v>0</v>
      </c>
      <c r="B73">
        <v>24</v>
      </c>
      <c r="C73">
        <f t="shared" si="4"/>
        <v>1</v>
      </c>
      <c r="D73">
        <f t="shared" ca="1" si="5"/>
        <v>-2.5</v>
      </c>
      <c r="F73" s="3">
        <f t="shared" ca="1" si="6"/>
        <v>-2.5</v>
      </c>
      <c r="G73" s="3">
        <f t="shared" ca="1" si="3"/>
        <v>-2.5</v>
      </c>
      <c r="H73" s="3">
        <f t="shared" ca="1" si="3"/>
        <v>-2.5</v>
      </c>
      <c r="I73" s="3">
        <f t="shared" ca="1" si="3"/>
        <v>-2.5</v>
      </c>
      <c r="J73" s="3">
        <f t="shared" ca="1" si="3"/>
        <v>-2.5</v>
      </c>
      <c r="K73" s="3">
        <f t="shared" ca="1" si="3"/>
        <v>-2.5</v>
      </c>
      <c r="L73" s="3">
        <f t="shared" ca="1" si="3"/>
        <v>-2.5</v>
      </c>
      <c r="M73" s="3">
        <f t="shared" ca="1" si="3"/>
        <v>-2.5</v>
      </c>
    </row>
    <row r="74" spans="1:28">
      <c r="A74">
        <v>0</v>
      </c>
      <c r="B74">
        <v>28</v>
      </c>
      <c r="C74">
        <f t="shared" si="4"/>
        <v>1</v>
      </c>
      <c r="D74">
        <f t="shared" ca="1" si="5"/>
        <v>-2.5</v>
      </c>
      <c r="F74" s="3">
        <f t="shared" ca="1" si="6"/>
        <v>-2.5</v>
      </c>
      <c r="G74" s="3">
        <f t="shared" ca="1" si="3"/>
        <v>-2.5</v>
      </c>
      <c r="H74" s="3">
        <f t="shared" ca="1" si="3"/>
        <v>-2.5</v>
      </c>
      <c r="I74" s="3">
        <f t="shared" ca="1" si="3"/>
        <v>-2.5</v>
      </c>
      <c r="J74" s="3">
        <f t="shared" ca="1" si="3"/>
        <v>-2.5</v>
      </c>
      <c r="K74" s="3">
        <f t="shared" ca="1" si="3"/>
        <v>-2.5</v>
      </c>
      <c r="L74" s="3">
        <f t="shared" ca="1" si="3"/>
        <v>-2.5</v>
      </c>
      <c r="M74" s="3">
        <f t="shared" ca="1" si="3"/>
        <v>-2.5</v>
      </c>
    </row>
    <row r="75" spans="1:28">
      <c r="A75">
        <v>0</v>
      </c>
      <c r="B75">
        <v>32</v>
      </c>
      <c r="C75">
        <f t="shared" si="4"/>
        <v>1</v>
      </c>
      <c r="D75">
        <f t="shared" ca="1" si="5"/>
        <v>-2.5</v>
      </c>
      <c r="F75" s="3">
        <f t="shared" ca="1" si="6"/>
        <v>-2.5</v>
      </c>
      <c r="G75" s="3">
        <f t="shared" ca="1" si="3"/>
        <v>-2.5</v>
      </c>
      <c r="H75" s="3">
        <f t="shared" ca="1" si="3"/>
        <v>0.85784053771929503</v>
      </c>
      <c r="I75" s="3">
        <f t="shared" ca="1" si="3"/>
        <v>0.93610715591790283</v>
      </c>
      <c r="J75" s="3">
        <f t="shared" ca="1" si="3"/>
        <v>0.82759338802744642</v>
      </c>
      <c r="K75" s="3">
        <f t="shared" ca="1" si="3"/>
        <v>0.69013018312346097</v>
      </c>
      <c r="L75" s="3">
        <f t="shared" ca="1" si="3"/>
        <v>-2.5</v>
      </c>
      <c r="M75" s="3">
        <f t="shared" ca="1" si="3"/>
        <v>0.38939110304520774</v>
      </c>
    </row>
    <row r="76" spans="1:28">
      <c r="A76">
        <v>0</v>
      </c>
      <c r="B76">
        <v>36</v>
      </c>
      <c r="C76">
        <f t="shared" si="4"/>
        <v>1</v>
      </c>
      <c r="D76">
        <f t="shared" ca="1" si="5"/>
        <v>-2.5</v>
      </c>
      <c r="F76" s="3">
        <f t="shared" ca="1" si="6"/>
        <v>-2.5</v>
      </c>
      <c r="G76" s="3">
        <f t="shared" ca="1" si="3"/>
        <v>-2.5</v>
      </c>
      <c r="H76" s="3">
        <f t="shared" ca="1" si="3"/>
        <v>0.78773031550967088</v>
      </c>
      <c r="I76" s="3">
        <f t="shared" ca="1" si="3"/>
        <v>0.8748398009663223</v>
      </c>
      <c r="J76" s="3">
        <f t="shared" ca="1" si="3"/>
        <v>0.72093677223329022</v>
      </c>
      <c r="K76" s="3">
        <f t="shared" ca="1" si="3"/>
        <v>0.63143951250937325</v>
      </c>
      <c r="L76" s="3">
        <f t="shared" ca="1" si="3"/>
        <v>-2.5</v>
      </c>
      <c r="M76" s="3">
        <f t="shared" ca="1" si="3"/>
        <v>-1.227086256125983</v>
      </c>
    </row>
    <row r="77" spans="1:28">
      <c r="A77">
        <v>0</v>
      </c>
      <c r="B77">
        <v>40</v>
      </c>
      <c r="C77">
        <f t="shared" ref="C77:C140" si="7">IF(A76=1,C76+1,C76)</f>
        <v>1</v>
      </c>
      <c r="D77">
        <f t="shared" ca="1" si="5"/>
        <v>-2.5</v>
      </c>
      <c r="F77" s="3">
        <f t="shared" ca="1" si="6"/>
        <v>-2.5</v>
      </c>
      <c r="G77" s="3">
        <f t="shared" ca="1" si="3"/>
        <v>-2.5</v>
      </c>
      <c r="H77" s="3">
        <f t="shared" ca="1" si="3"/>
        <v>-2.5</v>
      </c>
      <c r="I77" s="3">
        <f t="shared" ca="1" si="3"/>
        <v>-2.5</v>
      </c>
      <c r="J77" s="3">
        <f t="shared" ca="1" si="3"/>
        <v>-2.5</v>
      </c>
      <c r="K77" s="3">
        <f t="shared" ca="1" si="3"/>
        <v>-2.5</v>
      </c>
      <c r="L77" s="3">
        <f t="shared" ca="1" si="3"/>
        <v>-2.5</v>
      </c>
      <c r="M77" s="3">
        <f t="shared" ca="1" si="3"/>
        <v>0.49026565426721702</v>
      </c>
    </row>
    <row r="78" spans="1:28">
      <c r="A78">
        <v>0</v>
      </c>
      <c r="B78">
        <v>44</v>
      </c>
      <c r="C78">
        <f t="shared" si="7"/>
        <v>1</v>
      </c>
      <c r="D78">
        <f t="shared" ca="1" si="5"/>
        <v>-2.5</v>
      </c>
      <c r="F78" s="3">
        <f t="shared" ca="1" si="6"/>
        <v>-2.5</v>
      </c>
      <c r="G78" s="3">
        <f t="shared" ca="1" si="3"/>
        <v>-2.5</v>
      </c>
      <c r="H78" s="3">
        <f t="shared" ca="1" si="3"/>
        <v>0.72573723991024774</v>
      </c>
      <c r="I78" s="3">
        <f t="shared" ca="1" si="3"/>
        <v>0.81445423847497267</v>
      </c>
      <c r="J78" s="3">
        <f t="shared" ca="1" si="3"/>
        <v>-0.50607951249336658</v>
      </c>
      <c r="K78" s="3">
        <f t="shared" ca="1" si="3"/>
        <v>0.69747402617498633</v>
      </c>
      <c r="L78" s="3">
        <f t="shared" ca="1" si="3"/>
        <v>-2.5</v>
      </c>
      <c r="M78" s="3">
        <f t="shared" ca="1" si="3"/>
        <v>-2.5</v>
      </c>
    </row>
    <row r="79" spans="1:28">
      <c r="A79">
        <v>0</v>
      </c>
      <c r="B79">
        <v>48</v>
      </c>
      <c r="C79">
        <f t="shared" si="7"/>
        <v>1</v>
      </c>
      <c r="D79">
        <f t="shared" ca="1" si="5"/>
        <v>-2.5</v>
      </c>
      <c r="F79" s="3">
        <f t="shared" ca="1" si="6"/>
        <v>-2.5</v>
      </c>
      <c r="G79" s="3">
        <f t="shared" ca="1" si="3"/>
        <v>-2.5</v>
      </c>
      <c r="H79" s="3">
        <f t="shared" ca="1" si="3"/>
        <v>0.73864588377475271</v>
      </c>
      <c r="I79" s="3">
        <f t="shared" ca="1" si="3"/>
        <v>0.97690250093427977</v>
      </c>
      <c r="J79" s="3">
        <f t="shared" ca="1" si="3"/>
        <v>0.87029995778040492</v>
      </c>
      <c r="K79" s="3">
        <f t="shared" ca="1" si="3"/>
        <v>0.80755669896807691</v>
      </c>
      <c r="L79" s="3">
        <f t="shared" ca="1" si="3"/>
        <v>-2.5</v>
      </c>
      <c r="M79" s="3">
        <f t="shared" ca="1" si="3"/>
        <v>0.60399323218846601</v>
      </c>
    </row>
    <row r="80" spans="1:28">
      <c r="A80">
        <v>0</v>
      </c>
      <c r="B80">
        <v>52</v>
      </c>
      <c r="C80">
        <f t="shared" si="7"/>
        <v>1</v>
      </c>
      <c r="D80">
        <f t="shared" ca="1" si="5"/>
        <v>-2.5</v>
      </c>
      <c r="F80" s="3">
        <f t="shared" ca="1" si="6"/>
        <v>-2.5</v>
      </c>
      <c r="G80" s="3">
        <f t="shared" ca="1" si="3"/>
        <v>-2.5</v>
      </c>
      <c r="H80" s="3">
        <f t="shared" ca="1" si="3"/>
        <v>-2.5</v>
      </c>
      <c r="I80" s="3">
        <f t="shared" ca="1" si="3"/>
        <v>-2.5</v>
      </c>
      <c r="J80" s="3">
        <f t="shared" ca="1" si="3"/>
        <v>-2.5</v>
      </c>
      <c r="K80" s="3">
        <f t="shared" ca="1" si="3"/>
        <v>-2.5</v>
      </c>
      <c r="L80" s="3">
        <f t="shared" ca="1" si="3"/>
        <v>-2.5</v>
      </c>
      <c r="M80" s="3">
        <f t="shared" ca="1" si="3"/>
        <v>0.85158978649509898</v>
      </c>
    </row>
    <row r="81" spans="1:13">
      <c r="A81">
        <v>0</v>
      </c>
      <c r="B81">
        <v>56</v>
      </c>
      <c r="C81">
        <f t="shared" si="7"/>
        <v>1</v>
      </c>
      <c r="D81">
        <f t="shared" ca="1" si="5"/>
        <v>-2.5</v>
      </c>
      <c r="F81" s="3">
        <f t="shared" ca="1" si="6"/>
        <v>-2.5</v>
      </c>
      <c r="G81" s="3">
        <f t="shared" ca="1" si="3"/>
        <v>-2.5</v>
      </c>
      <c r="H81" s="3">
        <f t="shared" ca="1" si="3"/>
        <v>-0.47838185889712381</v>
      </c>
      <c r="I81" s="3">
        <f t="shared" ca="1" si="3"/>
        <v>0.97481953158101908</v>
      </c>
      <c r="J81" s="3">
        <f t="shared" ca="1" si="3"/>
        <v>0.86542421597470676</v>
      </c>
      <c r="K81" s="3">
        <f t="shared" ca="1" si="3"/>
        <v>0.9839807700938149</v>
      </c>
      <c r="L81" s="3">
        <f t="shared" ca="1" si="3"/>
        <v>-2.5</v>
      </c>
      <c r="M81" s="3">
        <f t="shared" ca="1" si="3"/>
        <v>-2.5</v>
      </c>
    </row>
    <row r="82" spans="1:13">
      <c r="A82">
        <v>0</v>
      </c>
      <c r="B82">
        <v>60</v>
      </c>
      <c r="C82">
        <f t="shared" si="7"/>
        <v>1</v>
      </c>
      <c r="D82">
        <f t="shared" ca="1" si="5"/>
        <v>-2.5</v>
      </c>
      <c r="F82" s="3">
        <f t="shared" ca="1" si="6"/>
        <v>-2.5</v>
      </c>
      <c r="G82" s="3">
        <f t="shared" ca="1" si="3"/>
        <v>-2.5</v>
      </c>
      <c r="H82" s="3">
        <f t="shared" ca="1" si="3"/>
        <v>-2.5</v>
      </c>
      <c r="I82" s="3">
        <f t="shared" ca="1" si="3"/>
        <v>-2.5</v>
      </c>
      <c r="J82" s="3">
        <f t="shared" ca="1" si="3"/>
        <v>-2.5</v>
      </c>
      <c r="K82" s="3">
        <f t="shared" ca="1" si="3"/>
        <v>-2.5</v>
      </c>
      <c r="L82" s="3">
        <f t="shared" ca="1" si="3"/>
        <v>-2.5</v>
      </c>
      <c r="M82" s="3">
        <f t="shared" ca="1" si="3"/>
        <v>0.67393587644362873</v>
      </c>
    </row>
    <row r="83" spans="1:13">
      <c r="A83">
        <v>0</v>
      </c>
      <c r="B83">
        <v>64</v>
      </c>
      <c r="C83">
        <f t="shared" si="7"/>
        <v>1</v>
      </c>
      <c r="D83">
        <f t="shared" ca="1" si="5"/>
        <v>-2.5</v>
      </c>
      <c r="F83" s="3">
        <f t="shared" ca="1" si="6"/>
        <v>-2.5</v>
      </c>
      <c r="G83" s="3">
        <f t="shared" ca="1" si="3"/>
        <v>-2.5</v>
      </c>
      <c r="H83" s="3">
        <f t="shared" ca="1" si="3"/>
        <v>0.80116283197171034</v>
      </c>
      <c r="I83" s="3">
        <f t="shared" ca="1" si="3"/>
        <v>0.82665305558370827</v>
      </c>
      <c r="J83" s="3">
        <f t="shared" ca="1" si="3"/>
        <v>0.91217476032670741</v>
      </c>
      <c r="K83" s="3">
        <f t="shared" ca="1" si="3"/>
        <v>0.85693999292416279</v>
      </c>
      <c r="L83" s="3">
        <f t="shared" ca="1" si="3"/>
        <v>-2.5</v>
      </c>
      <c r="M83" s="3">
        <f t="shared" ca="1" si="3"/>
        <v>-2.5</v>
      </c>
    </row>
    <row r="84" spans="1:13">
      <c r="A84">
        <v>0</v>
      </c>
      <c r="B84">
        <v>68</v>
      </c>
      <c r="C84">
        <f t="shared" si="7"/>
        <v>1</v>
      </c>
      <c r="D84">
        <f t="shared" ca="1" si="5"/>
        <v>-2.5</v>
      </c>
      <c r="F84" s="3">
        <f t="shared" ca="1" si="6"/>
        <v>-2.5</v>
      </c>
      <c r="G84" s="3">
        <f t="shared" ca="1" si="3"/>
        <v>-2.5</v>
      </c>
      <c r="H84" s="3">
        <f t="shared" ca="1" si="3"/>
        <v>-2.5</v>
      </c>
      <c r="I84" s="3">
        <f t="shared" ca="1" si="3"/>
        <v>-2.5</v>
      </c>
      <c r="J84" s="3">
        <f t="shared" ca="1" si="3"/>
        <v>-2.5</v>
      </c>
      <c r="K84" s="3">
        <f t="shared" ca="1" si="3"/>
        <v>-2.5</v>
      </c>
      <c r="L84" s="3">
        <f t="shared" ca="1" si="3"/>
        <v>-2.5</v>
      </c>
      <c r="M84" s="3">
        <f t="shared" ca="1" si="3"/>
        <v>-2.5</v>
      </c>
    </row>
    <row r="85" spans="1:13">
      <c r="A85">
        <v>1</v>
      </c>
      <c r="B85">
        <v>72</v>
      </c>
      <c r="C85">
        <f t="shared" si="7"/>
        <v>1</v>
      </c>
      <c r="D85">
        <f t="shared" ca="1" si="5"/>
        <v>-4.1989410247759817E-2</v>
      </c>
      <c r="F85" s="3">
        <f t="shared" ca="1" si="6"/>
        <v>-4.1989410247759817E-2</v>
      </c>
      <c r="G85" s="3">
        <f t="shared" ca="1" si="3"/>
        <v>-2.5</v>
      </c>
      <c r="H85" s="3">
        <f t="shared" ca="1" si="3"/>
        <v>-2.5</v>
      </c>
      <c r="I85" s="3">
        <f t="shared" ca="1" si="3"/>
        <v>-2.5</v>
      </c>
      <c r="J85" s="3">
        <f t="shared" ca="1" si="3"/>
        <v>-2.5</v>
      </c>
      <c r="K85" s="3">
        <f t="shared" ca="1" si="3"/>
        <v>-2.5</v>
      </c>
      <c r="L85" s="3">
        <f t="shared" ca="1" si="3"/>
        <v>-2.5</v>
      </c>
      <c r="M85" s="3">
        <f t="shared" ca="1" si="3"/>
        <v>-2.5</v>
      </c>
    </row>
    <row r="86" spans="1:13">
      <c r="A86">
        <v>1</v>
      </c>
      <c r="B86">
        <v>76</v>
      </c>
      <c r="C86">
        <f t="shared" si="7"/>
        <v>2</v>
      </c>
      <c r="D86">
        <f t="shared" ca="1" si="5"/>
        <v>-0.14353923919000167</v>
      </c>
      <c r="F86" s="3">
        <f t="shared" ca="1" si="6"/>
        <v>-0.14353923919000167</v>
      </c>
      <c r="G86" s="3">
        <f t="shared" ref="G86:G103" ca="1" si="8">OFFSET($D86,(COLUMN(B17)-1)*35,0,1,1)</f>
        <v>-2.5</v>
      </c>
      <c r="H86" s="3">
        <f t="shared" ref="H86:H103" ca="1" si="9">OFFSET($D86,(COLUMN(C17)-1)*35,0,1,1)</f>
        <v>-2.5</v>
      </c>
      <c r="I86" s="3">
        <f t="shared" ref="I86:I103" ca="1" si="10">OFFSET($D86,(COLUMN(D17)-1)*35,0,1,1)</f>
        <v>-2.5</v>
      </c>
      <c r="J86" s="3">
        <f t="shared" ref="J86:J103" ca="1" si="11">OFFSET($D86,(COLUMN(E17)-1)*35,0,1,1)</f>
        <v>-2.5</v>
      </c>
      <c r="K86" s="3">
        <f t="shared" ref="K86:K103" ca="1" si="12">OFFSET($D86,(COLUMN(F17)-1)*35,0,1,1)</f>
        <v>-2.5</v>
      </c>
      <c r="L86" s="3">
        <f t="shared" ref="L86:L103" ca="1" si="13">OFFSET($D86,(COLUMN(G17)-1)*35,0,1,1)</f>
        <v>-2.5</v>
      </c>
      <c r="M86" s="3">
        <f t="shared" ref="M86:M103" ca="1" si="14">OFFSET($D86,(COLUMN(H17)-1)*35,0,1,1)</f>
        <v>-2.5</v>
      </c>
    </row>
    <row r="87" spans="1:13">
      <c r="A87">
        <v>0</v>
      </c>
      <c r="B87">
        <v>80</v>
      </c>
      <c r="C87">
        <f t="shared" si="7"/>
        <v>3</v>
      </c>
      <c r="D87">
        <f t="shared" ca="1" si="5"/>
        <v>-2.5</v>
      </c>
      <c r="F87" s="3">
        <f t="shared" ca="1" si="6"/>
        <v>-2.5</v>
      </c>
      <c r="G87" s="3">
        <f t="shared" ca="1" si="8"/>
        <v>-2.5</v>
      </c>
      <c r="H87" s="3">
        <f t="shared" ca="1" si="9"/>
        <v>-2.5</v>
      </c>
      <c r="I87" s="3">
        <f t="shared" ca="1" si="10"/>
        <v>-2.5</v>
      </c>
      <c r="J87" s="3">
        <f t="shared" ca="1" si="11"/>
        <v>-2.5</v>
      </c>
      <c r="K87" s="3">
        <f t="shared" ca="1" si="12"/>
        <v>-2.5</v>
      </c>
      <c r="L87" s="3">
        <f t="shared" ca="1" si="13"/>
        <v>-2.5</v>
      </c>
      <c r="M87" s="3">
        <f t="shared" ca="1" si="14"/>
        <v>-2.5</v>
      </c>
    </row>
    <row r="88" spans="1:13">
      <c r="A88">
        <v>1</v>
      </c>
      <c r="B88">
        <v>84</v>
      </c>
      <c r="C88">
        <f t="shared" si="7"/>
        <v>3</v>
      </c>
      <c r="D88">
        <f t="shared" ca="1" si="5"/>
        <v>-0.11043263378725543</v>
      </c>
      <c r="F88" s="3">
        <f t="shared" ca="1" si="6"/>
        <v>-0.11043263378725543</v>
      </c>
      <c r="G88" s="3">
        <f t="shared" ca="1" si="8"/>
        <v>-2.5</v>
      </c>
      <c r="H88" s="3">
        <f t="shared" ca="1" si="9"/>
        <v>-2.5</v>
      </c>
      <c r="I88" s="3">
        <f t="shared" ca="1" si="10"/>
        <v>-2.5</v>
      </c>
      <c r="J88" s="3">
        <f t="shared" ca="1" si="11"/>
        <v>-2.5</v>
      </c>
      <c r="K88" s="3">
        <f t="shared" ca="1" si="12"/>
        <v>-2.5</v>
      </c>
      <c r="L88" s="3">
        <f t="shared" ca="1" si="13"/>
        <v>-2.5</v>
      </c>
      <c r="M88" s="3">
        <f t="shared" ca="1" si="14"/>
        <v>-2.5</v>
      </c>
    </row>
    <row r="89" spans="1:13">
      <c r="A89">
        <v>1</v>
      </c>
      <c r="B89">
        <v>88</v>
      </c>
      <c r="C89">
        <f t="shared" si="7"/>
        <v>4</v>
      </c>
      <c r="D89">
        <f t="shared" ca="1" si="5"/>
        <v>-2.1402228988212313</v>
      </c>
      <c r="F89" s="3">
        <f t="shared" ca="1" si="6"/>
        <v>-2.1402228988212313</v>
      </c>
      <c r="G89" s="3">
        <f t="shared" ca="1" si="8"/>
        <v>-2.5</v>
      </c>
      <c r="H89" s="3">
        <f t="shared" ca="1" si="9"/>
        <v>-2.5</v>
      </c>
      <c r="I89" s="3">
        <f t="shared" ca="1" si="10"/>
        <v>-2.5</v>
      </c>
      <c r="J89" s="3">
        <f t="shared" ca="1" si="11"/>
        <v>-2.5</v>
      </c>
      <c r="K89" s="3">
        <f t="shared" ca="1" si="12"/>
        <v>-2.5</v>
      </c>
      <c r="L89" s="3">
        <f t="shared" ca="1" si="13"/>
        <v>-2.5</v>
      </c>
      <c r="M89" s="3">
        <f t="shared" ca="1" si="14"/>
        <v>-2.5</v>
      </c>
    </row>
    <row r="90" spans="1:13">
      <c r="A90">
        <v>0</v>
      </c>
      <c r="B90">
        <v>92</v>
      </c>
      <c r="C90">
        <f t="shared" si="7"/>
        <v>5</v>
      </c>
      <c r="D90">
        <f t="shared" ca="1" si="5"/>
        <v>-2.5</v>
      </c>
      <c r="F90" s="3">
        <f t="shared" ca="1" si="6"/>
        <v>-2.5</v>
      </c>
      <c r="G90" s="3">
        <f t="shared" ca="1" si="8"/>
        <v>-2.5</v>
      </c>
      <c r="H90" s="3">
        <f t="shared" ca="1" si="9"/>
        <v>-2.5</v>
      </c>
      <c r="I90" s="3">
        <f t="shared" ca="1" si="10"/>
        <v>-2.5</v>
      </c>
      <c r="J90" s="3">
        <f t="shared" ca="1" si="11"/>
        <v>-2.5</v>
      </c>
      <c r="K90" s="3">
        <f t="shared" ca="1" si="12"/>
        <v>-2.5</v>
      </c>
      <c r="L90" s="3">
        <f t="shared" ca="1" si="13"/>
        <v>-2.5</v>
      </c>
      <c r="M90" s="3">
        <f t="shared" ca="1" si="14"/>
        <v>-2.5</v>
      </c>
    </row>
    <row r="91" spans="1:13">
      <c r="A91">
        <v>1</v>
      </c>
      <c r="B91">
        <v>96</v>
      </c>
      <c r="C91">
        <f t="shared" si="7"/>
        <v>5</v>
      </c>
      <c r="D91">
        <f t="shared" ca="1" si="5"/>
        <v>-3.6700454393721937E-2</v>
      </c>
      <c r="F91" s="3">
        <f t="shared" ca="1" si="6"/>
        <v>-3.6700454393721937E-2</v>
      </c>
      <c r="G91" s="3">
        <f t="shared" ca="1" si="8"/>
        <v>-2.5</v>
      </c>
      <c r="H91" s="3">
        <f t="shared" ca="1" si="9"/>
        <v>-2.5</v>
      </c>
      <c r="I91" s="3">
        <f t="shared" ca="1" si="10"/>
        <v>-2.5</v>
      </c>
      <c r="J91" s="3">
        <f t="shared" ca="1" si="11"/>
        <v>-2.5</v>
      </c>
      <c r="K91" s="3">
        <f t="shared" ca="1" si="12"/>
        <v>-2.5</v>
      </c>
      <c r="L91" s="3">
        <f t="shared" ca="1" si="13"/>
        <v>-2.5</v>
      </c>
      <c r="M91" s="3">
        <f t="shared" ca="1" si="14"/>
        <v>-2.5</v>
      </c>
    </row>
    <row r="92" spans="1:13">
      <c r="A92">
        <v>0</v>
      </c>
      <c r="B92">
        <v>100</v>
      </c>
      <c r="C92">
        <f t="shared" si="7"/>
        <v>6</v>
      </c>
      <c r="D92">
        <f t="shared" ca="1" si="5"/>
        <v>-2.5</v>
      </c>
      <c r="F92" s="3">
        <f t="shared" ca="1" si="6"/>
        <v>-2.5</v>
      </c>
      <c r="G92" s="3">
        <f t="shared" ca="1" si="8"/>
        <v>-2.5</v>
      </c>
      <c r="H92" s="3">
        <f t="shared" ca="1" si="9"/>
        <v>-2.5</v>
      </c>
      <c r="I92" s="3">
        <f t="shared" ca="1" si="10"/>
        <v>-2.5</v>
      </c>
      <c r="J92" s="3">
        <f t="shared" ca="1" si="11"/>
        <v>-2.5</v>
      </c>
      <c r="K92" s="3">
        <f t="shared" ca="1" si="12"/>
        <v>-2.5</v>
      </c>
      <c r="L92" s="3">
        <f t="shared" ca="1" si="13"/>
        <v>-2.5</v>
      </c>
      <c r="M92" s="3">
        <f t="shared" ca="1" si="14"/>
        <v>-2.5</v>
      </c>
    </row>
    <row r="93" spans="1:13">
      <c r="A93">
        <v>1</v>
      </c>
      <c r="B93">
        <v>104</v>
      </c>
      <c r="C93">
        <f t="shared" si="7"/>
        <v>6</v>
      </c>
      <c r="D93">
        <f t="shared" ca="1" si="5"/>
        <v>0.12351503277537201</v>
      </c>
      <c r="F93" s="3">
        <f t="shared" ca="1" si="6"/>
        <v>0.12351503277537201</v>
      </c>
      <c r="G93" s="3">
        <f t="shared" ca="1" si="8"/>
        <v>-2.5</v>
      </c>
      <c r="H93" s="3">
        <f t="shared" ca="1" si="9"/>
        <v>-2.5</v>
      </c>
      <c r="I93" s="3">
        <f t="shared" ca="1" si="10"/>
        <v>-2.5</v>
      </c>
      <c r="J93" s="3">
        <f t="shared" ca="1" si="11"/>
        <v>-2.5</v>
      </c>
      <c r="K93" s="3">
        <f t="shared" ca="1" si="12"/>
        <v>-2.5</v>
      </c>
      <c r="L93" s="3">
        <f t="shared" ca="1" si="13"/>
        <v>-2.5</v>
      </c>
      <c r="M93" s="3">
        <f t="shared" ca="1" si="14"/>
        <v>-2.5</v>
      </c>
    </row>
    <row r="94" spans="1:13">
      <c r="A94">
        <v>0</v>
      </c>
      <c r="B94">
        <v>108</v>
      </c>
      <c r="C94">
        <f t="shared" si="7"/>
        <v>7</v>
      </c>
      <c r="D94">
        <f t="shared" ca="1" si="5"/>
        <v>-2.5</v>
      </c>
      <c r="F94" s="3">
        <f t="shared" ca="1" si="6"/>
        <v>-2.5</v>
      </c>
      <c r="G94" s="3">
        <f t="shared" ca="1" si="8"/>
        <v>-2.5</v>
      </c>
      <c r="H94" s="3">
        <f t="shared" ca="1" si="9"/>
        <v>-2.5</v>
      </c>
      <c r="I94" s="3">
        <f t="shared" ca="1" si="10"/>
        <v>-2.5</v>
      </c>
      <c r="J94" s="3">
        <f t="shared" ca="1" si="11"/>
        <v>-2.5</v>
      </c>
      <c r="K94" s="3">
        <f t="shared" ca="1" si="12"/>
        <v>-2.5</v>
      </c>
      <c r="L94" s="3">
        <f t="shared" ca="1" si="13"/>
        <v>-2.5</v>
      </c>
      <c r="M94" s="3">
        <f t="shared" ca="1" si="14"/>
        <v>-2.5</v>
      </c>
    </row>
    <row r="95" spans="1:13">
      <c r="A95">
        <v>1</v>
      </c>
      <c r="B95">
        <v>112</v>
      </c>
      <c r="C95">
        <f t="shared" si="7"/>
        <v>7</v>
      </c>
      <c r="D95">
        <f t="shared" ca="1" si="5"/>
        <v>0.13878169108369609</v>
      </c>
      <c r="F95" s="3">
        <f t="shared" ca="1" si="6"/>
        <v>0.13878169108369609</v>
      </c>
      <c r="G95" s="3">
        <f t="shared" ca="1" si="8"/>
        <v>-2.5</v>
      </c>
      <c r="H95" s="3">
        <f t="shared" ca="1" si="9"/>
        <v>-0.59026869423631467</v>
      </c>
      <c r="I95" s="3">
        <f t="shared" ca="1" si="10"/>
        <v>-0.41127498781528971</v>
      </c>
      <c r="J95" s="3">
        <f t="shared" ca="1" si="11"/>
        <v>-0.46111484009254644</v>
      </c>
      <c r="K95" s="3">
        <f t="shared" ca="1" si="12"/>
        <v>-1.0136674067876097</v>
      </c>
      <c r="L95" s="3">
        <f t="shared" ca="1" si="13"/>
        <v>-2.5</v>
      </c>
      <c r="M95" s="3">
        <f t="shared" ca="1" si="14"/>
        <v>0.58096983505235555</v>
      </c>
    </row>
    <row r="96" spans="1:13">
      <c r="A96">
        <v>0</v>
      </c>
      <c r="B96">
        <v>116</v>
      </c>
      <c r="C96">
        <f t="shared" si="7"/>
        <v>8</v>
      </c>
      <c r="D96">
        <f t="shared" ca="1" si="5"/>
        <v>-2.5</v>
      </c>
      <c r="F96" s="3">
        <f t="shared" ca="1" si="6"/>
        <v>-2.5</v>
      </c>
      <c r="G96" s="3">
        <f t="shared" ca="1" si="8"/>
        <v>-2.5</v>
      </c>
      <c r="H96" s="3">
        <f t="shared" ca="1" si="9"/>
        <v>-2.5</v>
      </c>
      <c r="I96" s="3">
        <f t="shared" ca="1" si="10"/>
        <v>-2.5</v>
      </c>
      <c r="J96" s="3">
        <f t="shared" ca="1" si="11"/>
        <v>-2.5</v>
      </c>
      <c r="K96" s="3">
        <f t="shared" ca="1" si="12"/>
        <v>-2.5</v>
      </c>
      <c r="L96" s="3">
        <f t="shared" ca="1" si="13"/>
        <v>-2.5</v>
      </c>
      <c r="M96" s="3">
        <f t="shared" ca="1" si="14"/>
        <v>0.52435305012099009</v>
      </c>
    </row>
    <row r="97" spans="1:13">
      <c r="A97">
        <v>1</v>
      </c>
      <c r="B97">
        <v>120</v>
      </c>
      <c r="C97">
        <f t="shared" si="7"/>
        <v>8</v>
      </c>
      <c r="D97">
        <f t="shared" ca="1" si="5"/>
        <v>0.47750810575135283</v>
      </c>
      <c r="F97" s="3">
        <f t="shared" ca="1" si="6"/>
        <v>0.47750810575135283</v>
      </c>
      <c r="G97" s="3">
        <f t="shared" ca="1" si="8"/>
        <v>-2.5</v>
      </c>
      <c r="H97" s="3">
        <f t="shared" ca="1" si="9"/>
        <v>0.88227401184149112</v>
      </c>
      <c r="I97" s="3">
        <f t="shared" ca="1" si="10"/>
        <v>0.95799657390348947</v>
      </c>
      <c r="J97" s="3">
        <f t="shared" ca="1" si="11"/>
        <v>0.84673817237759308</v>
      </c>
      <c r="K97" s="3">
        <f t="shared" ca="1" si="12"/>
        <v>0.72678979043152103</v>
      </c>
      <c r="L97" s="3">
        <f t="shared" ca="1" si="13"/>
        <v>-2.5</v>
      </c>
      <c r="M97" s="3">
        <f t="shared" ca="1" si="14"/>
        <v>-2.5</v>
      </c>
    </row>
    <row r="98" spans="1:13">
      <c r="A98">
        <v>0</v>
      </c>
      <c r="B98">
        <v>124</v>
      </c>
      <c r="C98">
        <f t="shared" si="7"/>
        <v>9</v>
      </c>
      <c r="D98">
        <f t="shared" ca="1" si="5"/>
        <v>-2.5</v>
      </c>
      <c r="F98" s="3">
        <f t="shared" ca="1" si="6"/>
        <v>-2.5</v>
      </c>
      <c r="G98" s="3">
        <f t="shared" ca="1" si="8"/>
        <v>-2.5</v>
      </c>
      <c r="H98" s="3">
        <f t="shared" ca="1" si="9"/>
        <v>-2.5</v>
      </c>
      <c r="I98" s="3">
        <f t="shared" ca="1" si="10"/>
        <v>-2.5</v>
      </c>
      <c r="J98" s="3">
        <f t="shared" ca="1" si="11"/>
        <v>-2.5</v>
      </c>
      <c r="K98" s="3">
        <f t="shared" ca="1" si="12"/>
        <v>-2.5</v>
      </c>
      <c r="L98" s="3">
        <f t="shared" ca="1" si="13"/>
        <v>-2.5</v>
      </c>
      <c r="M98" s="3">
        <f t="shared" ca="1" si="14"/>
        <v>0.50378477000219024</v>
      </c>
    </row>
    <row r="99" spans="1:13">
      <c r="A99">
        <v>1</v>
      </c>
      <c r="B99">
        <v>128</v>
      </c>
      <c r="C99">
        <f t="shared" si="7"/>
        <v>9</v>
      </c>
      <c r="D99">
        <f t="shared" ca="1" si="5"/>
        <v>0.21526048737834591</v>
      </c>
      <c r="F99" s="3">
        <f t="shared" ca="1" si="6"/>
        <v>0.21526048737834591</v>
      </c>
      <c r="G99" s="3">
        <f t="shared" ca="1" si="8"/>
        <v>-2.5</v>
      </c>
      <c r="H99" s="3">
        <f t="shared" ca="1" si="9"/>
        <v>0.82968999177927771</v>
      </c>
      <c r="I99" s="3">
        <f t="shared" ca="1" si="10"/>
        <v>0.91096363713681416</v>
      </c>
      <c r="J99" s="3">
        <f t="shared" ca="1" si="11"/>
        <v>0.78197435612335497</v>
      </c>
      <c r="K99" s="3">
        <f t="shared" ca="1" si="12"/>
        <v>0.71992999841915206</v>
      </c>
      <c r="L99" s="3">
        <f t="shared" ca="1" si="13"/>
        <v>-2.5</v>
      </c>
      <c r="M99" s="3">
        <f t="shared" ca="1" si="14"/>
        <v>-2.5</v>
      </c>
    </row>
    <row r="100" spans="1:13">
      <c r="A100">
        <v>0</v>
      </c>
      <c r="B100">
        <v>132</v>
      </c>
      <c r="C100">
        <f t="shared" si="7"/>
        <v>10</v>
      </c>
      <c r="D100">
        <f t="shared" ca="1" si="5"/>
        <v>-2.5</v>
      </c>
      <c r="F100" s="3">
        <f t="shared" ca="1" si="6"/>
        <v>-2.5</v>
      </c>
      <c r="G100" s="3">
        <f t="shared" ca="1" si="8"/>
        <v>-2.5</v>
      </c>
      <c r="H100" s="3">
        <f t="shared" ca="1" si="9"/>
        <v>-2.5</v>
      </c>
      <c r="I100" s="3">
        <f t="shared" ca="1" si="10"/>
        <v>-2.5</v>
      </c>
      <c r="J100" s="3">
        <f t="shared" ca="1" si="11"/>
        <v>-2.5</v>
      </c>
      <c r="K100" s="3">
        <f t="shared" ca="1" si="12"/>
        <v>-2.5</v>
      </c>
      <c r="L100" s="3">
        <f t="shared" ca="1" si="13"/>
        <v>-2.5</v>
      </c>
      <c r="M100" s="3">
        <f t="shared" ca="1" si="14"/>
        <v>-2.5</v>
      </c>
    </row>
    <row r="101" spans="1:13">
      <c r="A101">
        <v>0</v>
      </c>
      <c r="B101">
        <v>136</v>
      </c>
      <c r="C101">
        <f t="shared" si="7"/>
        <v>10</v>
      </c>
      <c r="D101">
        <f t="shared" ca="1" si="5"/>
        <v>-2.5</v>
      </c>
      <c r="F101" s="3">
        <f t="shared" ca="1" si="6"/>
        <v>-2.5</v>
      </c>
      <c r="G101" s="3">
        <f t="shared" ca="1" si="8"/>
        <v>-2.5</v>
      </c>
      <c r="H101" s="3">
        <f t="shared" ca="1" si="9"/>
        <v>-2.5</v>
      </c>
      <c r="I101" s="3">
        <f t="shared" ca="1" si="10"/>
        <v>-2.5</v>
      </c>
      <c r="J101" s="3">
        <f t="shared" ca="1" si="11"/>
        <v>-2.5</v>
      </c>
      <c r="K101" s="3">
        <f t="shared" ca="1" si="12"/>
        <v>-2.5</v>
      </c>
      <c r="L101" s="3">
        <f t="shared" ca="1" si="13"/>
        <v>-2.5</v>
      </c>
      <c r="M101" s="3">
        <f t="shared" ca="1" si="14"/>
        <v>0.63686432294837592</v>
      </c>
    </row>
    <row r="102" spans="1:13">
      <c r="A102">
        <v>1</v>
      </c>
      <c r="B102">
        <v>140</v>
      </c>
      <c r="C102">
        <f t="shared" si="7"/>
        <v>10</v>
      </c>
      <c r="D102">
        <f t="shared" ca="1" si="5"/>
        <v>0.85784053771929503</v>
      </c>
      <c r="F102" s="3">
        <f t="shared" ca="1" si="6"/>
        <v>0.85784053771929503</v>
      </c>
      <c r="G102" s="3">
        <f t="shared" ca="1" si="8"/>
        <v>-2.5</v>
      </c>
      <c r="H102" s="3">
        <f t="shared" ca="1" si="9"/>
        <v>0.8140976682869745</v>
      </c>
      <c r="I102" s="3">
        <f t="shared" ca="1" si="10"/>
        <v>0.99032295536726189</v>
      </c>
      <c r="J102" s="3">
        <f t="shared" ca="1" si="11"/>
        <v>0.88167779017320314</v>
      </c>
      <c r="K102" s="3">
        <f t="shared" ca="1" si="12"/>
        <v>0.82575878383627055</v>
      </c>
      <c r="L102" s="3">
        <f t="shared" ca="1" si="13"/>
        <v>-2.5</v>
      </c>
      <c r="M102" s="3">
        <f t="shared" ca="1" si="14"/>
        <v>-2.5</v>
      </c>
    </row>
    <row r="103" spans="1:13">
      <c r="A103">
        <v>0</v>
      </c>
      <c r="B103">
        <v>144</v>
      </c>
      <c r="C103">
        <f t="shared" si="7"/>
        <v>11</v>
      </c>
      <c r="D103">
        <f t="shared" ca="1" si="5"/>
        <v>-2.5</v>
      </c>
      <c r="F103" s="3">
        <f t="shared" ca="1" si="6"/>
        <v>-2.5</v>
      </c>
      <c r="G103" s="3">
        <f t="shared" ca="1" si="8"/>
        <v>-2.5</v>
      </c>
      <c r="H103" s="3">
        <f t="shared" ca="1" si="9"/>
        <v>-2.5</v>
      </c>
      <c r="I103" s="3">
        <f t="shared" ca="1" si="10"/>
        <v>-2.5</v>
      </c>
      <c r="J103" s="3">
        <f t="shared" ca="1" si="11"/>
        <v>-2.5</v>
      </c>
      <c r="K103" s="3">
        <f t="shared" ca="1" si="12"/>
        <v>-2.5</v>
      </c>
      <c r="L103" s="3">
        <f t="shared" ca="1" si="13"/>
        <v>-2.5</v>
      </c>
      <c r="M103" s="3">
        <f t="shared" ca="1" si="14"/>
        <v>-2.5</v>
      </c>
    </row>
    <row r="104" spans="1:13">
      <c r="A104">
        <v>0</v>
      </c>
      <c r="B104">
        <v>148</v>
      </c>
      <c r="C104">
        <f t="shared" si="7"/>
        <v>11</v>
      </c>
      <c r="D104">
        <f t="shared" ca="1" si="5"/>
        <v>-2.5</v>
      </c>
    </row>
    <row r="105" spans="1:13">
      <c r="A105">
        <v>0</v>
      </c>
      <c r="B105">
        <v>152</v>
      </c>
      <c r="C105">
        <f t="shared" si="7"/>
        <v>11</v>
      </c>
      <c r="D105">
        <f t="shared" ca="1" si="5"/>
        <v>-2.5</v>
      </c>
    </row>
    <row r="106" spans="1:13">
      <c r="A106">
        <v>0</v>
      </c>
      <c r="B106">
        <v>156</v>
      </c>
      <c r="C106">
        <f t="shared" si="7"/>
        <v>11</v>
      </c>
      <c r="D106">
        <f t="shared" ca="1" si="5"/>
        <v>-2.5</v>
      </c>
    </row>
    <row r="107" spans="1:13">
      <c r="A107">
        <v>0</v>
      </c>
      <c r="B107">
        <v>160</v>
      </c>
      <c r="C107">
        <f t="shared" si="7"/>
        <v>11</v>
      </c>
      <c r="D107">
        <f t="shared" ca="1" si="5"/>
        <v>-2.5</v>
      </c>
    </row>
    <row r="108" spans="1:13">
      <c r="A108">
        <v>0</v>
      </c>
      <c r="B108">
        <v>164</v>
      </c>
      <c r="C108">
        <f t="shared" si="7"/>
        <v>11</v>
      </c>
      <c r="D108">
        <f t="shared" ca="1" si="5"/>
        <v>-2.5</v>
      </c>
    </row>
    <row r="109" spans="1:13">
      <c r="A109">
        <v>0</v>
      </c>
      <c r="B109">
        <v>168</v>
      </c>
      <c r="C109">
        <f t="shared" si="7"/>
        <v>11</v>
      </c>
      <c r="D109">
        <f t="shared" ca="1" si="5"/>
        <v>-2.5</v>
      </c>
    </row>
    <row r="110" spans="1:13">
      <c r="A110">
        <v>0</v>
      </c>
      <c r="B110">
        <v>172</v>
      </c>
      <c r="C110">
        <f t="shared" si="7"/>
        <v>11</v>
      </c>
      <c r="D110">
        <f t="shared" ca="1" si="5"/>
        <v>-2.5</v>
      </c>
    </row>
    <row r="111" spans="1:13">
      <c r="A111">
        <v>0</v>
      </c>
      <c r="B111">
        <v>176</v>
      </c>
      <c r="C111">
        <f t="shared" si="7"/>
        <v>11</v>
      </c>
      <c r="D111">
        <f t="shared" ca="1" si="5"/>
        <v>-2.5</v>
      </c>
    </row>
    <row r="112" spans="1:13">
      <c r="A112">
        <v>0</v>
      </c>
      <c r="B112">
        <v>180</v>
      </c>
      <c r="C112">
        <f t="shared" si="7"/>
        <v>11</v>
      </c>
      <c r="D112">
        <f t="shared" ca="1" si="5"/>
        <v>-2.5</v>
      </c>
    </row>
    <row r="113" spans="1:4">
      <c r="A113">
        <v>0</v>
      </c>
      <c r="B113">
        <v>184</v>
      </c>
      <c r="C113">
        <f t="shared" si="7"/>
        <v>11</v>
      </c>
      <c r="D113">
        <f t="shared" ca="1" si="5"/>
        <v>-2.5</v>
      </c>
    </row>
    <row r="114" spans="1:4">
      <c r="A114">
        <v>0</v>
      </c>
      <c r="B114">
        <v>188</v>
      </c>
      <c r="C114">
        <f t="shared" si="7"/>
        <v>11</v>
      </c>
      <c r="D114">
        <f t="shared" ca="1" si="5"/>
        <v>-2.5</v>
      </c>
    </row>
    <row r="115" spans="1:4">
      <c r="A115">
        <v>0</v>
      </c>
      <c r="B115">
        <v>192</v>
      </c>
      <c r="C115">
        <f t="shared" si="7"/>
        <v>11</v>
      </c>
      <c r="D115">
        <f t="shared" ca="1" si="5"/>
        <v>-2.5</v>
      </c>
    </row>
    <row r="116" spans="1:4">
      <c r="A116">
        <v>0</v>
      </c>
      <c r="B116">
        <v>196</v>
      </c>
      <c r="C116">
        <f t="shared" si="7"/>
        <v>11</v>
      </c>
      <c r="D116">
        <f t="shared" ca="1" si="5"/>
        <v>-2.5</v>
      </c>
    </row>
    <row r="117" spans="1:4">
      <c r="A117">
        <v>0</v>
      </c>
      <c r="B117">
        <v>200</v>
      </c>
      <c r="C117">
        <f t="shared" si="7"/>
        <v>11</v>
      </c>
      <c r="D117">
        <f t="shared" ca="1" si="5"/>
        <v>-2.5</v>
      </c>
    </row>
    <row r="118" spans="1:4">
      <c r="A118">
        <v>0</v>
      </c>
      <c r="B118">
        <v>204</v>
      </c>
      <c r="C118">
        <f t="shared" si="7"/>
        <v>11</v>
      </c>
      <c r="D118">
        <f t="shared" ca="1" si="5"/>
        <v>-2.5</v>
      </c>
    </row>
    <row r="119" spans="1:4">
      <c r="A119">
        <v>0</v>
      </c>
      <c r="B119">
        <v>208</v>
      </c>
      <c r="C119">
        <f t="shared" si="7"/>
        <v>11</v>
      </c>
      <c r="D119">
        <f t="shared" ca="1" si="5"/>
        <v>-2.5</v>
      </c>
    </row>
    <row r="120" spans="1:4">
      <c r="A120">
        <v>0</v>
      </c>
      <c r="B120">
        <v>212</v>
      </c>
      <c r="C120">
        <f t="shared" si="7"/>
        <v>11</v>
      </c>
      <c r="D120">
        <f t="shared" ca="1" si="5"/>
        <v>-2.5</v>
      </c>
    </row>
    <row r="121" spans="1:4">
      <c r="A121">
        <v>0</v>
      </c>
      <c r="B121">
        <v>216</v>
      </c>
      <c r="C121">
        <f t="shared" si="7"/>
        <v>11</v>
      </c>
      <c r="D121">
        <f t="shared" ca="1" si="5"/>
        <v>-2.5</v>
      </c>
    </row>
    <row r="122" spans="1:4">
      <c r="A122">
        <v>0</v>
      </c>
      <c r="B122">
        <v>220</v>
      </c>
      <c r="C122">
        <f t="shared" si="7"/>
        <v>11</v>
      </c>
      <c r="D122">
        <f t="shared" ca="1" si="5"/>
        <v>-2.5</v>
      </c>
    </row>
    <row r="123" spans="1:4">
      <c r="A123">
        <v>0</v>
      </c>
      <c r="B123">
        <v>224</v>
      </c>
      <c r="C123">
        <f t="shared" si="7"/>
        <v>11</v>
      </c>
      <c r="D123">
        <f t="shared" ca="1" si="5"/>
        <v>-2.5</v>
      </c>
    </row>
    <row r="124" spans="1:4">
      <c r="A124">
        <v>0</v>
      </c>
      <c r="B124">
        <v>228</v>
      </c>
      <c r="C124">
        <f t="shared" si="7"/>
        <v>11</v>
      </c>
      <c r="D124">
        <f t="shared" ca="1" si="5"/>
        <v>-2.5</v>
      </c>
    </row>
    <row r="125" spans="1:4">
      <c r="A125">
        <v>0</v>
      </c>
      <c r="B125">
        <v>232</v>
      </c>
      <c r="C125">
        <f t="shared" si="7"/>
        <v>11</v>
      </c>
      <c r="D125">
        <f t="shared" ca="1" si="5"/>
        <v>-2.5</v>
      </c>
    </row>
    <row r="126" spans="1:4">
      <c r="A126">
        <v>0</v>
      </c>
      <c r="B126">
        <v>236</v>
      </c>
      <c r="C126">
        <f t="shared" si="7"/>
        <v>11</v>
      </c>
      <c r="D126">
        <f t="shared" ca="1" si="5"/>
        <v>-2.5</v>
      </c>
    </row>
    <row r="127" spans="1:4">
      <c r="A127">
        <v>0</v>
      </c>
      <c r="B127">
        <v>240</v>
      </c>
      <c r="C127">
        <f t="shared" si="7"/>
        <v>11</v>
      </c>
      <c r="D127">
        <f t="shared" ca="1" si="5"/>
        <v>-2.5</v>
      </c>
    </row>
    <row r="128" spans="1:4">
      <c r="A128">
        <v>0</v>
      </c>
      <c r="B128">
        <v>244</v>
      </c>
      <c r="C128">
        <f t="shared" si="7"/>
        <v>11</v>
      </c>
      <c r="D128">
        <f t="shared" ca="1" si="5"/>
        <v>-2.5</v>
      </c>
    </row>
    <row r="129" spans="1:4">
      <c r="A129">
        <v>0</v>
      </c>
      <c r="B129">
        <v>248</v>
      </c>
      <c r="C129">
        <f t="shared" si="7"/>
        <v>11</v>
      </c>
      <c r="D129">
        <f t="shared" ca="1" si="5"/>
        <v>-2.5</v>
      </c>
    </row>
    <row r="130" spans="1:4">
      <c r="A130">
        <v>0</v>
      </c>
      <c r="B130">
        <v>252</v>
      </c>
      <c r="C130">
        <f t="shared" si="7"/>
        <v>11</v>
      </c>
      <c r="D130">
        <f t="shared" ca="1" si="5"/>
        <v>-2.5</v>
      </c>
    </row>
    <row r="131" spans="1:4">
      <c r="A131">
        <v>0</v>
      </c>
      <c r="B131">
        <v>256</v>
      </c>
      <c r="C131">
        <f t="shared" si="7"/>
        <v>11</v>
      </c>
      <c r="D131">
        <f t="shared" ca="1" si="5"/>
        <v>-2.5</v>
      </c>
    </row>
    <row r="132" spans="1:4">
      <c r="A132">
        <v>0</v>
      </c>
      <c r="B132">
        <v>260</v>
      </c>
      <c r="C132">
        <f t="shared" si="7"/>
        <v>11</v>
      </c>
      <c r="D132">
        <f t="shared" ca="1" si="5"/>
        <v>-2.5</v>
      </c>
    </row>
    <row r="133" spans="1:4">
      <c r="A133">
        <v>0</v>
      </c>
      <c r="B133">
        <v>264</v>
      </c>
      <c r="C133">
        <f t="shared" si="7"/>
        <v>11</v>
      </c>
      <c r="D133">
        <f t="shared" ca="1" si="5"/>
        <v>-2.5</v>
      </c>
    </row>
    <row r="134" spans="1:4">
      <c r="A134">
        <v>0</v>
      </c>
      <c r="B134">
        <v>268</v>
      </c>
      <c r="C134">
        <f t="shared" si="7"/>
        <v>11</v>
      </c>
      <c r="D134">
        <f t="shared" ca="1" si="5"/>
        <v>-2.5</v>
      </c>
    </row>
    <row r="135" spans="1:4">
      <c r="A135">
        <v>0</v>
      </c>
      <c r="B135">
        <v>272</v>
      </c>
      <c r="C135">
        <f t="shared" si="7"/>
        <v>11</v>
      </c>
      <c r="D135">
        <f t="shared" ref="D135:D198" ca="1" si="15">IF($A135=1, OFFSET($Y$6,$C135,0),-2.5)</f>
        <v>-2.5</v>
      </c>
    </row>
    <row r="136" spans="1:4">
      <c r="A136">
        <v>0</v>
      </c>
      <c r="B136">
        <v>276</v>
      </c>
      <c r="C136">
        <f t="shared" si="7"/>
        <v>11</v>
      </c>
      <c r="D136">
        <f t="shared" ca="1" si="15"/>
        <v>-2.5</v>
      </c>
    </row>
    <row r="137" spans="1:4">
      <c r="A137">
        <v>0</v>
      </c>
      <c r="B137">
        <v>280</v>
      </c>
      <c r="C137">
        <f t="shared" si="7"/>
        <v>11</v>
      </c>
      <c r="D137">
        <f t="shared" ca="1" si="15"/>
        <v>-2.5</v>
      </c>
    </row>
    <row r="138" spans="1:4">
      <c r="A138">
        <v>0</v>
      </c>
      <c r="B138">
        <v>284</v>
      </c>
      <c r="C138">
        <f t="shared" si="7"/>
        <v>11</v>
      </c>
      <c r="D138">
        <f t="shared" ca="1" si="15"/>
        <v>-2.5</v>
      </c>
    </row>
    <row r="139" spans="1:4">
      <c r="A139">
        <v>0</v>
      </c>
      <c r="B139">
        <v>288</v>
      </c>
      <c r="C139">
        <f t="shared" si="7"/>
        <v>11</v>
      </c>
      <c r="D139">
        <f t="shared" ca="1" si="15"/>
        <v>-2.5</v>
      </c>
    </row>
    <row r="140" spans="1:4">
      <c r="A140">
        <v>0</v>
      </c>
      <c r="B140">
        <v>292</v>
      </c>
      <c r="C140">
        <f t="shared" si="7"/>
        <v>11</v>
      </c>
      <c r="D140">
        <f t="shared" ca="1" si="15"/>
        <v>-2.5</v>
      </c>
    </row>
    <row r="141" spans="1:4">
      <c r="A141">
        <v>0</v>
      </c>
      <c r="B141">
        <v>296</v>
      </c>
      <c r="C141">
        <f t="shared" ref="C141:C204" si="16">IF(A140=1,C140+1,C140)</f>
        <v>11</v>
      </c>
      <c r="D141">
        <f t="shared" ca="1" si="15"/>
        <v>-2.5</v>
      </c>
    </row>
    <row r="142" spans="1:4">
      <c r="A142">
        <v>0</v>
      </c>
      <c r="B142">
        <v>300</v>
      </c>
      <c r="C142">
        <f t="shared" si="16"/>
        <v>11</v>
      </c>
      <c r="D142">
        <f t="shared" ca="1" si="15"/>
        <v>-2.5</v>
      </c>
    </row>
    <row r="143" spans="1:4">
      <c r="A143">
        <v>0</v>
      </c>
      <c r="B143">
        <v>304</v>
      </c>
      <c r="C143">
        <f t="shared" si="16"/>
        <v>11</v>
      </c>
      <c r="D143">
        <f t="shared" ca="1" si="15"/>
        <v>-2.5</v>
      </c>
    </row>
    <row r="144" spans="1:4">
      <c r="A144">
        <v>0</v>
      </c>
      <c r="B144">
        <v>308</v>
      </c>
      <c r="C144">
        <v>10</v>
      </c>
      <c r="D144">
        <f t="shared" ca="1" si="15"/>
        <v>-2.5</v>
      </c>
    </row>
    <row r="145" spans="1:4">
      <c r="A145">
        <v>1</v>
      </c>
      <c r="B145">
        <v>312</v>
      </c>
      <c r="C145">
        <f t="shared" si="16"/>
        <v>10</v>
      </c>
      <c r="D145">
        <f t="shared" ca="1" si="15"/>
        <v>0.85784053771929503</v>
      </c>
    </row>
    <row r="146" spans="1:4">
      <c r="A146">
        <v>1</v>
      </c>
      <c r="B146">
        <v>316</v>
      </c>
      <c r="C146">
        <f t="shared" si="16"/>
        <v>11</v>
      </c>
      <c r="D146">
        <f t="shared" ca="1" si="15"/>
        <v>0.78773031550967088</v>
      </c>
    </row>
    <row r="147" spans="1:4">
      <c r="A147">
        <v>0</v>
      </c>
      <c r="B147">
        <v>320</v>
      </c>
      <c r="C147">
        <f t="shared" si="16"/>
        <v>12</v>
      </c>
      <c r="D147">
        <f t="shared" ca="1" si="15"/>
        <v>-2.5</v>
      </c>
    </row>
    <row r="148" spans="1:4">
      <c r="A148">
        <v>1</v>
      </c>
      <c r="B148">
        <v>324</v>
      </c>
      <c r="C148">
        <f t="shared" si="16"/>
        <v>12</v>
      </c>
      <c r="D148">
        <f t="shared" ca="1" si="15"/>
        <v>0.72573723991024774</v>
      </c>
    </row>
    <row r="149" spans="1:4">
      <c r="A149">
        <v>1</v>
      </c>
      <c r="B149">
        <v>328</v>
      </c>
      <c r="C149">
        <f t="shared" si="16"/>
        <v>13</v>
      </c>
      <c r="D149">
        <f t="shared" ca="1" si="15"/>
        <v>0.73864588377475271</v>
      </c>
    </row>
    <row r="150" spans="1:4">
      <c r="A150">
        <v>0</v>
      </c>
      <c r="B150">
        <v>332</v>
      </c>
      <c r="C150">
        <f t="shared" si="16"/>
        <v>14</v>
      </c>
      <c r="D150">
        <f t="shared" ca="1" si="15"/>
        <v>-2.5</v>
      </c>
    </row>
    <row r="151" spans="1:4">
      <c r="A151">
        <v>1</v>
      </c>
      <c r="B151">
        <v>336</v>
      </c>
      <c r="C151">
        <f t="shared" si="16"/>
        <v>14</v>
      </c>
      <c r="D151">
        <f t="shared" ca="1" si="15"/>
        <v>-0.47838185889712381</v>
      </c>
    </row>
    <row r="152" spans="1:4">
      <c r="A152">
        <v>0</v>
      </c>
      <c r="B152">
        <v>340</v>
      </c>
      <c r="C152">
        <f t="shared" si="16"/>
        <v>15</v>
      </c>
      <c r="D152">
        <f t="shared" ca="1" si="15"/>
        <v>-2.5</v>
      </c>
    </row>
    <row r="153" spans="1:4">
      <c r="A153">
        <v>1</v>
      </c>
      <c r="B153">
        <v>344</v>
      </c>
      <c r="C153">
        <f t="shared" si="16"/>
        <v>15</v>
      </c>
      <c r="D153">
        <f t="shared" ca="1" si="15"/>
        <v>0.80116283197171034</v>
      </c>
    </row>
    <row r="154" spans="1:4">
      <c r="A154">
        <v>0</v>
      </c>
      <c r="B154">
        <v>348</v>
      </c>
      <c r="C154">
        <f t="shared" si="16"/>
        <v>16</v>
      </c>
      <c r="D154">
        <f t="shared" ca="1" si="15"/>
        <v>-2.5</v>
      </c>
    </row>
    <row r="155" spans="1:4">
      <c r="A155">
        <v>0</v>
      </c>
      <c r="B155">
        <v>352</v>
      </c>
      <c r="C155">
        <f t="shared" si="16"/>
        <v>16</v>
      </c>
      <c r="D155">
        <f t="shared" ca="1" si="15"/>
        <v>-2.5</v>
      </c>
    </row>
    <row r="156" spans="1:4">
      <c r="A156">
        <v>0</v>
      </c>
      <c r="B156">
        <v>356</v>
      </c>
      <c r="C156">
        <f t="shared" si="16"/>
        <v>16</v>
      </c>
      <c r="D156">
        <f t="shared" ca="1" si="15"/>
        <v>-2.5</v>
      </c>
    </row>
    <row r="157" spans="1:4">
      <c r="A157">
        <v>0</v>
      </c>
      <c r="B157">
        <v>360</v>
      </c>
      <c r="C157">
        <f t="shared" si="16"/>
        <v>16</v>
      </c>
      <c r="D157">
        <f t="shared" ca="1" si="15"/>
        <v>-2.5</v>
      </c>
    </row>
    <row r="158" spans="1:4">
      <c r="A158">
        <v>0</v>
      </c>
      <c r="B158">
        <v>364</v>
      </c>
      <c r="C158">
        <f t="shared" si="16"/>
        <v>16</v>
      </c>
      <c r="D158">
        <f t="shared" ca="1" si="15"/>
        <v>-2.5</v>
      </c>
    </row>
    <row r="159" spans="1:4">
      <c r="A159">
        <v>0</v>
      </c>
      <c r="B159">
        <v>368</v>
      </c>
      <c r="C159">
        <f t="shared" si="16"/>
        <v>16</v>
      </c>
      <c r="D159">
        <f t="shared" ca="1" si="15"/>
        <v>-2.5</v>
      </c>
    </row>
    <row r="160" spans="1:4">
      <c r="A160">
        <v>0</v>
      </c>
      <c r="B160">
        <v>372</v>
      </c>
      <c r="C160">
        <f t="shared" si="16"/>
        <v>16</v>
      </c>
      <c r="D160">
        <f t="shared" ca="1" si="15"/>
        <v>-2.5</v>
      </c>
    </row>
    <row r="161" spans="1:4">
      <c r="A161">
        <v>0</v>
      </c>
      <c r="B161">
        <v>376</v>
      </c>
      <c r="C161">
        <f t="shared" si="16"/>
        <v>16</v>
      </c>
      <c r="D161">
        <f t="shared" ca="1" si="15"/>
        <v>-2.5</v>
      </c>
    </row>
    <row r="162" spans="1:4">
      <c r="A162">
        <v>0</v>
      </c>
      <c r="B162">
        <v>380</v>
      </c>
      <c r="C162">
        <f t="shared" si="16"/>
        <v>16</v>
      </c>
      <c r="D162">
        <f t="shared" ca="1" si="15"/>
        <v>-2.5</v>
      </c>
    </row>
    <row r="163" spans="1:4">
      <c r="A163">
        <v>0</v>
      </c>
      <c r="B163">
        <v>384</v>
      </c>
      <c r="C163">
        <f t="shared" si="16"/>
        <v>16</v>
      </c>
      <c r="D163">
        <f t="shared" ca="1" si="15"/>
        <v>-2.5</v>
      </c>
    </row>
    <row r="164" spans="1:4">
      <c r="A164">
        <v>0</v>
      </c>
      <c r="B164">
        <v>388</v>
      </c>
      <c r="C164">
        <f t="shared" si="16"/>
        <v>16</v>
      </c>
      <c r="D164">
        <f t="shared" ca="1" si="15"/>
        <v>-2.5</v>
      </c>
    </row>
    <row r="165" spans="1:4">
      <c r="A165">
        <v>1</v>
      </c>
      <c r="B165">
        <v>392</v>
      </c>
      <c r="C165">
        <f t="shared" si="16"/>
        <v>16</v>
      </c>
      <c r="D165">
        <f t="shared" ca="1" si="15"/>
        <v>-0.59026869423631467</v>
      </c>
    </row>
    <row r="166" spans="1:4">
      <c r="A166">
        <v>0</v>
      </c>
      <c r="B166">
        <v>396</v>
      </c>
      <c r="C166">
        <f t="shared" si="16"/>
        <v>17</v>
      </c>
      <c r="D166">
        <f t="shared" ca="1" si="15"/>
        <v>-2.5</v>
      </c>
    </row>
    <row r="167" spans="1:4">
      <c r="A167">
        <v>1</v>
      </c>
      <c r="B167">
        <v>400</v>
      </c>
      <c r="C167">
        <f t="shared" si="16"/>
        <v>17</v>
      </c>
      <c r="D167">
        <f t="shared" ca="1" si="15"/>
        <v>0.88227401184149112</v>
      </c>
    </row>
    <row r="168" spans="1:4">
      <c r="A168">
        <v>0</v>
      </c>
      <c r="B168">
        <v>404</v>
      </c>
      <c r="C168">
        <f t="shared" si="16"/>
        <v>18</v>
      </c>
      <c r="D168">
        <f t="shared" ca="1" si="15"/>
        <v>-2.5</v>
      </c>
    </row>
    <row r="169" spans="1:4">
      <c r="A169">
        <v>1</v>
      </c>
      <c r="B169">
        <v>408</v>
      </c>
      <c r="C169">
        <f t="shared" si="16"/>
        <v>18</v>
      </c>
      <c r="D169">
        <f t="shared" ca="1" si="15"/>
        <v>0.82968999177927771</v>
      </c>
    </row>
    <row r="170" spans="1:4">
      <c r="A170">
        <v>0</v>
      </c>
      <c r="B170">
        <v>412</v>
      </c>
      <c r="C170">
        <f t="shared" si="16"/>
        <v>19</v>
      </c>
      <c r="D170">
        <f t="shared" ca="1" si="15"/>
        <v>-2.5</v>
      </c>
    </row>
    <row r="171" spans="1:4">
      <c r="A171">
        <v>0</v>
      </c>
      <c r="B171">
        <v>416</v>
      </c>
      <c r="C171">
        <f t="shared" si="16"/>
        <v>19</v>
      </c>
      <c r="D171">
        <f t="shared" ca="1" si="15"/>
        <v>-2.5</v>
      </c>
    </row>
    <row r="172" spans="1:4">
      <c r="A172">
        <v>1</v>
      </c>
      <c r="B172">
        <v>420</v>
      </c>
      <c r="C172">
        <f t="shared" si="16"/>
        <v>19</v>
      </c>
      <c r="D172">
        <f t="shared" ca="1" si="15"/>
        <v>0.8140976682869745</v>
      </c>
    </row>
    <row r="173" spans="1:4">
      <c r="A173">
        <v>0</v>
      </c>
      <c r="B173">
        <v>424</v>
      </c>
      <c r="C173">
        <f t="shared" si="16"/>
        <v>20</v>
      </c>
      <c r="D173">
        <f t="shared" ca="1" si="15"/>
        <v>-2.5</v>
      </c>
    </row>
    <row r="174" spans="1:4">
      <c r="A174">
        <v>0</v>
      </c>
      <c r="B174">
        <v>428</v>
      </c>
      <c r="C174">
        <f t="shared" si="16"/>
        <v>20</v>
      </c>
      <c r="D174">
        <f t="shared" ca="1" si="15"/>
        <v>-2.5</v>
      </c>
    </row>
    <row r="175" spans="1:4">
      <c r="A175">
        <v>0</v>
      </c>
      <c r="B175">
        <v>432</v>
      </c>
      <c r="C175">
        <f t="shared" si="16"/>
        <v>20</v>
      </c>
      <c r="D175">
        <f t="shared" ca="1" si="15"/>
        <v>-2.5</v>
      </c>
    </row>
    <row r="176" spans="1:4">
      <c r="A176">
        <v>0</v>
      </c>
      <c r="B176">
        <v>436</v>
      </c>
      <c r="C176">
        <f t="shared" si="16"/>
        <v>20</v>
      </c>
      <c r="D176">
        <f t="shared" ca="1" si="15"/>
        <v>-2.5</v>
      </c>
    </row>
    <row r="177" spans="1:4">
      <c r="A177">
        <v>0</v>
      </c>
      <c r="B177">
        <v>440</v>
      </c>
      <c r="C177">
        <f t="shared" si="16"/>
        <v>20</v>
      </c>
      <c r="D177">
        <f t="shared" ca="1" si="15"/>
        <v>-2.5</v>
      </c>
    </row>
    <row r="178" spans="1:4">
      <c r="A178">
        <v>0</v>
      </c>
      <c r="B178">
        <v>444</v>
      </c>
      <c r="C178">
        <f t="shared" si="16"/>
        <v>20</v>
      </c>
      <c r="D178">
        <f t="shared" ca="1" si="15"/>
        <v>-2.5</v>
      </c>
    </row>
    <row r="179" spans="1:4">
      <c r="A179">
        <v>0</v>
      </c>
      <c r="B179">
        <v>448</v>
      </c>
      <c r="C179">
        <f t="shared" si="16"/>
        <v>20</v>
      </c>
      <c r="D179">
        <f t="shared" ca="1" si="15"/>
        <v>-2.5</v>
      </c>
    </row>
    <row r="180" spans="1:4">
      <c r="A180">
        <v>1</v>
      </c>
      <c r="B180">
        <v>452</v>
      </c>
      <c r="C180">
        <f t="shared" si="16"/>
        <v>20</v>
      </c>
      <c r="D180">
        <f t="shared" ca="1" si="15"/>
        <v>0.93610715591790283</v>
      </c>
    </row>
    <row r="181" spans="1:4">
      <c r="A181">
        <v>1</v>
      </c>
      <c r="B181">
        <v>456</v>
      </c>
      <c r="C181">
        <f t="shared" si="16"/>
        <v>21</v>
      </c>
      <c r="D181">
        <f t="shared" ca="1" si="15"/>
        <v>0.8748398009663223</v>
      </c>
    </row>
    <row r="182" spans="1:4">
      <c r="A182">
        <v>0</v>
      </c>
      <c r="B182">
        <v>460</v>
      </c>
      <c r="C182">
        <f t="shared" si="16"/>
        <v>22</v>
      </c>
      <c r="D182">
        <f t="shared" ca="1" si="15"/>
        <v>-2.5</v>
      </c>
    </row>
    <row r="183" spans="1:4">
      <c r="A183">
        <v>1</v>
      </c>
      <c r="B183">
        <v>464</v>
      </c>
      <c r="C183">
        <f t="shared" si="16"/>
        <v>22</v>
      </c>
      <c r="D183">
        <f t="shared" ca="1" si="15"/>
        <v>0.81445423847497267</v>
      </c>
    </row>
    <row r="184" spans="1:4">
      <c r="A184">
        <v>1</v>
      </c>
      <c r="B184">
        <v>468</v>
      </c>
      <c r="C184">
        <f t="shared" si="16"/>
        <v>23</v>
      </c>
      <c r="D184">
        <f t="shared" ca="1" si="15"/>
        <v>0.97690250093427977</v>
      </c>
    </row>
    <row r="185" spans="1:4">
      <c r="A185">
        <v>0</v>
      </c>
      <c r="B185">
        <v>472</v>
      </c>
      <c r="C185">
        <f t="shared" si="16"/>
        <v>24</v>
      </c>
      <c r="D185">
        <f t="shared" ca="1" si="15"/>
        <v>-2.5</v>
      </c>
    </row>
    <row r="186" spans="1:4">
      <c r="A186">
        <v>1</v>
      </c>
      <c r="B186">
        <v>476</v>
      </c>
      <c r="C186">
        <f t="shared" si="16"/>
        <v>24</v>
      </c>
      <c r="D186">
        <f t="shared" ca="1" si="15"/>
        <v>0.97481953158101908</v>
      </c>
    </row>
    <row r="187" spans="1:4">
      <c r="A187">
        <v>0</v>
      </c>
      <c r="B187">
        <v>480</v>
      </c>
      <c r="C187">
        <f t="shared" si="16"/>
        <v>25</v>
      </c>
      <c r="D187">
        <f t="shared" ca="1" si="15"/>
        <v>-2.5</v>
      </c>
    </row>
    <row r="188" spans="1:4">
      <c r="A188">
        <v>1</v>
      </c>
      <c r="B188">
        <v>484</v>
      </c>
      <c r="C188">
        <f t="shared" si="16"/>
        <v>25</v>
      </c>
      <c r="D188">
        <f t="shared" ca="1" si="15"/>
        <v>0.82665305558370827</v>
      </c>
    </row>
    <row r="189" spans="1:4">
      <c r="A189">
        <v>0</v>
      </c>
      <c r="B189">
        <v>488</v>
      </c>
      <c r="C189">
        <f t="shared" si="16"/>
        <v>26</v>
      </c>
      <c r="D189">
        <f t="shared" ca="1" si="15"/>
        <v>-2.5</v>
      </c>
    </row>
    <row r="190" spans="1:4">
      <c r="A190">
        <v>0</v>
      </c>
      <c r="B190">
        <v>492</v>
      </c>
      <c r="C190">
        <f t="shared" si="16"/>
        <v>26</v>
      </c>
      <c r="D190">
        <f t="shared" ca="1" si="15"/>
        <v>-2.5</v>
      </c>
    </row>
    <row r="191" spans="1:4">
      <c r="A191">
        <v>0</v>
      </c>
      <c r="B191">
        <v>496</v>
      </c>
      <c r="C191">
        <f t="shared" si="16"/>
        <v>26</v>
      </c>
      <c r="D191">
        <f t="shared" ca="1" si="15"/>
        <v>-2.5</v>
      </c>
    </row>
    <row r="192" spans="1:4">
      <c r="A192">
        <v>0</v>
      </c>
      <c r="B192">
        <v>500</v>
      </c>
      <c r="C192">
        <f t="shared" si="16"/>
        <v>26</v>
      </c>
      <c r="D192">
        <f t="shared" ca="1" si="15"/>
        <v>-2.5</v>
      </c>
    </row>
    <row r="193" spans="1:4">
      <c r="A193">
        <v>0</v>
      </c>
      <c r="B193">
        <v>504</v>
      </c>
      <c r="C193">
        <f t="shared" si="16"/>
        <v>26</v>
      </c>
      <c r="D193">
        <f t="shared" ca="1" si="15"/>
        <v>-2.5</v>
      </c>
    </row>
    <row r="194" spans="1:4">
      <c r="A194">
        <v>0</v>
      </c>
      <c r="B194">
        <v>508</v>
      </c>
      <c r="C194">
        <f t="shared" si="16"/>
        <v>26</v>
      </c>
      <c r="D194">
        <f t="shared" ca="1" si="15"/>
        <v>-2.5</v>
      </c>
    </row>
    <row r="195" spans="1:4">
      <c r="A195">
        <v>0</v>
      </c>
      <c r="B195">
        <v>512</v>
      </c>
      <c r="C195">
        <f t="shared" si="16"/>
        <v>26</v>
      </c>
      <c r="D195">
        <f t="shared" ca="1" si="15"/>
        <v>-2.5</v>
      </c>
    </row>
    <row r="196" spans="1:4">
      <c r="A196">
        <v>0</v>
      </c>
      <c r="B196">
        <v>516</v>
      </c>
      <c r="C196">
        <f t="shared" si="16"/>
        <v>26</v>
      </c>
      <c r="D196">
        <f t="shared" ca="1" si="15"/>
        <v>-2.5</v>
      </c>
    </row>
    <row r="197" spans="1:4">
      <c r="A197">
        <v>0</v>
      </c>
      <c r="B197">
        <v>520</v>
      </c>
      <c r="C197">
        <f t="shared" si="16"/>
        <v>26</v>
      </c>
      <c r="D197">
        <f t="shared" ca="1" si="15"/>
        <v>-2.5</v>
      </c>
    </row>
    <row r="198" spans="1:4">
      <c r="A198">
        <v>0</v>
      </c>
      <c r="B198">
        <v>524</v>
      </c>
      <c r="C198">
        <f t="shared" si="16"/>
        <v>26</v>
      </c>
      <c r="D198">
        <f t="shared" ca="1" si="15"/>
        <v>-2.5</v>
      </c>
    </row>
    <row r="199" spans="1:4">
      <c r="A199">
        <v>0</v>
      </c>
      <c r="B199">
        <v>528</v>
      </c>
      <c r="C199">
        <f t="shared" si="16"/>
        <v>26</v>
      </c>
      <c r="D199">
        <f t="shared" ref="D199:D262" ca="1" si="17">IF($A199=1, OFFSET($Y$6,$C199,0),-2.5)</f>
        <v>-2.5</v>
      </c>
    </row>
    <row r="200" spans="1:4">
      <c r="A200">
        <v>1</v>
      </c>
      <c r="B200">
        <v>532</v>
      </c>
      <c r="C200">
        <f t="shared" si="16"/>
        <v>26</v>
      </c>
      <c r="D200">
        <f t="shared" ca="1" si="17"/>
        <v>-0.41127498781528971</v>
      </c>
    </row>
    <row r="201" spans="1:4">
      <c r="A201">
        <v>0</v>
      </c>
      <c r="B201">
        <v>536</v>
      </c>
      <c r="C201">
        <f t="shared" si="16"/>
        <v>27</v>
      </c>
      <c r="D201">
        <f t="shared" ca="1" si="17"/>
        <v>-2.5</v>
      </c>
    </row>
    <row r="202" spans="1:4">
      <c r="A202">
        <v>1</v>
      </c>
      <c r="B202">
        <v>540</v>
      </c>
      <c r="C202">
        <f t="shared" si="16"/>
        <v>27</v>
      </c>
      <c r="D202">
        <f t="shared" ca="1" si="17"/>
        <v>0.95799657390348947</v>
      </c>
    </row>
    <row r="203" spans="1:4">
      <c r="A203">
        <v>0</v>
      </c>
      <c r="B203">
        <v>544</v>
      </c>
      <c r="C203">
        <f t="shared" si="16"/>
        <v>28</v>
      </c>
      <c r="D203">
        <f t="shared" ca="1" si="17"/>
        <v>-2.5</v>
      </c>
    </row>
    <row r="204" spans="1:4">
      <c r="A204">
        <v>1</v>
      </c>
      <c r="B204">
        <v>548</v>
      </c>
      <c r="C204">
        <f t="shared" si="16"/>
        <v>28</v>
      </c>
      <c r="D204">
        <f t="shared" ca="1" si="17"/>
        <v>0.91096363713681416</v>
      </c>
    </row>
    <row r="205" spans="1:4">
      <c r="A205">
        <v>0</v>
      </c>
      <c r="B205">
        <v>552</v>
      </c>
      <c r="C205">
        <f t="shared" ref="C205:C268" si="18">IF(A204=1,C204+1,C204)</f>
        <v>29</v>
      </c>
      <c r="D205">
        <f t="shared" ca="1" si="17"/>
        <v>-2.5</v>
      </c>
    </row>
    <row r="206" spans="1:4">
      <c r="A206">
        <v>0</v>
      </c>
      <c r="B206">
        <v>556</v>
      </c>
      <c r="C206">
        <f t="shared" si="18"/>
        <v>29</v>
      </c>
      <c r="D206">
        <f t="shared" ca="1" si="17"/>
        <v>-2.5</v>
      </c>
    </row>
    <row r="207" spans="1:4">
      <c r="A207">
        <v>1</v>
      </c>
      <c r="B207">
        <v>560</v>
      </c>
      <c r="C207">
        <f t="shared" si="18"/>
        <v>29</v>
      </c>
      <c r="D207">
        <f t="shared" ca="1" si="17"/>
        <v>0.99032295536726189</v>
      </c>
    </row>
    <row r="208" spans="1:4">
      <c r="A208">
        <v>0</v>
      </c>
      <c r="B208">
        <v>564</v>
      </c>
      <c r="C208">
        <f t="shared" si="18"/>
        <v>30</v>
      </c>
      <c r="D208">
        <f t="shared" ca="1" si="17"/>
        <v>-2.5</v>
      </c>
    </row>
    <row r="209" spans="1:4">
      <c r="A209">
        <v>0</v>
      </c>
      <c r="B209">
        <v>568</v>
      </c>
      <c r="C209">
        <f t="shared" si="18"/>
        <v>30</v>
      </c>
      <c r="D209">
        <f t="shared" ca="1" si="17"/>
        <v>-2.5</v>
      </c>
    </row>
    <row r="210" spans="1:4">
      <c r="A210">
        <v>0</v>
      </c>
      <c r="B210">
        <v>572</v>
      </c>
      <c r="C210">
        <f t="shared" si="18"/>
        <v>30</v>
      </c>
      <c r="D210">
        <f t="shared" ca="1" si="17"/>
        <v>-2.5</v>
      </c>
    </row>
    <row r="211" spans="1:4">
      <c r="A211">
        <v>0</v>
      </c>
      <c r="B211">
        <v>576</v>
      </c>
      <c r="C211">
        <f t="shared" si="18"/>
        <v>30</v>
      </c>
      <c r="D211">
        <f t="shared" ca="1" si="17"/>
        <v>-2.5</v>
      </c>
    </row>
    <row r="212" spans="1:4">
      <c r="A212">
        <v>0</v>
      </c>
      <c r="B212">
        <v>580</v>
      </c>
      <c r="C212">
        <f t="shared" si="18"/>
        <v>30</v>
      </c>
      <c r="D212">
        <f t="shared" ca="1" si="17"/>
        <v>-2.5</v>
      </c>
    </row>
    <row r="213" spans="1:4">
      <c r="A213">
        <v>0</v>
      </c>
      <c r="B213">
        <v>584</v>
      </c>
      <c r="C213">
        <f t="shared" si="18"/>
        <v>30</v>
      </c>
      <c r="D213">
        <f t="shared" ca="1" si="17"/>
        <v>-2.5</v>
      </c>
    </row>
    <row r="214" spans="1:4">
      <c r="A214">
        <v>0</v>
      </c>
      <c r="B214">
        <v>588</v>
      </c>
      <c r="C214">
        <f t="shared" si="18"/>
        <v>30</v>
      </c>
      <c r="D214">
        <f t="shared" ca="1" si="17"/>
        <v>-2.5</v>
      </c>
    </row>
    <row r="215" spans="1:4">
      <c r="A215">
        <v>1</v>
      </c>
      <c r="B215">
        <v>592</v>
      </c>
      <c r="C215">
        <f t="shared" si="18"/>
        <v>30</v>
      </c>
      <c r="D215">
        <f t="shared" ca="1" si="17"/>
        <v>0.82759338802744642</v>
      </c>
    </row>
    <row r="216" spans="1:4">
      <c r="A216">
        <v>1</v>
      </c>
      <c r="B216">
        <v>596</v>
      </c>
      <c r="C216">
        <f t="shared" si="18"/>
        <v>31</v>
      </c>
      <c r="D216">
        <f t="shared" ca="1" si="17"/>
        <v>0.72093677223329022</v>
      </c>
    </row>
    <row r="217" spans="1:4">
      <c r="A217">
        <v>0</v>
      </c>
      <c r="B217">
        <v>600</v>
      </c>
      <c r="C217">
        <f t="shared" si="18"/>
        <v>32</v>
      </c>
      <c r="D217">
        <f t="shared" ca="1" si="17"/>
        <v>-2.5</v>
      </c>
    </row>
    <row r="218" spans="1:4">
      <c r="A218">
        <v>1</v>
      </c>
      <c r="B218">
        <v>604</v>
      </c>
      <c r="C218">
        <f t="shared" si="18"/>
        <v>32</v>
      </c>
      <c r="D218">
        <f t="shared" ca="1" si="17"/>
        <v>-0.50607951249336658</v>
      </c>
    </row>
    <row r="219" spans="1:4">
      <c r="A219">
        <v>1</v>
      </c>
      <c r="B219">
        <v>608</v>
      </c>
      <c r="C219">
        <f t="shared" si="18"/>
        <v>33</v>
      </c>
      <c r="D219">
        <f t="shared" ca="1" si="17"/>
        <v>0.87029995778040492</v>
      </c>
    </row>
    <row r="220" spans="1:4">
      <c r="A220">
        <v>0</v>
      </c>
      <c r="B220">
        <v>612</v>
      </c>
      <c r="C220">
        <f t="shared" si="18"/>
        <v>34</v>
      </c>
      <c r="D220">
        <f t="shared" ca="1" si="17"/>
        <v>-2.5</v>
      </c>
    </row>
    <row r="221" spans="1:4">
      <c r="A221">
        <v>1</v>
      </c>
      <c r="B221">
        <v>616</v>
      </c>
      <c r="C221">
        <f t="shared" si="18"/>
        <v>34</v>
      </c>
      <c r="D221">
        <f t="shared" ca="1" si="17"/>
        <v>0.86542421597470676</v>
      </c>
    </row>
    <row r="222" spans="1:4">
      <c r="A222">
        <v>0</v>
      </c>
      <c r="B222">
        <v>620</v>
      </c>
      <c r="C222">
        <f t="shared" si="18"/>
        <v>35</v>
      </c>
      <c r="D222">
        <f t="shared" ca="1" si="17"/>
        <v>-2.5</v>
      </c>
    </row>
    <row r="223" spans="1:4">
      <c r="A223">
        <v>1</v>
      </c>
      <c r="B223">
        <v>624</v>
      </c>
      <c r="C223">
        <f t="shared" si="18"/>
        <v>35</v>
      </c>
      <c r="D223">
        <f t="shared" ca="1" si="17"/>
        <v>0.91217476032670741</v>
      </c>
    </row>
    <row r="224" spans="1:4">
      <c r="A224">
        <v>0</v>
      </c>
      <c r="B224">
        <v>628</v>
      </c>
      <c r="C224">
        <f t="shared" si="18"/>
        <v>36</v>
      </c>
      <c r="D224">
        <f t="shared" ca="1" si="17"/>
        <v>-2.5</v>
      </c>
    </row>
    <row r="225" spans="1:4">
      <c r="A225">
        <v>0</v>
      </c>
      <c r="B225">
        <v>632</v>
      </c>
      <c r="C225">
        <f t="shared" si="18"/>
        <v>36</v>
      </c>
      <c r="D225">
        <f t="shared" ca="1" si="17"/>
        <v>-2.5</v>
      </c>
    </row>
    <row r="226" spans="1:4">
      <c r="A226">
        <v>0</v>
      </c>
      <c r="B226">
        <v>636</v>
      </c>
      <c r="C226">
        <f t="shared" si="18"/>
        <v>36</v>
      </c>
      <c r="D226">
        <f t="shared" ca="1" si="17"/>
        <v>-2.5</v>
      </c>
    </row>
    <row r="227" spans="1:4">
      <c r="A227">
        <v>0</v>
      </c>
      <c r="B227">
        <v>640</v>
      </c>
      <c r="C227">
        <f t="shared" si="18"/>
        <v>36</v>
      </c>
      <c r="D227">
        <f t="shared" ca="1" si="17"/>
        <v>-2.5</v>
      </c>
    </row>
    <row r="228" spans="1:4">
      <c r="A228">
        <v>0</v>
      </c>
      <c r="B228">
        <v>644</v>
      </c>
      <c r="C228">
        <f t="shared" si="18"/>
        <v>36</v>
      </c>
      <c r="D228">
        <f t="shared" ca="1" si="17"/>
        <v>-2.5</v>
      </c>
    </row>
    <row r="229" spans="1:4">
      <c r="A229">
        <v>0</v>
      </c>
      <c r="B229">
        <v>648</v>
      </c>
      <c r="C229">
        <f t="shared" si="18"/>
        <v>36</v>
      </c>
      <c r="D229">
        <f t="shared" ca="1" si="17"/>
        <v>-2.5</v>
      </c>
    </row>
    <row r="230" spans="1:4">
      <c r="A230">
        <v>0</v>
      </c>
      <c r="B230">
        <v>652</v>
      </c>
      <c r="C230">
        <f t="shared" si="18"/>
        <v>36</v>
      </c>
      <c r="D230">
        <f t="shared" ca="1" si="17"/>
        <v>-2.5</v>
      </c>
    </row>
    <row r="231" spans="1:4">
      <c r="A231">
        <v>0</v>
      </c>
      <c r="B231">
        <v>656</v>
      </c>
      <c r="C231">
        <f t="shared" si="18"/>
        <v>36</v>
      </c>
      <c r="D231">
        <f t="shared" ca="1" si="17"/>
        <v>-2.5</v>
      </c>
    </row>
    <row r="232" spans="1:4">
      <c r="A232">
        <v>0</v>
      </c>
      <c r="B232">
        <v>660</v>
      </c>
      <c r="C232">
        <f t="shared" si="18"/>
        <v>36</v>
      </c>
      <c r="D232">
        <f t="shared" ca="1" si="17"/>
        <v>-2.5</v>
      </c>
    </row>
    <row r="233" spans="1:4">
      <c r="A233">
        <v>0</v>
      </c>
      <c r="B233">
        <v>664</v>
      </c>
      <c r="C233">
        <f t="shared" si="18"/>
        <v>36</v>
      </c>
      <c r="D233">
        <f t="shared" ca="1" si="17"/>
        <v>-2.5</v>
      </c>
    </row>
    <row r="234" spans="1:4">
      <c r="A234">
        <v>0</v>
      </c>
      <c r="B234">
        <v>668</v>
      </c>
      <c r="C234">
        <f t="shared" si="18"/>
        <v>36</v>
      </c>
      <c r="D234">
        <f t="shared" ca="1" si="17"/>
        <v>-2.5</v>
      </c>
    </row>
    <row r="235" spans="1:4">
      <c r="A235">
        <v>1</v>
      </c>
      <c r="B235">
        <v>672</v>
      </c>
      <c r="C235">
        <f t="shared" si="18"/>
        <v>36</v>
      </c>
      <c r="D235">
        <f t="shared" ca="1" si="17"/>
        <v>-0.46111484009254644</v>
      </c>
    </row>
    <row r="236" spans="1:4">
      <c r="A236">
        <v>0</v>
      </c>
      <c r="B236">
        <v>676</v>
      </c>
      <c r="C236">
        <f t="shared" si="18"/>
        <v>37</v>
      </c>
      <c r="D236">
        <f t="shared" ca="1" si="17"/>
        <v>-2.5</v>
      </c>
    </row>
    <row r="237" spans="1:4">
      <c r="A237">
        <v>1</v>
      </c>
      <c r="B237">
        <v>680</v>
      </c>
      <c r="C237">
        <f t="shared" si="18"/>
        <v>37</v>
      </c>
      <c r="D237">
        <f t="shared" ca="1" si="17"/>
        <v>0.84673817237759308</v>
      </c>
    </row>
    <row r="238" spans="1:4">
      <c r="A238">
        <v>0</v>
      </c>
      <c r="B238">
        <v>684</v>
      </c>
      <c r="C238">
        <f t="shared" si="18"/>
        <v>38</v>
      </c>
      <c r="D238">
        <f t="shared" ca="1" si="17"/>
        <v>-2.5</v>
      </c>
    </row>
    <row r="239" spans="1:4">
      <c r="A239">
        <v>1</v>
      </c>
      <c r="B239">
        <v>688</v>
      </c>
      <c r="C239">
        <f t="shared" si="18"/>
        <v>38</v>
      </c>
      <c r="D239">
        <f t="shared" ca="1" si="17"/>
        <v>0.78197435612335497</v>
      </c>
    </row>
    <row r="240" spans="1:4">
      <c r="A240">
        <v>0</v>
      </c>
      <c r="B240">
        <v>692</v>
      </c>
      <c r="C240">
        <f t="shared" si="18"/>
        <v>39</v>
      </c>
      <c r="D240">
        <f t="shared" ca="1" si="17"/>
        <v>-2.5</v>
      </c>
    </row>
    <row r="241" spans="1:4">
      <c r="A241">
        <v>0</v>
      </c>
      <c r="B241">
        <v>696</v>
      </c>
      <c r="C241">
        <f t="shared" si="18"/>
        <v>39</v>
      </c>
      <c r="D241">
        <f t="shared" ca="1" si="17"/>
        <v>-2.5</v>
      </c>
    </row>
    <row r="242" spans="1:4">
      <c r="A242">
        <v>1</v>
      </c>
      <c r="B242">
        <v>700</v>
      </c>
      <c r="C242">
        <f t="shared" si="18"/>
        <v>39</v>
      </c>
      <c r="D242">
        <f t="shared" ca="1" si="17"/>
        <v>0.88167779017320314</v>
      </c>
    </row>
    <row r="243" spans="1:4">
      <c r="A243">
        <v>0</v>
      </c>
      <c r="B243">
        <v>704</v>
      </c>
      <c r="C243">
        <f t="shared" si="18"/>
        <v>40</v>
      </c>
      <c r="D243">
        <f t="shared" ca="1" si="17"/>
        <v>-2.5</v>
      </c>
    </row>
    <row r="244" spans="1:4">
      <c r="A244">
        <v>0</v>
      </c>
      <c r="B244">
        <v>708</v>
      </c>
      <c r="C244">
        <f t="shared" si="18"/>
        <v>40</v>
      </c>
      <c r="D244">
        <f t="shared" ca="1" si="17"/>
        <v>-2.5</v>
      </c>
    </row>
    <row r="245" spans="1:4">
      <c r="A245">
        <v>0</v>
      </c>
      <c r="B245">
        <v>712</v>
      </c>
      <c r="C245">
        <f t="shared" si="18"/>
        <v>40</v>
      </c>
      <c r="D245">
        <f t="shared" ca="1" si="17"/>
        <v>-2.5</v>
      </c>
    </row>
    <row r="246" spans="1:4">
      <c r="A246">
        <v>0</v>
      </c>
      <c r="B246">
        <v>716</v>
      </c>
      <c r="C246">
        <f t="shared" si="18"/>
        <v>40</v>
      </c>
      <c r="D246">
        <f t="shared" ca="1" si="17"/>
        <v>-2.5</v>
      </c>
    </row>
    <row r="247" spans="1:4">
      <c r="A247">
        <v>0</v>
      </c>
      <c r="B247">
        <v>720</v>
      </c>
      <c r="C247">
        <f t="shared" si="18"/>
        <v>40</v>
      </c>
      <c r="D247">
        <f t="shared" ca="1" si="17"/>
        <v>-2.5</v>
      </c>
    </row>
    <row r="248" spans="1:4">
      <c r="A248">
        <v>0</v>
      </c>
      <c r="B248">
        <v>724</v>
      </c>
      <c r="C248">
        <f t="shared" si="18"/>
        <v>40</v>
      </c>
      <c r="D248">
        <f t="shared" ca="1" si="17"/>
        <v>-2.5</v>
      </c>
    </row>
    <row r="249" spans="1:4">
      <c r="A249">
        <v>0</v>
      </c>
      <c r="B249">
        <v>728</v>
      </c>
      <c r="C249">
        <f t="shared" si="18"/>
        <v>40</v>
      </c>
      <c r="D249">
        <f t="shared" ca="1" si="17"/>
        <v>-2.5</v>
      </c>
    </row>
    <row r="250" spans="1:4">
      <c r="A250">
        <v>1</v>
      </c>
      <c r="B250">
        <v>732</v>
      </c>
      <c r="C250">
        <f t="shared" si="18"/>
        <v>40</v>
      </c>
      <c r="D250">
        <f t="shared" ca="1" si="17"/>
        <v>0.69013018312346097</v>
      </c>
    </row>
    <row r="251" spans="1:4">
      <c r="A251">
        <v>1</v>
      </c>
      <c r="B251">
        <v>736</v>
      </c>
      <c r="C251">
        <f t="shared" si="18"/>
        <v>41</v>
      </c>
      <c r="D251">
        <f t="shared" ca="1" si="17"/>
        <v>0.63143951250937325</v>
      </c>
    </row>
    <row r="252" spans="1:4">
      <c r="A252">
        <v>0</v>
      </c>
      <c r="B252">
        <v>740</v>
      </c>
      <c r="C252">
        <f t="shared" si="18"/>
        <v>42</v>
      </c>
      <c r="D252">
        <f t="shared" ca="1" si="17"/>
        <v>-2.5</v>
      </c>
    </row>
    <row r="253" spans="1:4">
      <c r="A253">
        <v>1</v>
      </c>
      <c r="B253">
        <v>744</v>
      </c>
      <c r="C253">
        <f t="shared" si="18"/>
        <v>42</v>
      </c>
      <c r="D253">
        <f t="shared" ca="1" si="17"/>
        <v>0.69747402617498633</v>
      </c>
    </row>
    <row r="254" spans="1:4">
      <c r="A254">
        <v>1</v>
      </c>
      <c r="B254">
        <v>748</v>
      </c>
      <c r="C254">
        <f t="shared" si="18"/>
        <v>43</v>
      </c>
      <c r="D254">
        <f t="shared" ca="1" si="17"/>
        <v>0.80755669896807691</v>
      </c>
    </row>
    <row r="255" spans="1:4">
      <c r="A255">
        <v>0</v>
      </c>
      <c r="B255">
        <v>752</v>
      </c>
      <c r="C255">
        <f t="shared" si="18"/>
        <v>44</v>
      </c>
      <c r="D255">
        <f t="shared" ca="1" si="17"/>
        <v>-2.5</v>
      </c>
    </row>
    <row r="256" spans="1:4">
      <c r="A256">
        <v>1</v>
      </c>
      <c r="B256">
        <v>756</v>
      </c>
      <c r="C256">
        <f t="shared" si="18"/>
        <v>44</v>
      </c>
      <c r="D256">
        <f t="shared" ca="1" si="17"/>
        <v>0.9839807700938149</v>
      </c>
    </row>
    <row r="257" spans="1:4">
      <c r="A257">
        <v>0</v>
      </c>
      <c r="B257">
        <v>760</v>
      </c>
      <c r="C257">
        <f t="shared" si="18"/>
        <v>45</v>
      </c>
      <c r="D257">
        <f t="shared" ca="1" si="17"/>
        <v>-2.5</v>
      </c>
    </row>
    <row r="258" spans="1:4">
      <c r="A258">
        <v>1</v>
      </c>
      <c r="B258">
        <v>764</v>
      </c>
      <c r="C258">
        <f t="shared" si="18"/>
        <v>45</v>
      </c>
      <c r="D258">
        <f t="shared" ca="1" si="17"/>
        <v>0.85693999292416279</v>
      </c>
    </row>
    <row r="259" spans="1:4">
      <c r="A259">
        <v>0</v>
      </c>
      <c r="B259">
        <v>768</v>
      </c>
      <c r="C259">
        <f t="shared" si="18"/>
        <v>46</v>
      </c>
      <c r="D259">
        <f t="shared" ca="1" si="17"/>
        <v>-2.5</v>
      </c>
    </row>
    <row r="260" spans="1:4">
      <c r="A260">
        <v>0</v>
      </c>
      <c r="B260">
        <v>772</v>
      </c>
      <c r="C260">
        <f t="shared" si="18"/>
        <v>46</v>
      </c>
      <c r="D260">
        <f t="shared" ca="1" si="17"/>
        <v>-2.5</v>
      </c>
    </row>
    <row r="261" spans="1:4">
      <c r="A261">
        <v>0</v>
      </c>
      <c r="B261">
        <v>776</v>
      </c>
      <c r="C261">
        <f t="shared" si="18"/>
        <v>46</v>
      </c>
      <c r="D261">
        <f t="shared" ca="1" si="17"/>
        <v>-2.5</v>
      </c>
    </row>
    <row r="262" spans="1:4">
      <c r="A262">
        <v>0</v>
      </c>
      <c r="B262">
        <v>780</v>
      </c>
      <c r="C262">
        <f t="shared" si="18"/>
        <v>46</v>
      </c>
      <c r="D262">
        <f t="shared" ca="1" si="17"/>
        <v>-2.5</v>
      </c>
    </row>
    <row r="263" spans="1:4">
      <c r="A263">
        <v>0</v>
      </c>
      <c r="B263">
        <v>784</v>
      </c>
      <c r="C263">
        <f t="shared" si="18"/>
        <v>46</v>
      </c>
      <c r="D263">
        <f t="shared" ref="D263:D326" ca="1" si="19">IF($A263=1, OFFSET($Y$6,$C263,0),-2.5)</f>
        <v>-2.5</v>
      </c>
    </row>
    <row r="264" spans="1:4">
      <c r="A264">
        <v>0</v>
      </c>
      <c r="B264">
        <v>788</v>
      </c>
      <c r="C264">
        <f t="shared" si="18"/>
        <v>46</v>
      </c>
      <c r="D264">
        <f t="shared" ca="1" si="19"/>
        <v>-2.5</v>
      </c>
    </row>
    <row r="265" spans="1:4">
      <c r="A265">
        <v>0</v>
      </c>
      <c r="B265">
        <v>792</v>
      </c>
      <c r="C265">
        <f t="shared" si="18"/>
        <v>46</v>
      </c>
      <c r="D265">
        <f t="shared" ca="1" si="19"/>
        <v>-2.5</v>
      </c>
    </row>
    <row r="266" spans="1:4">
      <c r="A266">
        <v>0</v>
      </c>
      <c r="B266">
        <v>796</v>
      </c>
      <c r="C266">
        <f t="shared" si="18"/>
        <v>46</v>
      </c>
      <c r="D266">
        <f t="shared" ca="1" si="19"/>
        <v>-2.5</v>
      </c>
    </row>
    <row r="267" spans="1:4">
      <c r="A267">
        <v>0</v>
      </c>
      <c r="B267">
        <v>800</v>
      </c>
      <c r="C267">
        <f t="shared" si="18"/>
        <v>46</v>
      </c>
      <c r="D267">
        <f t="shared" ca="1" si="19"/>
        <v>-2.5</v>
      </c>
    </row>
    <row r="268" spans="1:4">
      <c r="A268">
        <v>0</v>
      </c>
      <c r="B268">
        <v>804</v>
      </c>
      <c r="C268">
        <f t="shared" si="18"/>
        <v>46</v>
      </c>
      <c r="D268">
        <f t="shared" ca="1" si="19"/>
        <v>-2.5</v>
      </c>
    </row>
    <row r="269" spans="1:4">
      <c r="A269">
        <v>0</v>
      </c>
      <c r="B269">
        <v>808</v>
      </c>
      <c r="C269">
        <f t="shared" ref="C269:C332" si="20">IF(A268=1,C268+1,C268)</f>
        <v>46</v>
      </c>
      <c r="D269">
        <f t="shared" ca="1" si="19"/>
        <v>-2.5</v>
      </c>
    </row>
    <row r="270" spans="1:4">
      <c r="A270">
        <v>1</v>
      </c>
      <c r="B270">
        <v>812</v>
      </c>
      <c r="C270">
        <f t="shared" si="20"/>
        <v>46</v>
      </c>
      <c r="D270">
        <f t="shared" ca="1" si="19"/>
        <v>-1.0136674067876097</v>
      </c>
    </row>
    <row r="271" spans="1:4">
      <c r="A271">
        <v>0</v>
      </c>
      <c r="B271">
        <v>816</v>
      </c>
      <c r="C271">
        <f t="shared" si="20"/>
        <v>47</v>
      </c>
      <c r="D271">
        <f t="shared" ca="1" si="19"/>
        <v>-2.5</v>
      </c>
    </row>
    <row r="272" spans="1:4">
      <c r="A272">
        <v>1</v>
      </c>
      <c r="B272">
        <v>820</v>
      </c>
      <c r="C272">
        <f t="shared" si="20"/>
        <v>47</v>
      </c>
      <c r="D272">
        <f t="shared" ca="1" si="19"/>
        <v>0.72678979043152103</v>
      </c>
    </row>
    <row r="273" spans="1:4">
      <c r="A273">
        <v>0</v>
      </c>
      <c r="B273">
        <v>824</v>
      </c>
      <c r="C273">
        <f t="shared" si="20"/>
        <v>48</v>
      </c>
      <c r="D273">
        <f t="shared" ca="1" si="19"/>
        <v>-2.5</v>
      </c>
    </row>
    <row r="274" spans="1:4">
      <c r="A274">
        <v>1</v>
      </c>
      <c r="B274">
        <v>828</v>
      </c>
      <c r="C274">
        <f t="shared" si="20"/>
        <v>48</v>
      </c>
      <c r="D274">
        <f t="shared" ca="1" si="19"/>
        <v>0.71992999841915206</v>
      </c>
    </row>
    <row r="275" spans="1:4">
      <c r="A275">
        <v>0</v>
      </c>
      <c r="B275">
        <v>832</v>
      </c>
      <c r="C275">
        <f t="shared" si="20"/>
        <v>49</v>
      </c>
      <c r="D275">
        <f t="shared" ca="1" si="19"/>
        <v>-2.5</v>
      </c>
    </row>
    <row r="276" spans="1:4">
      <c r="A276">
        <v>0</v>
      </c>
      <c r="B276">
        <v>836</v>
      </c>
      <c r="C276">
        <f t="shared" si="20"/>
        <v>49</v>
      </c>
      <c r="D276">
        <f t="shared" ca="1" si="19"/>
        <v>-2.5</v>
      </c>
    </row>
    <row r="277" spans="1:4">
      <c r="A277">
        <v>1</v>
      </c>
      <c r="B277">
        <v>840</v>
      </c>
      <c r="C277">
        <f t="shared" si="20"/>
        <v>49</v>
      </c>
      <c r="D277">
        <f t="shared" ca="1" si="19"/>
        <v>0.82575878383627055</v>
      </c>
    </row>
    <row r="278" spans="1:4">
      <c r="A278">
        <v>0</v>
      </c>
      <c r="B278">
        <v>844</v>
      </c>
      <c r="C278">
        <f t="shared" si="20"/>
        <v>50</v>
      </c>
      <c r="D278">
        <f t="shared" ca="1" si="19"/>
        <v>-2.5</v>
      </c>
    </row>
    <row r="279" spans="1:4">
      <c r="A279">
        <v>0</v>
      </c>
      <c r="B279">
        <v>848</v>
      </c>
      <c r="C279">
        <f t="shared" si="20"/>
        <v>50</v>
      </c>
      <c r="D279">
        <f t="shared" ca="1" si="19"/>
        <v>-2.5</v>
      </c>
    </row>
    <row r="280" spans="1:4">
      <c r="A280">
        <v>0</v>
      </c>
      <c r="B280">
        <v>852</v>
      </c>
      <c r="C280">
        <f t="shared" si="20"/>
        <v>50</v>
      </c>
      <c r="D280">
        <f t="shared" ca="1" si="19"/>
        <v>-2.5</v>
      </c>
    </row>
    <row r="281" spans="1:4">
      <c r="A281">
        <v>0</v>
      </c>
      <c r="B281">
        <v>856</v>
      </c>
      <c r="C281">
        <f t="shared" si="20"/>
        <v>50</v>
      </c>
      <c r="D281">
        <f t="shared" ca="1" si="19"/>
        <v>-2.5</v>
      </c>
    </row>
    <row r="282" spans="1:4">
      <c r="A282">
        <v>0</v>
      </c>
      <c r="B282">
        <v>860</v>
      </c>
      <c r="C282">
        <f t="shared" si="20"/>
        <v>50</v>
      </c>
      <c r="D282">
        <f t="shared" ca="1" si="19"/>
        <v>-2.5</v>
      </c>
    </row>
    <row r="283" spans="1:4">
      <c r="A283">
        <v>0</v>
      </c>
      <c r="B283">
        <v>864</v>
      </c>
      <c r="C283">
        <f t="shared" si="20"/>
        <v>50</v>
      </c>
      <c r="D283">
        <f t="shared" ca="1" si="19"/>
        <v>-2.5</v>
      </c>
    </row>
    <row r="284" spans="1:4">
      <c r="A284">
        <v>0</v>
      </c>
      <c r="B284">
        <v>868</v>
      </c>
      <c r="C284">
        <f t="shared" si="20"/>
        <v>50</v>
      </c>
      <c r="D284">
        <f t="shared" ca="1" si="19"/>
        <v>-2.5</v>
      </c>
    </row>
    <row r="285" spans="1:4">
      <c r="A285">
        <v>0</v>
      </c>
      <c r="B285">
        <v>872</v>
      </c>
      <c r="C285">
        <f t="shared" si="20"/>
        <v>50</v>
      </c>
      <c r="D285">
        <f t="shared" ca="1" si="19"/>
        <v>-2.5</v>
      </c>
    </row>
    <row r="286" spans="1:4">
      <c r="A286">
        <v>0</v>
      </c>
      <c r="B286">
        <v>876</v>
      </c>
      <c r="C286">
        <f t="shared" si="20"/>
        <v>50</v>
      </c>
      <c r="D286">
        <f t="shared" ca="1" si="19"/>
        <v>-2.5</v>
      </c>
    </row>
    <row r="287" spans="1:4">
      <c r="A287">
        <v>0</v>
      </c>
      <c r="B287">
        <v>880</v>
      </c>
      <c r="C287">
        <f t="shared" si="20"/>
        <v>50</v>
      </c>
      <c r="D287">
        <f t="shared" ca="1" si="19"/>
        <v>-2.5</v>
      </c>
    </row>
    <row r="288" spans="1:4">
      <c r="A288">
        <v>0</v>
      </c>
      <c r="B288">
        <v>884</v>
      </c>
      <c r="C288">
        <f t="shared" si="20"/>
        <v>50</v>
      </c>
      <c r="D288">
        <f t="shared" ca="1" si="19"/>
        <v>-2.5</v>
      </c>
    </row>
    <row r="289" spans="1:4">
      <c r="A289">
        <v>0</v>
      </c>
      <c r="B289">
        <v>888</v>
      </c>
      <c r="C289">
        <f t="shared" si="20"/>
        <v>50</v>
      </c>
      <c r="D289">
        <f t="shared" ca="1" si="19"/>
        <v>-2.5</v>
      </c>
    </row>
    <row r="290" spans="1:4">
      <c r="A290">
        <v>0</v>
      </c>
      <c r="B290">
        <v>892</v>
      </c>
      <c r="C290">
        <f t="shared" si="20"/>
        <v>50</v>
      </c>
      <c r="D290">
        <f t="shared" ca="1" si="19"/>
        <v>-2.5</v>
      </c>
    </row>
    <row r="291" spans="1:4">
      <c r="A291">
        <v>0</v>
      </c>
      <c r="B291">
        <v>896</v>
      </c>
      <c r="C291">
        <f t="shared" si="20"/>
        <v>50</v>
      </c>
      <c r="D291">
        <f t="shared" ca="1" si="19"/>
        <v>-2.5</v>
      </c>
    </row>
    <row r="292" spans="1:4">
      <c r="A292">
        <v>0</v>
      </c>
      <c r="B292">
        <v>900</v>
      </c>
      <c r="C292">
        <f t="shared" si="20"/>
        <v>50</v>
      </c>
      <c r="D292">
        <f t="shared" ca="1" si="19"/>
        <v>-2.5</v>
      </c>
    </row>
    <row r="293" spans="1:4">
      <c r="A293">
        <v>0</v>
      </c>
      <c r="B293">
        <v>904</v>
      </c>
      <c r="C293">
        <f t="shared" si="20"/>
        <v>50</v>
      </c>
      <c r="D293">
        <f t="shared" ca="1" si="19"/>
        <v>-2.5</v>
      </c>
    </row>
    <row r="294" spans="1:4">
      <c r="A294">
        <v>0</v>
      </c>
      <c r="B294">
        <v>908</v>
      </c>
      <c r="C294">
        <f t="shared" si="20"/>
        <v>50</v>
      </c>
      <c r="D294">
        <f t="shared" ca="1" si="19"/>
        <v>-2.5</v>
      </c>
    </row>
    <row r="295" spans="1:4">
      <c r="A295">
        <v>0</v>
      </c>
      <c r="B295">
        <v>912</v>
      </c>
      <c r="C295">
        <f t="shared" si="20"/>
        <v>50</v>
      </c>
      <c r="D295">
        <f t="shared" ca="1" si="19"/>
        <v>-2.5</v>
      </c>
    </row>
    <row r="296" spans="1:4">
      <c r="A296">
        <v>0</v>
      </c>
      <c r="B296">
        <v>916</v>
      </c>
      <c r="C296">
        <f t="shared" si="20"/>
        <v>50</v>
      </c>
      <c r="D296">
        <f t="shared" ca="1" si="19"/>
        <v>-2.5</v>
      </c>
    </row>
    <row r="297" spans="1:4">
      <c r="A297">
        <v>0</v>
      </c>
      <c r="B297">
        <v>920</v>
      </c>
      <c r="C297">
        <f t="shared" si="20"/>
        <v>50</v>
      </c>
      <c r="D297">
        <f t="shared" ca="1" si="19"/>
        <v>-2.5</v>
      </c>
    </row>
    <row r="298" spans="1:4">
      <c r="A298">
        <v>0</v>
      </c>
      <c r="B298">
        <v>924</v>
      </c>
      <c r="C298">
        <f t="shared" si="20"/>
        <v>50</v>
      </c>
      <c r="D298">
        <f t="shared" ca="1" si="19"/>
        <v>-2.5</v>
      </c>
    </row>
    <row r="299" spans="1:4">
      <c r="A299">
        <v>0</v>
      </c>
      <c r="B299">
        <v>928</v>
      </c>
      <c r="C299">
        <f t="shared" si="20"/>
        <v>50</v>
      </c>
      <c r="D299">
        <f t="shared" ca="1" si="19"/>
        <v>-2.5</v>
      </c>
    </row>
    <row r="300" spans="1:4">
      <c r="A300">
        <v>0</v>
      </c>
      <c r="B300">
        <v>932</v>
      </c>
      <c r="C300">
        <f t="shared" si="20"/>
        <v>50</v>
      </c>
      <c r="D300">
        <f t="shared" ca="1" si="19"/>
        <v>-2.5</v>
      </c>
    </row>
    <row r="301" spans="1:4">
      <c r="A301">
        <v>0</v>
      </c>
      <c r="B301">
        <v>936</v>
      </c>
      <c r="C301">
        <f t="shared" si="20"/>
        <v>50</v>
      </c>
      <c r="D301">
        <f t="shared" ca="1" si="19"/>
        <v>-2.5</v>
      </c>
    </row>
    <row r="302" spans="1:4">
      <c r="A302">
        <v>0</v>
      </c>
      <c r="B302">
        <v>940</v>
      </c>
      <c r="C302">
        <f t="shared" si="20"/>
        <v>50</v>
      </c>
      <c r="D302">
        <f t="shared" ca="1" si="19"/>
        <v>-2.5</v>
      </c>
    </row>
    <row r="303" spans="1:4">
      <c r="A303">
        <v>0</v>
      </c>
      <c r="B303">
        <v>944</v>
      </c>
      <c r="C303">
        <f t="shared" si="20"/>
        <v>50</v>
      </c>
      <c r="D303">
        <f t="shared" ca="1" si="19"/>
        <v>-2.5</v>
      </c>
    </row>
    <row r="304" spans="1:4">
      <c r="A304">
        <v>0</v>
      </c>
      <c r="B304">
        <v>948</v>
      </c>
      <c r="C304">
        <f t="shared" si="20"/>
        <v>50</v>
      </c>
      <c r="D304">
        <f t="shared" ca="1" si="19"/>
        <v>-2.5</v>
      </c>
    </row>
    <row r="305" spans="1:4">
      <c r="A305">
        <v>0</v>
      </c>
      <c r="B305">
        <v>952</v>
      </c>
      <c r="C305">
        <f t="shared" si="20"/>
        <v>50</v>
      </c>
      <c r="D305">
        <f t="shared" ca="1" si="19"/>
        <v>-2.5</v>
      </c>
    </row>
    <row r="306" spans="1:4">
      <c r="A306">
        <v>0</v>
      </c>
      <c r="B306">
        <v>956</v>
      </c>
      <c r="C306">
        <f t="shared" si="20"/>
        <v>50</v>
      </c>
      <c r="D306">
        <f t="shared" ca="1" si="19"/>
        <v>-2.5</v>
      </c>
    </row>
    <row r="307" spans="1:4">
      <c r="A307">
        <v>0</v>
      </c>
      <c r="B307">
        <v>960</v>
      </c>
      <c r="C307">
        <f t="shared" si="20"/>
        <v>50</v>
      </c>
      <c r="D307">
        <f t="shared" ca="1" si="19"/>
        <v>-2.5</v>
      </c>
    </row>
    <row r="308" spans="1:4">
      <c r="A308">
        <v>0</v>
      </c>
      <c r="B308">
        <v>964</v>
      </c>
      <c r="C308">
        <f t="shared" si="20"/>
        <v>50</v>
      </c>
      <c r="D308">
        <f t="shared" ca="1" si="19"/>
        <v>-2.5</v>
      </c>
    </row>
    <row r="309" spans="1:4">
      <c r="A309">
        <v>0</v>
      </c>
      <c r="B309">
        <v>968</v>
      </c>
      <c r="C309">
        <f t="shared" si="20"/>
        <v>50</v>
      </c>
      <c r="D309">
        <f t="shared" ca="1" si="19"/>
        <v>-2.5</v>
      </c>
    </row>
    <row r="310" spans="1:4">
      <c r="A310">
        <v>0</v>
      </c>
      <c r="B310">
        <v>972</v>
      </c>
      <c r="C310">
        <f t="shared" si="20"/>
        <v>50</v>
      </c>
      <c r="D310">
        <f t="shared" ca="1" si="19"/>
        <v>-2.5</v>
      </c>
    </row>
    <row r="311" spans="1:4">
      <c r="A311">
        <v>0</v>
      </c>
      <c r="B311">
        <v>976</v>
      </c>
      <c r="C311">
        <f t="shared" si="20"/>
        <v>50</v>
      </c>
      <c r="D311">
        <f t="shared" ca="1" si="19"/>
        <v>-2.5</v>
      </c>
    </row>
    <row r="312" spans="1:4">
      <c r="A312">
        <v>0</v>
      </c>
      <c r="B312">
        <v>980</v>
      </c>
      <c r="C312">
        <f t="shared" si="20"/>
        <v>50</v>
      </c>
      <c r="D312">
        <f t="shared" ca="1" si="19"/>
        <v>-2.5</v>
      </c>
    </row>
    <row r="313" spans="1:4">
      <c r="A313">
        <v>0</v>
      </c>
      <c r="B313">
        <v>984</v>
      </c>
      <c r="C313">
        <f t="shared" si="20"/>
        <v>50</v>
      </c>
      <c r="D313">
        <f t="shared" ca="1" si="19"/>
        <v>-2.5</v>
      </c>
    </row>
    <row r="314" spans="1:4">
      <c r="A314">
        <v>0</v>
      </c>
      <c r="B314">
        <v>988</v>
      </c>
      <c r="C314">
        <f t="shared" si="20"/>
        <v>50</v>
      </c>
      <c r="D314">
        <f t="shared" ca="1" si="19"/>
        <v>-2.5</v>
      </c>
    </row>
    <row r="315" spans="1:4">
      <c r="A315">
        <v>0</v>
      </c>
      <c r="B315">
        <v>992</v>
      </c>
      <c r="C315">
        <f t="shared" si="20"/>
        <v>50</v>
      </c>
      <c r="D315">
        <f t="shared" ca="1" si="19"/>
        <v>-2.5</v>
      </c>
    </row>
    <row r="316" spans="1:4">
      <c r="A316">
        <v>0</v>
      </c>
      <c r="B316">
        <v>996</v>
      </c>
      <c r="C316">
        <f t="shared" si="20"/>
        <v>50</v>
      </c>
      <c r="D316">
        <f t="shared" ca="1" si="19"/>
        <v>-2.5</v>
      </c>
    </row>
    <row r="317" spans="1:4">
      <c r="A317">
        <v>0</v>
      </c>
      <c r="B317">
        <v>1000</v>
      </c>
      <c r="C317">
        <f t="shared" si="20"/>
        <v>50</v>
      </c>
      <c r="D317">
        <f t="shared" ca="1" si="19"/>
        <v>-2.5</v>
      </c>
    </row>
    <row r="318" spans="1:4">
      <c r="A318">
        <v>0</v>
      </c>
      <c r="B318">
        <v>1004</v>
      </c>
      <c r="C318">
        <f t="shared" si="20"/>
        <v>50</v>
      </c>
      <c r="D318">
        <f t="shared" ca="1" si="19"/>
        <v>-2.5</v>
      </c>
    </row>
    <row r="319" spans="1:4">
      <c r="A319">
        <v>0</v>
      </c>
      <c r="B319">
        <v>1008</v>
      </c>
      <c r="C319">
        <f t="shared" si="20"/>
        <v>50</v>
      </c>
      <c r="D319">
        <f t="shared" ca="1" si="19"/>
        <v>-2.5</v>
      </c>
    </row>
    <row r="320" spans="1:4">
      <c r="A320">
        <v>1</v>
      </c>
      <c r="B320">
        <v>1012</v>
      </c>
      <c r="C320">
        <f t="shared" si="20"/>
        <v>50</v>
      </c>
      <c r="D320">
        <f t="shared" ca="1" si="19"/>
        <v>0.38939110304520774</v>
      </c>
    </row>
    <row r="321" spans="1:4">
      <c r="A321">
        <v>1</v>
      </c>
      <c r="B321">
        <v>1016</v>
      </c>
      <c r="C321">
        <f t="shared" si="20"/>
        <v>51</v>
      </c>
      <c r="D321">
        <f t="shared" ca="1" si="19"/>
        <v>-1.227086256125983</v>
      </c>
    </row>
    <row r="322" spans="1:4">
      <c r="A322">
        <v>1</v>
      </c>
      <c r="B322">
        <v>1020</v>
      </c>
      <c r="C322">
        <f t="shared" si="20"/>
        <v>52</v>
      </c>
      <c r="D322">
        <f t="shared" ca="1" si="19"/>
        <v>0.49026565426721702</v>
      </c>
    </row>
    <row r="323" spans="1:4">
      <c r="A323">
        <v>0</v>
      </c>
      <c r="B323">
        <v>1024</v>
      </c>
      <c r="C323">
        <f t="shared" si="20"/>
        <v>53</v>
      </c>
      <c r="D323">
        <f t="shared" ca="1" si="19"/>
        <v>-2.5</v>
      </c>
    </row>
    <row r="324" spans="1:4">
      <c r="A324">
        <v>1</v>
      </c>
      <c r="B324">
        <v>1028</v>
      </c>
      <c r="C324">
        <f t="shared" si="20"/>
        <v>53</v>
      </c>
      <c r="D324">
        <f t="shared" ca="1" si="19"/>
        <v>0.60399323218846601</v>
      </c>
    </row>
    <row r="325" spans="1:4">
      <c r="A325">
        <v>1</v>
      </c>
      <c r="B325">
        <v>1032</v>
      </c>
      <c r="C325">
        <f t="shared" si="20"/>
        <v>54</v>
      </c>
      <c r="D325">
        <f t="shared" ca="1" si="19"/>
        <v>0.85158978649509898</v>
      </c>
    </row>
    <row r="326" spans="1:4">
      <c r="A326">
        <v>0</v>
      </c>
      <c r="B326">
        <v>1036</v>
      </c>
      <c r="C326">
        <f t="shared" si="20"/>
        <v>55</v>
      </c>
      <c r="D326">
        <f t="shared" ca="1" si="19"/>
        <v>-2.5</v>
      </c>
    </row>
    <row r="327" spans="1:4">
      <c r="A327">
        <v>1</v>
      </c>
      <c r="B327">
        <v>1040</v>
      </c>
      <c r="C327">
        <f t="shared" si="20"/>
        <v>55</v>
      </c>
      <c r="D327">
        <f t="shared" ref="D327:D348" ca="1" si="21">IF($A327=1, OFFSET($Y$6,$C327,0),-2.5)</f>
        <v>0.67393587644362873</v>
      </c>
    </row>
    <row r="328" spans="1:4">
      <c r="A328">
        <v>0</v>
      </c>
      <c r="B328">
        <v>1044</v>
      </c>
      <c r="C328">
        <f t="shared" si="20"/>
        <v>56</v>
      </c>
      <c r="D328">
        <f t="shared" ca="1" si="21"/>
        <v>-2.5</v>
      </c>
    </row>
    <row r="329" spans="1:4">
      <c r="A329">
        <v>0</v>
      </c>
      <c r="B329">
        <v>1048</v>
      </c>
      <c r="C329">
        <f t="shared" si="20"/>
        <v>56</v>
      </c>
      <c r="D329">
        <f t="shared" ca="1" si="21"/>
        <v>-2.5</v>
      </c>
    </row>
    <row r="330" spans="1:4">
      <c r="A330">
        <v>0</v>
      </c>
      <c r="B330">
        <v>1052</v>
      </c>
      <c r="C330">
        <f t="shared" si="20"/>
        <v>56</v>
      </c>
      <c r="D330">
        <f t="shared" ca="1" si="21"/>
        <v>-2.5</v>
      </c>
    </row>
    <row r="331" spans="1:4">
      <c r="A331">
        <v>0</v>
      </c>
      <c r="B331">
        <v>1056</v>
      </c>
      <c r="C331">
        <f t="shared" si="20"/>
        <v>56</v>
      </c>
      <c r="D331">
        <f t="shared" ca="1" si="21"/>
        <v>-2.5</v>
      </c>
    </row>
    <row r="332" spans="1:4">
      <c r="A332">
        <v>0</v>
      </c>
      <c r="B332">
        <v>1060</v>
      </c>
      <c r="C332">
        <f t="shared" si="20"/>
        <v>56</v>
      </c>
      <c r="D332">
        <f t="shared" ca="1" si="21"/>
        <v>-2.5</v>
      </c>
    </row>
    <row r="333" spans="1:4">
      <c r="A333">
        <v>0</v>
      </c>
      <c r="B333">
        <v>1064</v>
      </c>
      <c r="C333">
        <f t="shared" ref="C333:C348" si="22">IF(A332=1,C332+1,C332)</f>
        <v>56</v>
      </c>
      <c r="D333">
        <f t="shared" ca="1" si="21"/>
        <v>-2.5</v>
      </c>
    </row>
    <row r="334" spans="1:4">
      <c r="A334">
        <v>0</v>
      </c>
      <c r="B334">
        <v>1068</v>
      </c>
      <c r="C334">
        <f t="shared" si="22"/>
        <v>56</v>
      </c>
      <c r="D334">
        <f t="shared" ca="1" si="21"/>
        <v>-2.5</v>
      </c>
    </row>
    <row r="335" spans="1:4">
      <c r="A335">
        <v>0</v>
      </c>
      <c r="B335">
        <v>1072</v>
      </c>
      <c r="C335">
        <f t="shared" si="22"/>
        <v>56</v>
      </c>
      <c r="D335">
        <f t="shared" ca="1" si="21"/>
        <v>-2.5</v>
      </c>
    </row>
    <row r="336" spans="1:4">
      <c r="A336">
        <v>0</v>
      </c>
      <c r="B336">
        <v>1076</v>
      </c>
      <c r="C336">
        <f t="shared" si="22"/>
        <v>56</v>
      </c>
      <c r="D336">
        <f t="shared" ca="1" si="21"/>
        <v>-2.5</v>
      </c>
    </row>
    <row r="337" spans="1:4">
      <c r="A337">
        <v>0</v>
      </c>
      <c r="B337">
        <v>1080</v>
      </c>
      <c r="C337">
        <f t="shared" si="22"/>
        <v>56</v>
      </c>
      <c r="D337">
        <f t="shared" ca="1" si="21"/>
        <v>-2.5</v>
      </c>
    </row>
    <row r="338" spans="1:4">
      <c r="A338">
        <v>0</v>
      </c>
      <c r="B338">
        <v>1084</v>
      </c>
      <c r="C338">
        <f t="shared" si="22"/>
        <v>56</v>
      </c>
      <c r="D338">
        <f t="shared" ca="1" si="21"/>
        <v>-2.5</v>
      </c>
    </row>
    <row r="339" spans="1:4">
      <c r="A339">
        <v>0</v>
      </c>
      <c r="B339">
        <v>1088</v>
      </c>
      <c r="C339">
        <f t="shared" si="22"/>
        <v>56</v>
      </c>
      <c r="D339">
        <f t="shared" ca="1" si="21"/>
        <v>-2.5</v>
      </c>
    </row>
    <row r="340" spans="1:4">
      <c r="A340">
        <v>1</v>
      </c>
      <c r="B340">
        <v>1092</v>
      </c>
      <c r="C340">
        <f t="shared" si="22"/>
        <v>56</v>
      </c>
      <c r="D340">
        <f t="shared" ca="1" si="21"/>
        <v>0.58096983505235555</v>
      </c>
    </row>
    <row r="341" spans="1:4">
      <c r="A341">
        <v>1</v>
      </c>
      <c r="B341">
        <v>1096</v>
      </c>
      <c r="C341">
        <f t="shared" si="22"/>
        <v>57</v>
      </c>
      <c r="D341">
        <f t="shared" ca="1" si="21"/>
        <v>0.52435305012099009</v>
      </c>
    </row>
    <row r="342" spans="1:4">
      <c r="A342">
        <v>0</v>
      </c>
      <c r="B342">
        <v>1100</v>
      </c>
      <c r="C342">
        <f t="shared" si="22"/>
        <v>58</v>
      </c>
      <c r="D342">
        <f t="shared" ca="1" si="21"/>
        <v>-2.5</v>
      </c>
    </row>
    <row r="343" spans="1:4">
      <c r="A343">
        <v>1</v>
      </c>
      <c r="B343">
        <v>1104</v>
      </c>
      <c r="C343">
        <f t="shared" si="22"/>
        <v>58</v>
      </c>
      <c r="D343">
        <f t="shared" ca="1" si="21"/>
        <v>0.50378477000219024</v>
      </c>
    </row>
    <row r="344" spans="1:4">
      <c r="A344">
        <v>0</v>
      </c>
      <c r="B344">
        <v>1108</v>
      </c>
      <c r="C344">
        <f t="shared" si="22"/>
        <v>59</v>
      </c>
      <c r="D344">
        <f t="shared" ca="1" si="21"/>
        <v>-2.5</v>
      </c>
    </row>
    <row r="345" spans="1:4">
      <c r="A345">
        <v>0</v>
      </c>
      <c r="B345">
        <v>1112</v>
      </c>
      <c r="C345">
        <f t="shared" si="22"/>
        <v>59</v>
      </c>
      <c r="D345">
        <f t="shared" ca="1" si="21"/>
        <v>-2.5</v>
      </c>
    </row>
    <row r="346" spans="1:4">
      <c r="A346">
        <v>1</v>
      </c>
      <c r="B346">
        <v>1116</v>
      </c>
      <c r="C346">
        <f t="shared" si="22"/>
        <v>59</v>
      </c>
      <c r="D346">
        <f ca="1">IF($A346=1, OFFSET($Y$6,$C346,0),-2.5)</f>
        <v>0.63686432294837592</v>
      </c>
    </row>
    <row r="347" spans="1:4">
      <c r="A347">
        <v>0</v>
      </c>
      <c r="B347">
        <v>1120</v>
      </c>
      <c r="C347">
        <f t="shared" si="22"/>
        <v>60</v>
      </c>
      <c r="D347">
        <f t="shared" ca="1" si="21"/>
        <v>-2.5</v>
      </c>
    </row>
    <row r="348" spans="1:4">
      <c r="A348">
        <v>0</v>
      </c>
      <c r="B348">
        <v>1124</v>
      </c>
      <c r="C348">
        <f t="shared" si="22"/>
        <v>60</v>
      </c>
      <c r="D348">
        <f t="shared" ca="1" si="21"/>
        <v>-2.5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5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4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3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topLeftCell="G1" workbookViewId="0">
      <selection activeCell="U2" sqref="U2:U9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2.7</v>
      </c>
      <c r="E2">
        <f>100/SQRT(B2^2+(C2*$D$2)^2)</f>
        <v>1.8624921846573541</v>
      </c>
      <c r="F2">
        <f>B2*E2</f>
        <v>-56.697727202708755</v>
      </c>
      <c r="G2">
        <f>C2*E2</f>
        <v>-30.508645764746682</v>
      </c>
      <c r="I2">
        <f>ASIN(F2/100)</f>
        <v>-0.60283165470988054</v>
      </c>
      <c r="J2">
        <f>ASIN(G2/100)</f>
        <v>-0.31002921385435006</v>
      </c>
      <c r="L2">
        <f>IF(F2&gt;0,(I2*-1)+(PI()/2),I2+(1.5*PI()))</f>
        <v>4.1095573256748095</v>
      </c>
      <c r="M2">
        <f>IF(G2&gt;0,(J2*-1)+(PI()/2),J2+(1.5*PI()))</f>
        <v>4.4023597665303393</v>
      </c>
      <c r="O2" t="str">
        <f>COMPLEX(B2,C2*$D$2)</f>
        <v>-30,4418604651163-44,2274841437632i</v>
      </c>
      <c r="P2">
        <f>IMARGUMENT(O2)</f>
        <v>-2.1736279815047777</v>
      </c>
      <c r="Q2">
        <f>IF( AND($B2&gt;0, $C2&gt;0),$P2,IF( AND($B2&lt;0,$C2&gt;0),$P2+PI()/2,IF( AND($B2&gt;0,$C2&lt;0),$P2+2*PI(),IF( AND($B2&lt;0,$C2&lt;0),$P2+2*PI(),0))))/(2*PI())</f>
        <v>0.65405636230065578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4.1095573256748086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6.350545841088497</v>
      </c>
      <c r="F4">
        <f t="shared" si="0"/>
        <v>-77.684694383660144</v>
      </c>
      <c r="G4">
        <f t="shared" si="1"/>
        <v>23.321832140549137</v>
      </c>
      <c r="I4">
        <f t="shared" si="2"/>
        <v>-0.88964291411162777</v>
      </c>
      <c r="J4">
        <f t="shared" si="3"/>
        <v>0.23538596165560891</v>
      </c>
      <c r="L4">
        <f t="shared" si="4"/>
        <v>3.8227460662730621</v>
      </c>
      <c r="M4">
        <f t="shared" si="5"/>
        <v>1.3354103651392877</v>
      </c>
      <c r="O4" t="str">
        <f t="shared" si="6"/>
        <v>-12,2327586206897+9,91551724137931i</v>
      </c>
      <c r="P4">
        <f t="shared" si="7"/>
        <v>2.4604392409065263</v>
      </c>
      <c r="Q4">
        <f t="shared" si="8"/>
        <v>0.64159106736754434</v>
      </c>
      <c r="R4" t="str">
        <f t="shared" si="9"/>
        <v>Q2</v>
      </c>
      <c r="S4">
        <f>S2+S3</f>
        <v>4.7123889803846897</v>
      </c>
      <c r="U4" s="29">
        <f t="shared" si="10"/>
        <v>4.0312355677014224</v>
      </c>
    </row>
    <row r="5" spans="1:21">
      <c r="A5">
        <v>4</v>
      </c>
      <c r="B5" s="16">
        <v>-4.4375</v>
      </c>
      <c r="C5" s="16">
        <v>-0.34375</v>
      </c>
      <c r="E5">
        <f t="shared" si="11"/>
        <v>22.057905240900126</v>
      </c>
      <c r="F5">
        <f t="shared" si="0"/>
        <v>-97.88195450649431</v>
      </c>
      <c r="G5">
        <f t="shared" si="1"/>
        <v>-7.582404926559418</v>
      </c>
      <c r="I5">
        <f t="shared" si="2"/>
        <v>-1.3646136468919292</v>
      </c>
      <c r="J5">
        <f t="shared" si="3"/>
        <v>-7.5896893581154853E-2</v>
      </c>
      <c r="L5">
        <f t="shared" si="4"/>
        <v>3.3477753334927605</v>
      </c>
      <c r="M5">
        <f t="shared" si="5"/>
        <v>4.6364920868035346</v>
      </c>
      <c r="O5" t="str">
        <f t="shared" si="6"/>
        <v>-4,4375-0,928125i</v>
      </c>
      <c r="P5">
        <f t="shared" si="7"/>
        <v>-2.9354099736868258</v>
      </c>
      <c r="Q5">
        <f t="shared" si="8"/>
        <v>0.53281499268649124</v>
      </c>
      <c r="R5" t="str">
        <f t="shared" si="9"/>
        <v>Q3</v>
      </c>
      <c r="S5">
        <f>PI()/0.5</f>
        <v>6.2831853071795862</v>
      </c>
      <c r="U5" s="29">
        <f t="shared" si="10"/>
        <v>3.3477753334927605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2.4321169243422154</v>
      </c>
      <c r="F6">
        <f t="shared" si="0"/>
        <v>35.081918079097036</v>
      </c>
      <c r="G6">
        <f t="shared" si="1"/>
        <v>-34.683082184751527</v>
      </c>
      <c r="I6">
        <f t="shared" si="2"/>
        <v>0.35844573938702901</v>
      </c>
      <c r="J6">
        <f t="shared" si="3"/>
        <v>-0.35419006846117873</v>
      </c>
      <c r="L6">
        <f t="shared" si="4"/>
        <v>1.2123505874078675</v>
      </c>
      <c r="M6">
        <f t="shared" si="5"/>
        <v>4.3581989119235107</v>
      </c>
      <c r="O6" t="str">
        <f t="shared" si="6"/>
        <v>14,4244372990354-38,5032154340836i</v>
      </c>
      <c r="P6">
        <f t="shared" si="7"/>
        <v>-1.2123505874078671</v>
      </c>
      <c r="Q6">
        <f t="shared" si="8"/>
        <v>0.80704841125367499</v>
      </c>
      <c r="R6" t="str">
        <f t="shared" si="9"/>
        <v>Q4</v>
      </c>
      <c r="U6" s="29">
        <f t="shared" si="10"/>
        <v>5.0708347197717192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1.1359661298230297</v>
      </c>
      <c r="F7">
        <f t="shared" si="0"/>
        <v>43.308708699503008</v>
      </c>
      <c r="G7">
        <f t="shared" si="1"/>
        <v>-33.383410431139829</v>
      </c>
      <c r="I7">
        <f t="shared" si="2"/>
        <v>0.4479149214270563</v>
      </c>
      <c r="J7">
        <f t="shared" si="3"/>
        <v>-0.34036810719198235</v>
      </c>
      <c r="L7">
        <f t="shared" si="4"/>
        <v>1.1228814053678402</v>
      </c>
      <c r="M7">
        <f t="shared" si="5"/>
        <v>4.3720208731927075</v>
      </c>
      <c r="O7" t="str">
        <f t="shared" si="6"/>
        <v>38,125-79,3467391304348i</v>
      </c>
      <c r="P7">
        <f t="shared" si="7"/>
        <v>-1.1228814053678404</v>
      </c>
      <c r="Q7">
        <f t="shared" si="8"/>
        <v>0.82128787382973389</v>
      </c>
      <c r="R7" t="str">
        <f t="shared" si="9"/>
        <v>Q4</v>
      </c>
      <c r="U7" s="29">
        <f t="shared" si="10"/>
        <v>5.160303901811746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1.188915828302513</v>
      </c>
      <c r="F9">
        <f t="shared" si="0"/>
        <v>-22.350210571107002</v>
      </c>
      <c r="G9">
        <f t="shared" si="1"/>
        <v>-36.100127650499083</v>
      </c>
      <c r="I9">
        <f t="shared" si="2"/>
        <v>-0.22540599545575343</v>
      </c>
      <c r="J9">
        <f t="shared" si="3"/>
        <v>-0.36934135036435073</v>
      </c>
      <c r="L9">
        <f t="shared" si="4"/>
        <v>4.486982984928936</v>
      </c>
      <c r="M9">
        <f t="shared" si="5"/>
        <v>4.3430476300203393</v>
      </c>
      <c r="O9" t="str">
        <f t="shared" si="6"/>
        <v>-18,7988165680473-81,9825443786982i</v>
      </c>
      <c r="P9">
        <f t="shared" si="7"/>
        <v>-1.7962023222506496</v>
      </c>
      <c r="Q9">
        <f t="shared" si="8"/>
        <v>0.71412552162066767</v>
      </c>
      <c r="R9" t="str">
        <f t="shared" si="9"/>
        <v>Q3</v>
      </c>
      <c r="U9" s="29">
        <f t="shared" si="10"/>
        <v>4.4869829849289369</v>
      </c>
    </row>
    <row r="11" spans="1:21">
      <c r="O11" t="str">
        <f>COMPLEX(C2,B2*$D$2)</f>
        <v>-16,3805496828753-82,193023255814i</v>
      </c>
      <c r="P11">
        <f>IMARGUMENT(O11)</f>
        <v>-1.7675126360523052</v>
      </c>
      <c r="Q11" s="28">
        <f>IF( AND($C2&gt;0, $B2&gt;0),$P11,IF( AND($C2&lt;0,$B2&gt;0),$P11+PI()/2,IF( AND($C2&gt;0,$B2&lt;0),$P11+2*PI(),IF( AND($C2&lt;0,$B2&lt;0),$P11+2*PI(),0))))</f>
        <v>4.5156726711272812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3,67241379310345-33,0284482758621i</v>
      </c>
      <c r="P13">
        <f t="shared" si="13"/>
        <v>-1.4600617587893674</v>
      </c>
      <c r="Q13" s="28">
        <f t="shared" si="14"/>
        <v>4.8231235483902193</v>
      </c>
    </row>
    <row r="14" spans="1:21">
      <c r="O14" t="str">
        <f t="shared" si="12"/>
        <v>-0,34375-11,98125i</v>
      </c>
      <c r="P14">
        <f t="shared" si="13"/>
        <v>-1.5994791208951926</v>
      </c>
      <c r="Q14" s="28">
        <f t="shared" si="14"/>
        <v>4.6837061862843932</v>
      </c>
    </row>
    <row r="15" spans="1:21">
      <c r="O15" t="str">
        <f t="shared" si="12"/>
        <v>-14,2604501607717+38,9459807073955i</v>
      </c>
      <c r="P15">
        <f t="shared" si="13"/>
        <v>1.921794197249225</v>
      </c>
      <c r="Q15" s="28">
        <f t="shared" si="14"/>
        <v>3.4925905240441217</v>
      </c>
    </row>
    <row r="16" spans="1:21">
      <c r="O16" t="str">
        <f t="shared" si="12"/>
        <v>-29,3876811594203+102,9375i</v>
      </c>
      <c r="P16">
        <f t="shared" si="13"/>
        <v>1.8488891026373218</v>
      </c>
      <c r="Q16" s="28">
        <f t="shared" si="14"/>
        <v>3.4196854294322181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-30,3639053254438-50,7568047337278i</v>
      </c>
      <c r="P18">
        <f t="shared" si="13"/>
        <v>-2.1099084364165117</v>
      </c>
      <c r="Q18" s="28">
        <f t="shared" si="14"/>
        <v>4.1732768707630745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topLeftCell="E1" zoomScale="70" zoomScaleNormal="70" workbookViewId="0">
      <selection activeCell="X3" sqref="X3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N471" sqref="N471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4"/>
  <dimension ref="A1:W1120"/>
  <sheetViews>
    <sheetView topLeftCell="E1" workbookViewId="0">
      <selection activeCell="W3" sqref="W3"/>
    </sheetView>
  </sheetViews>
  <sheetFormatPr baseColWidth="10" defaultRowHeight="15"/>
  <cols>
    <col min="13" max="15" width="10.28515625" style="3" bestFit="1" customWidth="1"/>
    <col min="16" max="18" width="10.85546875" style="35" bestFit="1" customWidth="1"/>
    <col min="19" max="19" width="11.85546875" style="35" bestFit="1" customWidth="1"/>
    <col min="20" max="22" width="11.140625" style="35" bestFit="1" customWidth="1"/>
  </cols>
  <sheetData>
    <row r="1" spans="1:23">
      <c r="A1" s="7"/>
      <c r="B1" s="8">
        <v>-1.253875629566908</v>
      </c>
      <c r="C1" s="8">
        <v>-3.2592166127769939E-2</v>
      </c>
      <c r="D1" s="8">
        <v>0.73934661383723232</v>
      </c>
      <c r="E1" s="7">
        <v>-1.4990516053215155E-2</v>
      </c>
      <c r="F1" s="7">
        <v>0</v>
      </c>
      <c r="G1" s="7">
        <v>0</v>
      </c>
      <c r="H1" s="35">
        <v>-4.76502E-3</v>
      </c>
      <c r="I1" s="35">
        <v>4.76502E-3</v>
      </c>
      <c r="J1" s="35">
        <v>0</v>
      </c>
      <c r="K1" s="35">
        <v>0</v>
      </c>
      <c r="L1" s="3">
        <f>B1-M1+C1-N1+D1-O1</f>
        <v>8.7881814255441615E-4</v>
      </c>
      <c r="M1" s="3">
        <v>-1.254</v>
      </c>
      <c r="N1" s="3">
        <v>-3.3000000000000002E-2</v>
      </c>
      <c r="O1" s="3">
        <v>0.73899999999999999</v>
      </c>
      <c r="P1" s="35">
        <v>-1.49698E-2</v>
      </c>
      <c r="Q1" s="35">
        <v>0</v>
      </c>
      <c r="R1" s="35">
        <v>0</v>
      </c>
      <c r="S1" s="35">
        <v>-4.76502E-3</v>
      </c>
      <c r="T1" s="35">
        <v>4.76502E-3</v>
      </c>
      <c r="U1" s="35">
        <v>0</v>
      </c>
      <c r="V1" s="35">
        <v>0</v>
      </c>
      <c r="W1">
        <f>MAX(L:L)</f>
        <v>1.1553379735430858E-3</v>
      </c>
    </row>
    <row r="2" spans="1:23">
      <c r="A2" s="7" t="s">
        <v>16</v>
      </c>
      <c r="B2" s="8">
        <v>1.0419123890112216</v>
      </c>
      <c r="C2" s="8">
        <v>-4.0818532431212473E-2</v>
      </c>
      <c r="D2" s="8">
        <v>0.77248383184656022</v>
      </c>
      <c r="E2" s="7">
        <v>0</v>
      </c>
      <c r="F2" s="7">
        <v>-1.4990516053215155E-2</v>
      </c>
      <c r="G2" s="7">
        <v>0</v>
      </c>
      <c r="H2" s="35">
        <v>-4.76502E-3</v>
      </c>
      <c r="I2" s="35">
        <v>0</v>
      </c>
      <c r="J2" s="35">
        <v>4.76502E-3</v>
      </c>
      <c r="K2" s="35">
        <v>0</v>
      </c>
      <c r="L2" s="3">
        <f t="shared" ref="L2:L3" si="0">B2-M2+C2-N2+D2-O2</f>
        <v>5.7768842656935604E-4</v>
      </c>
      <c r="M2" s="3">
        <v>1.042</v>
      </c>
      <c r="N2" s="3">
        <v>-4.1000000000000002E-2</v>
      </c>
      <c r="O2" s="3">
        <v>0.77200000000000002</v>
      </c>
      <c r="P2" s="35">
        <v>0</v>
      </c>
      <c r="Q2" s="35">
        <v>-1.49698E-2</v>
      </c>
      <c r="R2" s="35">
        <v>0</v>
      </c>
      <c r="S2" s="35">
        <v>-4.76502E-3</v>
      </c>
      <c r="T2" s="35">
        <v>0</v>
      </c>
      <c r="U2" s="35">
        <v>4.76502E-3</v>
      </c>
      <c r="V2" s="35">
        <v>0</v>
      </c>
    </row>
    <row r="3" spans="1:23">
      <c r="A3" s="7"/>
      <c r="B3" s="8">
        <v>-1.4028471761352286</v>
      </c>
      <c r="C3" s="8">
        <v>0.814665459345566</v>
      </c>
      <c r="D3" s="8">
        <v>0.7195871750303805</v>
      </c>
      <c r="E3" s="7">
        <v>0</v>
      </c>
      <c r="F3" s="7">
        <v>0</v>
      </c>
      <c r="G3" s="7">
        <v>-1.4990516053215155E-2</v>
      </c>
      <c r="H3" s="35">
        <v>-4.76502E-3</v>
      </c>
      <c r="I3" s="35">
        <v>0</v>
      </c>
      <c r="J3" s="35">
        <v>0</v>
      </c>
      <c r="K3" s="35">
        <v>4.76502E-3</v>
      </c>
      <c r="L3" s="3">
        <f t="shared" si="0"/>
        <v>4.0545824071802627E-4</v>
      </c>
      <c r="M3" s="3">
        <v>-1.403</v>
      </c>
      <c r="N3" s="3">
        <v>0.81499999999999995</v>
      </c>
      <c r="O3" s="3">
        <v>0.71899999999999997</v>
      </c>
      <c r="P3" s="35">
        <v>0</v>
      </c>
      <c r="Q3" s="35">
        <v>0</v>
      </c>
      <c r="R3" s="35">
        <v>-1.49698E-2</v>
      </c>
      <c r="S3" s="35">
        <v>-4.76502E-3</v>
      </c>
      <c r="T3" s="35">
        <v>0</v>
      </c>
      <c r="U3" s="35">
        <v>0</v>
      </c>
      <c r="V3" s="35">
        <v>4.76502E-3</v>
      </c>
    </row>
    <row r="4" spans="1:23">
      <c r="A4" s="7"/>
      <c r="B4" s="8"/>
      <c r="C4" s="8"/>
      <c r="D4" s="8"/>
      <c r="E4" s="7"/>
      <c r="F4" s="7"/>
      <c r="G4" s="7"/>
      <c r="H4" s="7"/>
      <c r="I4" s="7"/>
      <c r="J4" s="7"/>
      <c r="K4" s="7"/>
    </row>
    <row r="5" spans="1:23">
      <c r="A5" s="7"/>
      <c r="B5" s="8">
        <v>-1.253875629566908</v>
      </c>
      <c r="C5" s="8">
        <v>-3.2592166127769939E-2</v>
      </c>
      <c r="D5" s="8">
        <v>0.73934661383723232</v>
      </c>
      <c r="E5" s="7">
        <v>-1.4990516053215155E-2</v>
      </c>
      <c r="F5" s="7">
        <v>0</v>
      </c>
      <c r="G5" s="7">
        <v>0</v>
      </c>
      <c r="H5" s="35">
        <v>-4.76502E-3</v>
      </c>
      <c r="I5" s="35">
        <v>4.76502E-3</v>
      </c>
      <c r="J5" s="35">
        <v>0</v>
      </c>
      <c r="K5" s="35">
        <v>0</v>
      </c>
      <c r="L5" s="3">
        <f t="shared" ref="L5:L35" si="1">B5-M5+C5-N5+D5-O5</f>
        <v>8.7881814255441615E-4</v>
      </c>
      <c r="M5" s="3">
        <v>-1.254</v>
      </c>
      <c r="N5" s="3">
        <v>-3.3000000000000002E-2</v>
      </c>
      <c r="O5" s="3">
        <v>0.73899999999999999</v>
      </c>
      <c r="P5" s="35">
        <v>-1.49698E-2</v>
      </c>
      <c r="Q5" s="35">
        <v>0</v>
      </c>
      <c r="R5" s="35">
        <v>0</v>
      </c>
      <c r="S5" s="35">
        <v>-4.76502E-3</v>
      </c>
      <c r="T5" s="35">
        <v>4.76502E-3</v>
      </c>
      <c r="U5" s="35">
        <v>0</v>
      </c>
      <c r="V5" s="35">
        <v>0</v>
      </c>
    </row>
    <row r="6" spans="1:23">
      <c r="A6" s="7" t="s">
        <v>17</v>
      </c>
      <c r="B6" s="8">
        <v>1.0419123890112216</v>
      </c>
      <c r="C6" s="8">
        <v>-4.0818532431212473E-2</v>
      </c>
      <c r="D6" s="8">
        <v>0.77248383184656022</v>
      </c>
      <c r="E6" s="7">
        <v>0</v>
      </c>
      <c r="F6" s="7">
        <v>-1.4990516053215155E-2</v>
      </c>
      <c r="G6" s="7">
        <v>0</v>
      </c>
      <c r="H6" s="35">
        <v>-4.76502E-3</v>
      </c>
      <c r="I6" s="35">
        <v>0</v>
      </c>
      <c r="J6" s="35">
        <v>4.76502E-3</v>
      </c>
      <c r="K6" s="35">
        <v>0</v>
      </c>
      <c r="L6" s="3">
        <f t="shared" si="1"/>
        <v>5.7768842656935604E-4</v>
      </c>
      <c r="M6" s="3">
        <v>1.042</v>
      </c>
      <c r="N6" s="3">
        <v>-4.1000000000000002E-2</v>
      </c>
      <c r="O6" s="3">
        <v>0.77200000000000002</v>
      </c>
      <c r="P6" s="35">
        <v>0</v>
      </c>
      <c r="Q6" s="35">
        <v>-1.49698E-2</v>
      </c>
      <c r="R6" s="35">
        <v>0</v>
      </c>
      <c r="S6" s="35">
        <v>-4.76502E-3</v>
      </c>
      <c r="T6" s="35">
        <v>0</v>
      </c>
      <c r="U6" s="35">
        <v>4.76502E-3</v>
      </c>
      <c r="V6" s="35">
        <v>0</v>
      </c>
    </row>
    <row r="7" spans="1:23">
      <c r="A7" s="7"/>
      <c r="B7" s="8">
        <v>1.4421025939282253</v>
      </c>
      <c r="C7" s="8">
        <v>1.0431877148697888</v>
      </c>
      <c r="D7" s="8">
        <v>0.78932433807079116</v>
      </c>
      <c r="E7" s="7">
        <v>0</v>
      </c>
      <c r="F7" s="7">
        <v>0</v>
      </c>
      <c r="G7" s="7">
        <v>-1.4990516053215155E-2</v>
      </c>
      <c r="H7" s="35">
        <v>-4.76502E-3</v>
      </c>
      <c r="I7" s="35">
        <v>0</v>
      </c>
      <c r="J7" s="35">
        <v>0</v>
      </c>
      <c r="K7" s="35">
        <v>4.76502E-3</v>
      </c>
      <c r="L7" s="3">
        <f t="shared" si="1"/>
        <v>6.1464686880530195E-4</v>
      </c>
      <c r="M7" s="3">
        <v>1.4419999999999999</v>
      </c>
      <c r="N7" s="3">
        <v>1.0429999999999999</v>
      </c>
      <c r="O7" s="3">
        <v>0.78900000000000003</v>
      </c>
      <c r="P7" s="35">
        <v>0</v>
      </c>
      <c r="Q7" s="35">
        <v>0</v>
      </c>
      <c r="R7" s="35">
        <v>-1.49698E-2</v>
      </c>
      <c r="S7" s="35">
        <v>-4.76502E-3</v>
      </c>
      <c r="T7" s="35">
        <v>0</v>
      </c>
      <c r="U7" s="35">
        <v>0</v>
      </c>
      <c r="V7" s="35">
        <v>4.76502E-3</v>
      </c>
    </row>
    <row r="8" spans="1:23">
      <c r="A8" s="7"/>
      <c r="B8" s="8"/>
      <c r="C8" s="8"/>
      <c r="D8" s="8"/>
      <c r="E8" s="7"/>
      <c r="F8" s="7"/>
      <c r="G8" s="7"/>
      <c r="H8" s="7"/>
      <c r="I8" s="7"/>
      <c r="J8" s="7"/>
      <c r="K8" s="7"/>
    </row>
    <row r="9" spans="1:23">
      <c r="A9" s="7"/>
      <c r="B9" s="8">
        <v>-1.253875629566908</v>
      </c>
      <c r="C9" s="8">
        <v>-3.2592166127769939E-2</v>
      </c>
      <c r="D9" s="8">
        <v>0.73934661383723232</v>
      </c>
      <c r="E9" s="7">
        <v>-1.4990516053215155E-2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3">
        <f t="shared" ref="L9" si="2">B9-M9+C9-N9+D9-O9</f>
        <v>8.7881814255441615E-4</v>
      </c>
      <c r="M9" s="3">
        <v>-1.254</v>
      </c>
      <c r="N9" s="3">
        <v>-3.3000000000000002E-2</v>
      </c>
      <c r="O9" s="3">
        <v>0.73899999999999999</v>
      </c>
      <c r="P9" s="35">
        <v>-1.49698E-2</v>
      </c>
      <c r="Q9" s="35">
        <v>0</v>
      </c>
      <c r="R9" s="35">
        <v>0</v>
      </c>
      <c r="S9" s="35">
        <v>-4.76502E-3</v>
      </c>
      <c r="T9" s="35">
        <v>4.76502E-3</v>
      </c>
      <c r="U9" s="35">
        <v>0</v>
      </c>
      <c r="V9" s="35">
        <v>0</v>
      </c>
    </row>
    <row r="10" spans="1:23">
      <c r="A10" s="7" t="s">
        <v>18</v>
      </c>
      <c r="B10" s="8">
        <v>1.0419123890112216</v>
      </c>
      <c r="C10" s="8">
        <v>-4.0818532431212473E-2</v>
      </c>
      <c r="D10" s="8">
        <v>0.77248383184656022</v>
      </c>
      <c r="E10" s="7">
        <v>0</v>
      </c>
      <c r="F10" s="7">
        <v>-1.4990516053215155E-2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3">
        <f t="shared" si="1"/>
        <v>5.7768842656935604E-4</v>
      </c>
      <c r="M10" s="3">
        <v>1.042</v>
      </c>
      <c r="N10" s="3">
        <v>-4.1000000000000002E-2</v>
      </c>
      <c r="O10" s="3">
        <v>0.77200000000000002</v>
      </c>
      <c r="P10" s="35">
        <v>0</v>
      </c>
      <c r="Q10" s="35">
        <v>-1.49698E-2</v>
      </c>
      <c r="R10" s="35">
        <v>0</v>
      </c>
      <c r="S10" s="35">
        <v>-4.76502E-3</v>
      </c>
      <c r="T10" s="35">
        <v>0</v>
      </c>
      <c r="U10" s="35">
        <v>4.76502E-3</v>
      </c>
      <c r="V10" s="35">
        <v>0</v>
      </c>
    </row>
    <row r="11" spans="1:23">
      <c r="A11" s="7"/>
      <c r="B11" s="8">
        <v>-1.0351585166444348</v>
      </c>
      <c r="C11" s="8">
        <v>2.1037449841221099</v>
      </c>
      <c r="D11" s="8">
        <v>0.82913701269133588</v>
      </c>
      <c r="E11" s="7">
        <v>0</v>
      </c>
      <c r="F11" s="7">
        <v>0</v>
      </c>
      <c r="G11" s="7">
        <v>-1.4990516053215155E-2</v>
      </c>
      <c r="H11" s="7">
        <v>0</v>
      </c>
      <c r="I11" s="7">
        <v>0</v>
      </c>
      <c r="J11" s="7">
        <v>0</v>
      </c>
      <c r="K11" s="7">
        <v>0</v>
      </c>
      <c r="L11" s="3">
        <f t="shared" si="1"/>
        <v>-2.7651983098897492E-4</v>
      </c>
      <c r="M11" s="3">
        <v>-1.0349999999999999</v>
      </c>
      <c r="N11" s="3">
        <v>2.1040000000000001</v>
      </c>
      <c r="O11" s="3">
        <v>0.82899999999999996</v>
      </c>
      <c r="P11" s="35">
        <v>0</v>
      </c>
      <c r="Q11" s="35">
        <v>0</v>
      </c>
      <c r="R11" s="35">
        <v>-1.49698E-2</v>
      </c>
      <c r="S11" s="35">
        <v>-4.76502E-3</v>
      </c>
      <c r="T11" s="35">
        <v>0</v>
      </c>
      <c r="U11" s="35">
        <v>0</v>
      </c>
      <c r="V11" s="35">
        <v>4.76502E-3</v>
      </c>
    </row>
    <row r="12" spans="1:23">
      <c r="A12" s="7"/>
      <c r="B12" s="8"/>
      <c r="C12" s="8"/>
      <c r="D12" s="8"/>
      <c r="E12" s="7"/>
      <c r="F12" s="7"/>
      <c r="G12" s="7"/>
      <c r="H12" s="7"/>
      <c r="I12" s="7"/>
      <c r="J12" s="7"/>
      <c r="K12" s="7"/>
    </row>
    <row r="13" spans="1:23">
      <c r="A13" s="7"/>
      <c r="B13" s="8">
        <v>-1.253875629566908</v>
      </c>
      <c r="C13" s="8">
        <v>-3.2592166127769939E-2</v>
      </c>
      <c r="D13" s="8">
        <v>0.73934661383723232</v>
      </c>
      <c r="E13" s="7">
        <v>-1.4990516053215155E-2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3">
        <f t="shared" ref="L13" si="3">B13-M13+C13-N13+D13-O13</f>
        <v>8.7881814255441615E-4</v>
      </c>
      <c r="M13" s="3">
        <v>-1.254</v>
      </c>
      <c r="N13" s="3">
        <v>-3.3000000000000002E-2</v>
      </c>
      <c r="O13" s="3">
        <v>0.73899999999999999</v>
      </c>
      <c r="P13" s="35">
        <v>-1.49698E-2</v>
      </c>
      <c r="Q13" s="35">
        <v>0</v>
      </c>
      <c r="R13" s="35">
        <v>0</v>
      </c>
      <c r="S13" s="35">
        <v>-4.76502E-3</v>
      </c>
      <c r="T13" s="35">
        <v>4.76502E-3</v>
      </c>
      <c r="U13" s="35">
        <v>0</v>
      </c>
      <c r="V13" s="35">
        <v>0</v>
      </c>
    </row>
    <row r="14" spans="1:23">
      <c r="A14" s="7" t="s">
        <v>19</v>
      </c>
      <c r="B14" s="8">
        <v>1.0419123890112216</v>
      </c>
      <c r="C14" s="8">
        <v>-4.0818532431212473E-2</v>
      </c>
      <c r="D14" s="8">
        <v>0.77248383184656022</v>
      </c>
      <c r="E14" s="7">
        <v>0</v>
      </c>
      <c r="F14" s="7">
        <v>-1.4990516053215155E-2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3">
        <f t="shared" si="1"/>
        <v>5.7768842656935604E-4</v>
      </c>
      <c r="M14" s="3">
        <v>1.042</v>
      </c>
      <c r="N14" s="3">
        <v>-4.1000000000000002E-2</v>
      </c>
      <c r="O14" s="3">
        <v>0.77200000000000002</v>
      </c>
      <c r="P14" s="35">
        <v>0</v>
      </c>
      <c r="Q14" s="35">
        <v>-1.49698E-2</v>
      </c>
      <c r="R14" s="35">
        <v>0</v>
      </c>
      <c r="S14" s="35">
        <v>-4.76502E-3</v>
      </c>
      <c r="T14" s="35">
        <v>0</v>
      </c>
      <c r="U14" s="35">
        <v>4.76502E-3</v>
      </c>
      <c r="V14" s="35">
        <v>0</v>
      </c>
    </row>
    <row r="15" spans="1:23">
      <c r="A15" s="7"/>
      <c r="B15" s="8">
        <v>0.58367185674448252</v>
      </c>
      <c r="C15" s="8">
        <v>2.0841504898711007</v>
      </c>
      <c r="D15" s="8">
        <v>0.75171422039661484</v>
      </c>
      <c r="E15" s="7">
        <v>0</v>
      </c>
      <c r="F15" s="7">
        <v>0</v>
      </c>
      <c r="G15" s="7">
        <v>-1.4990516053215155E-2</v>
      </c>
      <c r="H15" s="7">
        <v>0</v>
      </c>
      <c r="I15" s="7">
        <v>0</v>
      </c>
      <c r="J15" s="7">
        <v>0</v>
      </c>
      <c r="K15" s="7">
        <v>0</v>
      </c>
      <c r="L15" s="3">
        <f t="shared" si="1"/>
        <v>5.3656701219817471E-4</v>
      </c>
      <c r="M15" s="3">
        <v>0.58399999999999996</v>
      </c>
      <c r="N15" s="3">
        <v>2.0840000000000001</v>
      </c>
      <c r="O15" s="3">
        <v>0.751</v>
      </c>
      <c r="P15" s="35">
        <v>0</v>
      </c>
      <c r="Q15" s="35">
        <v>0</v>
      </c>
      <c r="R15" s="35">
        <v>-1.49698E-2</v>
      </c>
      <c r="S15" s="35">
        <v>-4.76502E-3</v>
      </c>
      <c r="T15" s="35">
        <v>0</v>
      </c>
      <c r="U15" s="35">
        <v>0</v>
      </c>
      <c r="V15" s="35">
        <v>4.76502E-3</v>
      </c>
    </row>
    <row r="16" spans="1:23">
      <c r="A16" s="7"/>
      <c r="B16" s="8"/>
      <c r="C16" s="8"/>
      <c r="D16" s="8"/>
      <c r="E16" s="7"/>
      <c r="F16" s="7"/>
      <c r="G16" s="7"/>
      <c r="H16" s="7"/>
      <c r="I16" s="7"/>
      <c r="J16" s="7"/>
      <c r="K16" s="7"/>
    </row>
    <row r="17" spans="1:22">
      <c r="A17" s="7"/>
      <c r="B17" s="8">
        <v>-1.253875629566908</v>
      </c>
      <c r="C17" s="8">
        <v>-3.2592166127769939E-2</v>
      </c>
      <c r="D17" s="8">
        <v>0.73934661383723232</v>
      </c>
      <c r="E17" s="7">
        <v>-1.4990516053215155E-2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3">
        <f t="shared" ref="L17" si="4">B17-M17+C17-N17+D17-O17</f>
        <v>8.7881814255441615E-4</v>
      </c>
      <c r="M17" s="3">
        <v>-1.254</v>
      </c>
      <c r="N17" s="3">
        <v>-3.3000000000000002E-2</v>
      </c>
      <c r="O17" s="3">
        <v>0.73899999999999999</v>
      </c>
      <c r="P17" s="35">
        <v>-1.49698E-2</v>
      </c>
      <c r="Q17" s="35">
        <v>0</v>
      </c>
      <c r="R17" s="35">
        <v>0</v>
      </c>
      <c r="S17" s="35">
        <v>-4.76502E-3</v>
      </c>
      <c r="T17" s="35">
        <v>4.76502E-3</v>
      </c>
      <c r="U17" s="35">
        <v>0</v>
      </c>
      <c r="V17" s="35">
        <v>0</v>
      </c>
    </row>
    <row r="18" spans="1:22">
      <c r="A18" s="7" t="s">
        <v>20</v>
      </c>
      <c r="B18" s="8">
        <v>1.0419123890112216</v>
      </c>
      <c r="C18" s="8">
        <v>-4.0818532431212473E-2</v>
      </c>
      <c r="D18" s="8">
        <v>0.77248383184656022</v>
      </c>
      <c r="E18" s="7">
        <v>0</v>
      </c>
      <c r="F18" s="7">
        <v>-1.4990516053215155E-2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3">
        <f t="shared" si="1"/>
        <v>5.7768842656935604E-4</v>
      </c>
      <c r="M18" s="3">
        <v>1.042</v>
      </c>
      <c r="N18" s="3">
        <v>-4.1000000000000002E-2</v>
      </c>
      <c r="O18" s="3">
        <v>0.77200000000000002</v>
      </c>
      <c r="P18" s="35">
        <v>0</v>
      </c>
      <c r="Q18" s="35">
        <v>-1.49698E-2</v>
      </c>
      <c r="R18" s="35">
        <v>0</v>
      </c>
      <c r="S18" s="35">
        <v>-4.76502E-3</v>
      </c>
      <c r="T18" s="35">
        <v>0</v>
      </c>
      <c r="U18" s="35">
        <v>4.76502E-3</v>
      </c>
      <c r="V18" s="35">
        <v>0</v>
      </c>
    </row>
    <row r="19" spans="1:22">
      <c r="A19" s="7"/>
      <c r="B19" s="8">
        <v>-2.5457845528396139E-2</v>
      </c>
      <c r="C19" s="8">
        <v>2.3667658472617719</v>
      </c>
      <c r="D19" s="8">
        <v>6.368425350466822E-2</v>
      </c>
      <c r="E19" s="7">
        <v>0</v>
      </c>
      <c r="F19" s="7">
        <v>0</v>
      </c>
      <c r="G19" s="7">
        <v>-1.4990516053215155E-2</v>
      </c>
      <c r="H19" s="7">
        <v>0</v>
      </c>
      <c r="I19" s="7">
        <v>0</v>
      </c>
      <c r="J19" s="7">
        <v>0</v>
      </c>
      <c r="K19" s="7">
        <v>0</v>
      </c>
      <c r="L19" s="3">
        <f t="shared" si="1"/>
        <v>-7.7447619560300218E-6</v>
      </c>
      <c r="M19" s="3">
        <v>-2.5000000000000001E-2</v>
      </c>
      <c r="N19" s="3">
        <v>2.367</v>
      </c>
      <c r="O19" s="3">
        <v>6.3E-2</v>
      </c>
      <c r="P19" s="35">
        <v>0</v>
      </c>
      <c r="Q19" s="35">
        <v>0</v>
      </c>
      <c r="R19" s="35">
        <v>-1.49698E-2</v>
      </c>
      <c r="S19" s="35">
        <v>-4.76502E-3</v>
      </c>
      <c r="T19" s="35">
        <v>0</v>
      </c>
      <c r="U19" s="35">
        <v>0</v>
      </c>
      <c r="V19" s="35">
        <v>4.76502E-3</v>
      </c>
    </row>
    <row r="20" spans="1:22">
      <c r="A20" s="7"/>
      <c r="B20" s="8"/>
      <c r="C20" s="8"/>
      <c r="D20" s="8"/>
      <c r="E20" s="7"/>
      <c r="F20" s="7"/>
      <c r="G20" s="7"/>
      <c r="H20" s="7"/>
      <c r="I20" s="7"/>
      <c r="J20" s="7"/>
      <c r="K20" s="7"/>
    </row>
    <row r="21" spans="1:22">
      <c r="A21" s="7"/>
      <c r="B21" s="8">
        <v>-1.253875629566908</v>
      </c>
      <c r="C21" s="8">
        <v>-3.2592166127769939E-2</v>
      </c>
      <c r="D21" s="8">
        <v>0.73934661383723232</v>
      </c>
      <c r="E21" s="7">
        <v>-1.4990516053215155E-2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3">
        <f t="shared" ref="L21" si="5">B21-M21+C21-N21+D21-O21</f>
        <v>8.7881814255441615E-4</v>
      </c>
      <c r="M21" s="3">
        <v>-1.254</v>
      </c>
      <c r="N21" s="3">
        <v>-3.3000000000000002E-2</v>
      </c>
      <c r="O21" s="3">
        <v>0.73899999999999999</v>
      </c>
      <c r="P21" s="35">
        <v>-1.49698E-2</v>
      </c>
      <c r="Q21" s="35">
        <v>0</v>
      </c>
      <c r="R21" s="35">
        <v>0</v>
      </c>
      <c r="S21" s="35">
        <v>-4.76502E-3</v>
      </c>
      <c r="T21" s="35">
        <v>4.76502E-3</v>
      </c>
      <c r="U21" s="35">
        <v>0</v>
      </c>
      <c r="V21" s="35">
        <v>0</v>
      </c>
    </row>
    <row r="22" spans="1:22">
      <c r="A22" s="7" t="s">
        <v>21</v>
      </c>
      <c r="B22" s="8">
        <v>-1.4028471761352286</v>
      </c>
      <c r="C22" s="8">
        <v>0.814665459345566</v>
      </c>
      <c r="D22" s="8">
        <v>0.7195871750303805</v>
      </c>
      <c r="E22" s="7">
        <v>0</v>
      </c>
      <c r="F22" s="7">
        <v>-1.4990516053215155E-2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3">
        <f t="shared" si="1"/>
        <v>4.0545824071802627E-4</v>
      </c>
      <c r="M22" s="3">
        <v>-1.403</v>
      </c>
      <c r="N22" s="3">
        <v>0.81499999999999995</v>
      </c>
      <c r="O22" s="3">
        <v>0.71899999999999997</v>
      </c>
      <c r="P22" s="35">
        <v>0</v>
      </c>
      <c r="Q22" s="35">
        <v>-1.49698E-2</v>
      </c>
      <c r="R22" s="35">
        <v>0</v>
      </c>
      <c r="S22" s="35">
        <v>-4.76502E-3</v>
      </c>
      <c r="T22" s="35">
        <v>0</v>
      </c>
      <c r="U22" s="35">
        <v>4.76502E-3</v>
      </c>
      <c r="V22" s="35">
        <v>0</v>
      </c>
    </row>
    <row r="23" spans="1:22">
      <c r="A23" s="7"/>
      <c r="B23" s="8">
        <v>1.4421025939282253</v>
      </c>
      <c r="C23" s="8">
        <v>1.0431877148697888</v>
      </c>
      <c r="D23" s="8">
        <v>0.78932433807079116</v>
      </c>
      <c r="E23" s="7">
        <v>0</v>
      </c>
      <c r="F23" s="7">
        <v>0</v>
      </c>
      <c r="G23" s="7">
        <v>-1.4990516053215155E-2</v>
      </c>
      <c r="H23" s="7">
        <v>0</v>
      </c>
      <c r="I23" s="7">
        <v>0</v>
      </c>
      <c r="J23" s="7">
        <v>0</v>
      </c>
      <c r="K23" s="7">
        <v>0</v>
      </c>
      <c r="L23" s="3">
        <f t="shared" si="1"/>
        <v>6.1464686880530195E-4</v>
      </c>
      <c r="M23" s="3">
        <v>1.4419999999999999</v>
      </c>
      <c r="N23" s="3">
        <v>1.0429999999999999</v>
      </c>
      <c r="O23" s="3">
        <v>0.78900000000000003</v>
      </c>
      <c r="P23" s="35">
        <v>0</v>
      </c>
      <c r="Q23" s="35">
        <v>0</v>
      </c>
      <c r="R23" s="35">
        <v>-1.49698E-2</v>
      </c>
      <c r="S23" s="35">
        <v>-4.76502E-3</v>
      </c>
      <c r="T23" s="35">
        <v>0</v>
      </c>
      <c r="U23" s="35">
        <v>0</v>
      </c>
      <c r="V23" s="35">
        <v>4.76502E-3</v>
      </c>
    </row>
    <row r="24" spans="1:22">
      <c r="A24" s="7"/>
      <c r="B24" s="8"/>
      <c r="C24" s="8"/>
      <c r="D24" s="8"/>
      <c r="E24" s="7"/>
      <c r="F24" s="7"/>
      <c r="G24" s="7"/>
      <c r="H24" s="7"/>
      <c r="I24" s="7"/>
      <c r="J24" s="7"/>
      <c r="K24" s="7"/>
    </row>
    <row r="25" spans="1:22">
      <c r="A25" s="7"/>
      <c r="B25" s="8">
        <v>-1.253875629566908</v>
      </c>
      <c r="C25" s="8">
        <v>-3.2592166127769939E-2</v>
      </c>
      <c r="D25" s="8">
        <v>0.73934661383723232</v>
      </c>
      <c r="E25" s="7">
        <v>-1.4990516053215155E-2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3">
        <f t="shared" ref="L25" si="6">B25-M25+C25-N25+D25-O25</f>
        <v>8.7881814255441615E-4</v>
      </c>
      <c r="M25" s="3">
        <v>-1.254</v>
      </c>
      <c r="N25" s="3">
        <v>-3.3000000000000002E-2</v>
      </c>
      <c r="O25" s="3">
        <v>0.73899999999999999</v>
      </c>
      <c r="P25" s="35">
        <v>-1.49698E-2</v>
      </c>
      <c r="Q25" s="35">
        <v>0</v>
      </c>
      <c r="R25" s="35">
        <v>0</v>
      </c>
      <c r="S25" s="35">
        <v>-4.76502E-3</v>
      </c>
      <c r="T25" s="35">
        <v>4.76502E-3</v>
      </c>
      <c r="U25" s="35">
        <v>0</v>
      </c>
      <c r="V25" s="35">
        <v>0</v>
      </c>
    </row>
    <row r="26" spans="1:22">
      <c r="A26" s="7" t="s">
        <v>22</v>
      </c>
      <c r="B26" s="8">
        <v>-1.4028471761352286</v>
      </c>
      <c r="C26" s="8">
        <v>0.814665459345566</v>
      </c>
      <c r="D26" s="8">
        <v>0.7195871750303805</v>
      </c>
      <c r="E26" s="7">
        <v>0</v>
      </c>
      <c r="F26" s="7">
        <v>-1.4990516053215155E-2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3">
        <f t="shared" si="1"/>
        <v>4.0545824071802627E-4</v>
      </c>
      <c r="M26" s="3">
        <v>-1.403</v>
      </c>
      <c r="N26" s="3">
        <v>0.81499999999999995</v>
      </c>
      <c r="O26" s="3">
        <v>0.71899999999999997</v>
      </c>
      <c r="P26" s="35">
        <v>0</v>
      </c>
      <c r="Q26" s="35">
        <v>-1.49698E-2</v>
      </c>
      <c r="R26" s="35">
        <v>0</v>
      </c>
      <c r="S26" s="35">
        <v>-4.76502E-3</v>
      </c>
      <c r="T26" s="35">
        <v>0</v>
      </c>
      <c r="U26" s="35">
        <v>4.76502E-3</v>
      </c>
      <c r="V26" s="35">
        <v>0</v>
      </c>
    </row>
    <row r="27" spans="1:22">
      <c r="A27" s="7"/>
      <c r="B27" s="8">
        <v>-1.0351585166444348</v>
      </c>
      <c r="C27" s="8">
        <v>2.1037449841221099</v>
      </c>
      <c r="D27" s="8">
        <v>0.82913701269133588</v>
      </c>
      <c r="E27" s="7">
        <v>0</v>
      </c>
      <c r="F27" s="7">
        <v>0</v>
      </c>
      <c r="G27" s="7">
        <v>-1.4990516053215155E-2</v>
      </c>
      <c r="H27" s="7">
        <v>0</v>
      </c>
      <c r="I27" s="7">
        <v>0</v>
      </c>
      <c r="J27" s="7">
        <v>0</v>
      </c>
      <c r="K27" s="7">
        <v>0</v>
      </c>
      <c r="L27" s="3">
        <f t="shared" si="1"/>
        <v>-2.7651983098897492E-4</v>
      </c>
      <c r="M27" s="3">
        <v>-1.0349999999999999</v>
      </c>
      <c r="N27" s="3">
        <v>2.1040000000000001</v>
      </c>
      <c r="O27" s="3">
        <v>0.82899999999999996</v>
      </c>
      <c r="P27" s="35">
        <v>0</v>
      </c>
      <c r="Q27" s="35">
        <v>0</v>
      </c>
      <c r="R27" s="35">
        <v>-1.49698E-2</v>
      </c>
      <c r="S27" s="35">
        <v>-4.76502E-3</v>
      </c>
      <c r="T27" s="35">
        <v>0</v>
      </c>
      <c r="U27" s="35">
        <v>0</v>
      </c>
      <c r="V27" s="35">
        <v>4.76502E-3</v>
      </c>
    </row>
    <row r="28" spans="1:22">
      <c r="A28" s="7"/>
      <c r="B28" s="8"/>
      <c r="C28" s="8"/>
      <c r="D28" s="8"/>
      <c r="E28" s="7"/>
      <c r="F28" s="7"/>
      <c r="G28" s="7"/>
      <c r="H28" s="7"/>
      <c r="I28" s="7"/>
      <c r="J28" s="7"/>
      <c r="K28" s="7"/>
    </row>
    <row r="29" spans="1:22">
      <c r="A29" s="7"/>
      <c r="B29" s="8">
        <v>-1.253875629566908</v>
      </c>
      <c r="C29" s="8">
        <v>-3.2592166127769939E-2</v>
      </c>
      <c r="D29" s="8">
        <v>0.73934661383723232</v>
      </c>
      <c r="E29" s="7">
        <v>-1.4990516053215155E-2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3">
        <f t="shared" ref="L29" si="7">B29-M29+C29-N29+D29-O29</f>
        <v>8.7881814255441615E-4</v>
      </c>
      <c r="M29" s="3">
        <v>-1.254</v>
      </c>
      <c r="N29" s="3">
        <v>-3.3000000000000002E-2</v>
      </c>
      <c r="O29" s="3">
        <v>0.73899999999999999</v>
      </c>
      <c r="P29" s="35">
        <v>-1.49698E-2</v>
      </c>
      <c r="Q29" s="35">
        <v>0</v>
      </c>
      <c r="R29" s="35">
        <v>0</v>
      </c>
      <c r="S29" s="35">
        <v>-4.76502E-3</v>
      </c>
      <c r="T29" s="35">
        <v>4.76502E-3</v>
      </c>
      <c r="U29" s="35">
        <v>0</v>
      </c>
      <c r="V29" s="35">
        <v>0</v>
      </c>
    </row>
    <row r="30" spans="1:22">
      <c r="A30" s="7" t="s">
        <v>23</v>
      </c>
      <c r="B30" s="8">
        <v>-1.4028471761352286</v>
      </c>
      <c r="C30" s="8">
        <v>0.814665459345566</v>
      </c>
      <c r="D30" s="8">
        <v>0.7195871750303805</v>
      </c>
      <c r="E30" s="7">
        <v>0</v>
      </c>
      <c r="F30" s="7">
        <v>-1.4990516053215155E-2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3">
        <f t="shared" si="1"/>
        <v>4.0545824071802627E-4</v>
      </c>
      <c r="M30" s="3">
        <v>-1.403</v>
      </c>
      <c r="N30" s="3">
        <v>0.81499999999999995</v>
      </c>
      <c r="O30" s="3">
        <v>0.71899999999999997</v>
      </c>
      <c r="P30" s="35">
        <v>0</v>
      </c>
      <c r="Q30" s="35">
        <v>-1.49698E-2</v>
      </c>
      <c r="R30" s="35">
        <v>0</v>
      </c>
      <c r="S30" s="35">
        <v>-4.76502E-3</v>
      </c>
      <c r="T30" s="35">
        <v>0</v>
      </c>
      <c r="U30" s="35">
        <v>4.76502E-3</v>
      </c>
      <c r="V30" s="35">
        <v>0</v>
      </c>
    </row>
    <row r="31" spans="1:22">
      <c r="A31" s="7"/>
      <c r="B31" s="8">
        <v>0.58367185674448252</v>
      </c>
      <c r="C31" s="8">
        <v>2.0841504898711007</v>
      </c>
      <c r="D31" s="8">
        <v>0.75171422039661484</v>
      </c>
      <c r="E31" s="7">
        <v>0</v>
      </c>
      <c r="F31" s="7">
        <v>0</v>
      </c>
      <c r="G31" s="7">
        <v>-1.4990516053215155E-2</v>
      </c>
      <c r="H31" s="7">
        <v>0</v>
      </c>
      <c r="I31" s="7">
        <v>0</v>
      </c>
      <c r="J31" s="7">
        <v>0</v>
      </c>
      <c r="K31" s="7">
        <v>0</v>
      </c>
      <c r="L31" s="3">
        <f t="shared" si="1"/>
        <v>5.3656701219817471E-4</v>
      </c>
      <c r="M31" s="3">
        <v>0.58399999999999996</v>
      </c>
      <c r="N31" s="3">
        <v>2.0840000000000001</v>
      </c>
      <c r="O31" s="3">
        <v>0.751</v>
      </c>
      <c r="P31" s="35">
        <v>0</v>
      </c>
      <c r="Q31" s="35">
        <v>0</v>
      </c>
      <c r="R31" s="35">
        <v>-1.49698E-2</v>
      </c>
      <c r="S31" s="35">
        <v>-4.76502E-3</v>
      </c>
      <c r="T31" s="35">
        <v>0</v>
      </c>
      <c r="U31" s="35">
        <v>0</v>
      </c>
      <c r="V31" s="35">
        <v>4.76502E-3</v>
      </c>
    </row>
    <row r="32" spans="1:22">
      <c r="A32" s="7"/>
      <c r="B32" s="8"/>
      <c r="C32" s="8"/>
      <c r="D32" s="8"/>
      <c r="E32" s="7"/>
      <c r="F32" s="7"/>
      <c r="G32" s="7"/>
      <c r="H32" s="7"/>
      <c r="I32" s="7"/>
      <c r="J32" s="7"/>
      <c r="K32" s="7"/>
    </row>
    <row r="33" spans="1:22">
      <c r="A33" s="7"/>
      <c r="B33" s="8">
        <v>-1.253875629566908</v>
      </c>
      <c r="C33" s="8">
        <v>-3.2592166127769939E-2</v>
      </c>
      <c r="D33" s="8">
        <v>0.73934661383723232</v>
      </c>
      <c r="E33" s="7">
        <v>-1.4990516053215155E-2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3">
        <f t="shared" ref="L33" si="8">B33-M33+C33-N33+D33-O33</f>
        <v>8.7881814255441615E-4</v>
      </c>
      <c r="M33" s="3">
        <v>-1.254</v>
      </c>
      <c r="N33" s="3">
        <v>-3.3000000000000002E-2</v>
      </c>
      <c r="O33" s="3">
        <v>0.73899999999999999</v>
      </c>
      <c r="P33" s="35">
        <v>-1.49698E-2</v>
      </c>
      <c r="Q33" s="35">
        <v>0</v>
      </c>
      <c r="R33" s="35">
        <v>0</v>
      </c>
      <c r="S33" s="35">
        <v>-4.76502E-3</v>
      </c>
      <c r="T33" s="35">
        <v>4.76502E-3</v>
      </c>
      <c r="U33" s="35">
        <v>0</v>
      </c>
      <c r="V33" s="35">
        <v>0</v>
      </c>
    </row>
    <row r="34" spans="1:22">
      <c r="A34" s="7" t="s">
        <v>24</v>
      </c>
      <c r="B34" s="8">
        <v>-1.4028471761352286</v>
      </c>
      <c r="C34" s="8">
        <v>0.814665459345566</v>
      </c>
      <c r="D34" s="8">
        <v>0.7195871750303805</v>
      </c>
      <c r="E34" s="7">
        <v>0</v>
      </c>
      <c r="F34" s="7">
        <v>-1.4990516053215155E-2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3">
        <f t="shared" si="1"/>
        <v>4.0545824071802627E-4</v>
      </c>
      <c r="M34" s="3">
        <v>-1.403</v>
      </c>
      <c r="N34" s="3">
        <v>0.81499999999999995</v>
      </c>
      <c r="O34" s="3">
        <v>0.71899999999999997</v>
      </c>
      <c r="P34" s="35">
        <v>0</v>
      </c>
      <c r="Q34" s="35">
        <v>-1.49698E-2</v>
      </c>
      <c r="R34" s="35">
        <v>0</v>
      </c>
      <c r="S34" s="35">
        <v>-4.76502E-3</v>
      </c>
      <c r="T34" s="35">
        <v>0</v>
      </c>
      <c r="U34" s="35">
        <v>4.76502E-3</v>
      </c>
      <c r="V34" s="35">
        <v>0</v>
      </c>
    </row>
    <row r="35" spans="1:22">
      <c r="A35" s="7"/>
      <c r="B35" s="8">
        <v>-2.5457845528396139E-2</v>
      </c>
      <c r="C35" s="8">
        <v>2.3667658472617719</v>
      </c>
      <c r="D35" s="8">
        <v>6.368425350466822E-2</v>
      </c>
      <c r="E35" s="7">
        <v>0</v>
      </c>
      <c r="F35" s="7">
        <v>0</v>
      </c>
      <c r="G35" s="7">
        <v>-1.4990516053215155E-2</v>
      </c>
      <c r="H35" s="7">
        <v>0</v>
      </c>
      <c r="I35" s="7">
        <v>0</v>
      </c>
      <c r="J35" s="7">
        <v>0</v>
      </c>
      <c r="K35" s="7">
        <v>0</v>
      </c>
      <c r="L35" s="3">
        <f t="shared" si="1"/>
        <v>-7.7447619560300218E-6</v>
      </c>
      <c r="M35" s="3">
        <v>-2.5000000000000001E-2</v>
      </c>
      <c r="N35" s="3">
        <v>2.367</v>
      </c>
      <c r="O35" s="3">
        <v>6.3E-2</v>
      </c>
      <c r="P35" s="35">
        <v>0</v>
      </c>
      <c r="Q35" s="35">
        <v>0</v>
      </c>
      <c r="R35" s="35">
        <v>-1.49698E-2</v>
      </c>
      <c r="S35" s="35">
        <v>-4.76502E-3</v>
      </c>
      <c r="T35" s="35">
        <v>0</v>
      </c>
      <c r="U35" s="35">
        <v>0</v>
      </c>
      <c r="V35" s="35">
        <v>4.76502E-3</v>
      </c>
    </row>
    <row r="36" spans="1:22">
      <c r="A36" s="7"/>
      <c r="B36" s="8"/>
      <c r="C36" s="8"/>
      <c r="D36" s="8"/>
      <c r="E36" s="7"/>
      <c r="F36" s="7"/>
      <c r="G36" s="7"/>
      <c r="H36" s="7"/>
      <c r="I36" s="7"/>
      <c r="J36" s="7"/>
      <c r="K36" s="7"/>
    </row>
    <row r="37" spans="1:22">
      <c r="A37" s="7"/>
      <c r="B37" s="8">
        <v>-1.253875629566908</v>
      </c>
      <c r="C37" s="8">
        <v>-3.2592166127769939E-2</v>
      </c>
      <c r="D37" s="8">
        <v>0.73934661383723232</v>
      </c>
      <c r="E37" s="7">
        <v>-1.4990516053215155E-2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3">
        <f t="shared" ref="L37:L75" si="9">B37-M37+C37-N37+D37-O37</f>
        <v>8.7881814255441615E-4</v>
      </c>
      <c r="M37" s="3">
        <v>-1.254</v>
      </c>
      <c r="N37" s="3">
        <v>-3.3000000000000002E-2</v>
      </c>
      <c r="O37" s="3">
        <v>0.73899999999999999</v>
      </c>
      <c r="P37" s="35">
        <v>-1.49698E-2</v>
      </c>
      <c r="Q37" s="35">
        <v>0</v>
      </c>
      <c r="R37" s="35">
        <v>0</v>
      </c>
      <c r="S37" s="35">
        <v>-4.76502E-3</v>
      </c>
      <c r="T37" s="35">
        <v>4.76502E-3</v>
      </c>
      <c r="U37" s="35">
        <v>0</v>
      </c>
      <c r="V37" s="35">
        <v>0</v>
      </c>
    </row>
    <row r="38" spans="1:22">
      <c r="A38" s="7" t="s">
        <v>25</v>
      </c>
      <c r="B38" s="8">
        <v>1.4421025939282253</v>
      </c>
      <c r="C38" s="8">
        <v>1.0431877148697888</v>
      </c>
      <c r="D38" s="8">
        <v>0.78932433807079116</v>
      </c>
      <c r="E38" s="7">
        <v>0</v>
      </c>
      <c r="F38" s="7">
        <v>-1.4990516053215155E-2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3">
        <f t="shared" si="9"/>
        <v>6.1464686880530195E-4</v>
      </c>
      <c r="M38" s="3">
        <v>1.4419999999999999</v>
      </c>
      <c r="N38" s="3">
        <v>1.0429999999999999</v>
      </c>
      <c r="O38" s="3">
        <v>0.78900000000000003</v>
      </c>
      <c r="P38" s="35">
        <v>0</v>
      </c>
      <c r="Q38" s="35">
        <v>-1.49698E-2</v>
      </c>
      <c r="R38" s="35">
        <v>0</v>
      </c>
      <c r="S38" s="35">
        <v>-4.76502E-3</v>
      </c>
      <c r="T38" s="35">
        <v>0</v>
      </c>
      <c r="U38" s="35">
        <v>4.76502E-3</v>
      </c>
      <c r="V38" s="35">
        <v>0</v>
      </c>
    </row>
    <row r="39" spans="1:22">
      <c r="A39" s="7"/>
      <c r="B39" s="8">
        <v>-1.0351585166444348</v>
      </c>
      <c r="C39" s="8">
        <v>2.1037449841221099</v>
      </c>
      <c r="D39" s="8">
        <v>0.82913701269133588</v>
      </c>
      <c r="E39" s="7">
        <v>0</v>
      </c>
      <c r="F39" s="7">
        <v>0</v>
      </c>
      <c r="G39" s="7">
        <v>-1.4990516053215155E-2</v>
      </c>
      <c r="H39" s="7">
        <v>0</v>
      </c>
      <c r="I39" s="7">
        <v>0</v>
      </c>
      <c r="J39" s="7">
        <v>0</v>
      </c>
      <c r="K39" s="7">
        <v>0</v>
      </c>
      <c r="L39" s="3">
        <f t="shared" si="9"/>
        <v>-2.7651983098897492E-4</v>
      </c>
      <c r="M39" s="3">
        <v>-1.0349999999999999</v>
      </c>
      <c r="N39" s="3">
        <v>2.1040000000000001</v>
      </c>
      <c r="O39" s="3">
        <v>0.82899999999999996</v>
      </c>
      <c r="P39" s="35">
        <v>0</v>
      </c>
      <c r="Q39" s="35">
        <v>0</v>
      </c>
      <c r="R39" s="35">
        <v>-1.49698E-2</v>
      </c>
      <c r="S39" s="35">
        <v>-4.76502E-3</v>
      </c>
      <c r="T39" s="35">
        <v>0</v>
      </c>
      <c r="U39" s="35">
        <v>0</v>
      </c>
      <c r="V39" s="35">
        <v>4.76502E-3</v>
      </c>
    </row>
    <row r="40" spans="1:22">
      <c r="A40" s="7"/>
      <c r="B40" s="8"/>
      <c r="C40" s="8"/>
      <c r="D40" s="8"/>
      <c r="E40" s="7"/>
      <c r="F40" s="7"/>
      <c r="G40" s="7"/>
      <c r="H40" s="7"/>
      <c r="I40" s="7"/>
      <c r="J40" s="7"/>
      <c r="K40" s="7"/>
    </row>
    <row r="41" spans="1:22">
      <c r="A41" s="7"/>
      <c r="B41" s="8">
        <v>-1.253875629566908</v>
      </c>
      <c r="C41" s="8">
        <v>-3.2592166127769939E-2</v>
      </c>
      <c r="D41" s="8">
        <v>0.73934661383723232</v>
      </c>
      <c r="E41" s="7">
        <v>-1.4990516053215155E-2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3">
        <f t="shared" ref="L41:L103" si="10">B41-M41+C41-N41+D41-O41</f>
        <v>8.7881814255441615E-4</v>
      </c>
      <c r="M41" s="3">
        <v>-1.254</v>
      </c>
      <c r="N41" s="3">
        <v>-3.3000000000000002E-2</v>
      </c>
      <c r="O41" s="3">
        <v>0.73899999999999999</v>
      </c>
      <c r="P41" s="35">
        <v>-1.49698E-2</v>
      </c>
      <c r="Q41" s="35">
        <v>0</v>
      </c>
      <c r="R41" s="35">
        <v>0</v>
      </c>
      <c r="S41" s="35">
        <v>-4.76502E-3</v>
      </c>
      <c r="T41" s="35">
        <v>4.76502E-3</v>
      </c>
      <c r="U41" s="35">
        <v>0</v>
      </c>
      <c r="V41" s="35">
        <v>0</v>
      </c>
    </row>
    <row r="42" spans="1:22">
      <c r="A42" s="7" t="s">
        <v>26</v>
      </c>
      <c r="B42" s="8">
        <v>1.4421025939282253</v>
      </c>
      <c r="C42" s="8">
        <v>1.0431877148697888</v>
      </c>
      <c r="D42" s="8">
        <v>0.78932433807079116</v>
      </c>
      <c r="E42" s="7">
        <v>0</v>
      </c>
      <c r="F42" s="7">
        <v>-1.4990516053215155E-2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3">
        <f t="shared" si="10"/>
        <v>6.1464686880530195E-4</v>
      </c>
      <c r="M42" s="3">
        <v>1.4419999999999999</v>
      </c>
      <c r="N42" s="3">
        <v>1.0429999999999999</v>
      </c>
      <c r="O42" s="3">
        <v>0.78900000000000003</v>
      </c>
      <c r="P42" s="35">
        <v>0</v>
      </c>
      <c r="Q42" s="35">
        <v>-1.49698E-2</v>
      </c>
      <c r="R42" s="35">
        <v>0</v>
      </c>
      <c r="S42" s="35">
        <v>-4.76502E-3</v>
      </c>
      <c r="T42" s="35">
        <v>0</v>
      </c>
      <c r="U42" s="35">
        <v>4.76502E-3</v>
      </c>
      <c r="V42" s="35">
        <v>0</v>
      </c>
    </row>
    <row r="43" spans="1:22">
      <c r="A43" s="7"/>
      <c r="B43" s="8">
        <v>0.58367185674448252</v>
      </c>
      <c r="C43" s="8">
        <v>2.0841504898711007</v>
      </c>
      <c r="D43" s="8">
        <v>0.75171422039661484</v>
      </c>
      <c r="E43" s="7">
        <v>0</v>
      </c>
      <c r="F43" s="7">
        <v>0</v>
      </c>
      <c r="G43" s="7">
        <v>-1.4990516053215155E-2</v>
      </c>
      <c r="H43" s="7">
        <v>0</v>
      </c>
      <c r="I43" s="7">
        <v>0</v>
      </c>
      <c r="J43" s="7">
        <v>0</v>
      </c>
      <c r="K43" s="7">
        <v>0</v>
      </c>
      <c r="L43" s="3">
        <f t="shared" si="10"/>
        <v>5.3656701219817471E-4</v>
      </c>
      <c r="M43" s="3">
        <v>0.58399999999999996</v>
      </c>
      <c r="N43" s="3">
        <v>2.0840000000000001</v>
      </c>
      <c r="O43" s="3">
        <v>0.751</v>
      </c>
      <c r="P43" s="35">
        <v>0</v>
      </c>
      <c r="Q43" s="35">
        <v>0</v>
      </c>
      <c r="R43" s="35">
        <v>-1.49698E-2</v>
      </c>
      <c r="S43" s="35">
        <v>-4.76502E-3</v>
      </c>
      <c r="T43" s="35">
        <v>0</v>
      </c>
      <c r="U43" s="35">
        <v>0</v>
      </c>
      <c r="V43" s="35">
        <v>4.76502E-3</v>
      </c>
    </row>
    <row r="44" spans="1:22">
      <c r="A44" s="7"/>
      <c r="B44" s="8"/>
      <c r="C44" s="8"/>
      <c r="D44" s="8"/>
      <c r="E44" s="7"/>
      <c r="F44" s="7"/>
      <c r="G44" s="7"/>
      <c r="H44" s="7"/>
      <c r="I44" s="7"/>
      <c r="J44" s="7"/>
      <c r="K44" s="7"/>
    </row>
    <row r="45" spans="1:22">
      <c r="A45" s="7"/>
      <c r="B45" s="8">
        <v>-1.253875629566908</v>
      </c>
      <c r="C45" s="8">
        <v>-3.2592166127769939E-2</v>
      </c>
      <c r="D45" s="8">
        <v>0.73934661383723232</v>
      </c>
      <c r="E45" s="7">
        <v>-1.4990516053215155E-2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3">
        <f t="shared" ref="L45:L81" si="11">B45-M45+C45-N45+D45-O45</f>
        <v>8.7881814255441615E-4</v>
      </c>
      <c r="M45" s="3">
        <v>-1.254</v>
      </c>
      <c r="N45" s="3">
        <v>-3.3000000000000002E-2</v>
      </c>
      <c r="O45" s="3">
        <v>0.73899999999999999</v>
      </c>
      <c r="P45" s="35">
        <v>-1.49698E-2</v>
      </c>
      <c r="Q45" s="35">
        <v>0</v>
      </c>
      <c r="R45" s="35">
        <v>0</v>
      </c>
      <c r="S45" s="35">
        <v>-4.76502E-3</v>
      </c>
      <c r="T45" s="35">
        <v>4.76502E-3</v>
      </c>
      <c r="U45" s="35">
        <v>0</v>
      </c>
      <c r="V45" s="35">
        <v>0</v>
      </c>
    </row>
    <row r="46" spans="1:22">
      <c r="A46" s="7" t="s">
        <v>27</v>
      </c>
      <c r="B46" s="8">
        <v>1.4421025939282253</v>
      </c>
      <c r="C46" s="8">
        <v>1.0431877148697888</v>
      </c>
      <c r="D46" s="8">
        <v>0.78932433807079116</v>
      </c>
      <c r="E46" s="7">
        <v>0</v>
      </c>
      <c r="F46" s="7">
        <v>-1.4990516053215155E-2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3">
        <f t="shared" si="10"/>
        <v>6.1464686880530195E-4</v>
      </c>
      <c r="M46" s="3">
        <v>1.4419999999999999</v>
      </c>
      <c r="N46" s="3">
        <v>1.0429999999999999</v>
      </c>
      <c r="O46" s="3">
        <v>0.78900000000000003</v>
      </c>
      <c r="P46" s="35">
        <v>0</v>
      </c>
      <c r="Q46" s="35">
        <v>-1.49698E-2</v>
      </c>
      <c r="R46" s="35">
        <v>0</v>
      </c>
      <c r="S46" s="35">
        <v>-4.76502E-3</v>
      </c>
      <c r="T46" s="35">
        <v>0</v>
      </c>
      <c r="U46" s="35">
        <v>4.76502E-3</v>
      </c>
      <c r="V46" s="35">
        <v>0</v>
      </c>
    </row>
    <row r="47" spans="1:22">
      <c r="A47" s="7"/>
      <c r="B47" s="8">
        <v>-2.5457845528396139E-2</v>
      </c>
      <c r="C47" s="8">
        <v>2.3667658472617719</v>
      </c>
      <c r="D47" s="8">
        <v>6.368425350466822E-2</v>
      </c>
      <c r="E47" s="7">
        <v>0</v>
      </c>
      <c r="F47" s="7">
        <v>0</v>
      </c>
      <c r="G47" s="7">
        <v>-1.4990516053215155E-2</v>
      </c>
      <c r="H47" s="7">
        <v>0</v>
      </c>
      <c r="I47" s="7">
        <v>0</v>
      </c>
      <c r="J47" s="7">
        <v>0</v>
      </c>
      <c r="K47" s="7">
        <v>0</v>
      </c>
      <c r="L47" s="3">
        <f t="shared" si="10"/>
        <v>-7.7447619560300218E-6</v>
      </c>
      <c r="M47" s="3">
        <v>-2.5000000000000001E-2</v>
      </c>
      <c r="N47" s="3">
        <v>2.367</v>
      </c>
      <c r="O47" s="3">
        <v>6.3E-2</v>
      </c>
      <c r="P47" s="35">
        <v>0</v>
      </c>
      <c r="Q47" s="35">
        <v>0</v>
      </c>
      <c r="R47" s="35">
        <v>-1.49698E-2</v>
      </c>
      <c r="S47" s="35">
        <v>-4.76502E-3</v>
      </c>
      <c r="T47" s="35">
        <v>0</v>
      </c>
      <c r="U47" s="35">
        <v>0</v>
      </c>
      <c r="V47" s="35">
        <v>4.76502E-3</v>
      </c>
    </row>
    <row r="48" spans="1:22">
      <c r="A48" s="7"/>
      <c r="B48" s="8"/>
      <c r="C48" s="8"/>
      <c r="D48" s="8"/>
      <c r="E48" s="7"/>
      <c r="F48" s="7"/>
      <c r="G48" s="7"/>
      <c r="H48" s="7"/>
      <c r="I48" s="7"/>
      <c r="J48" s="7"/>
      <c r="K48" s="7"/>
    </row>
    <row r="49" spans="1:22">
      <c r="A49" s="7"/>
      <c r="B49" s="8">
        <v>-1.253875629566908</v>
      </c>
      <c r="C49" s="8">
        <v>-3.2592166127769939E-2</v>
      </c>
      <c r="D49" s="8">
        <v>0.73934661383723232</v>
      </c>
      <c r="E49" s="7">
        <v>-1.4990516053215155E-2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3">
        <f t="shared" ref="L49:L85" si="12">B49-M49+C49-N49+D49-O49</f>
        <v>8.7881814255441615E-4</v>
      </c>
      <c r="M49" s="3">
        <v>-1.254</v>
      </c>
      <c r="N49" s="3">
        <v>-3.3000000000000002E-2</v>
      </c>
      <c r="O49" s="3">
        <v>0.73899999999999999</v>
      </c>
      <c r="P49" s="35">
        <v>-1.49698E-2</v>
      </c>
      <c r="Q49" s="35">
        <v>0</v>
      </c>
      <c r="R49" s="35">
        <v>0</v>
      </c>
      <c r="S49" s="35">
        <v>-4.76502E-3</v>
      </c>
      <c r="T49" s="35">
        <v>4.76502E-3</v>
      </c>
      <c r="U49" s="35">
        <v>0</v>
      </c>
      <c r="V49" s="35">
        <v>0</v>
      </c>
    </row>
    <row r="50" spans="1:22">
      <c r="A50" s="7" t="s">
        <v>28</v>
      </c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-1.4990516053215155E-2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3">
        <f t="shared" si="10"/>
        <v>-2.7651983098897492E-4</v>
      </c>
      <c r="M50" s="3">
        <v>-1.0349999999999999</v>
      </c>
      <c r="N50" s="3">
        <v>2.1040000000000001</v>
      </c>
      <c r="O50" s="3">
        <v>0.82899999999999996</v>
      </c>
      <c r="P50" s="35">
        <v>0</v>
      </c>
      <c r="Q50" s="35">
        <v>-1.49698E-2</v>
      </c>
      <c r="R50" s="35">
        <v>0</v>
      </c>
      <c r="S50" s="35">
        <v>-4.76502E-3</v>
      </c>
      <c r="T50" s="35">
        <v>0</v>
      </c>
      <c r="U50" s="35">
        <v>4.76502E-3</v>
      </c>
      <c r="V50" s="35">
        <v>0</v>
      </c>
    </row>
    <row r="51" spans="1:22">
      <c r="A51" s="7"/>
      <c r="B51" s="8">
        <v>0.58367185674448252</v>
      </c>
      <c r="C51" s="8">
        <v>2.0841504898711007</v>
      </c>
      <c r="D51" s="8">
        <v>0.75171422039661484</v>
      </c>
      <c r="E51" s="7">
        <v>0</v>
      </c>
      <c r="F51" s="7">
        <v>0</v>
      </c>
      <c r="G51" s="7">
        <v>-1.4990516053215155E-2</v>
      </c>
      <c r="H51" s="7">
        <v>0</v>
      </c>
      <c r="I51" s="7">
        <v>0</v>
      </c>
      <c r="J51" s="7">
        <v>0</v>
      </c>
      <c r="K51" s="7">
        <v>0</v>
      </c>
      <c r="L51" s="3">
        <f t="shared" si="10"/>
        <v>5.3656701219817471E-4</v>
      </c>
      <c r="M51" s="3">
        <v>0.58399999999999996</v>
      </c>
      <c r="N51" s="3">
        <v>2.0840000000000001</v>
      </c>
      <c r="O51" s="3">
        <v>0.751</v>
      </c>
      <c r="P51" s="35">
        <v>0</v>
      </c>
      <c r="Q51" s="35">
        <v>0</v>
      </c>
      <c r="R51" s="35">
        <v>-1.49698E-2</v>
      </c>
      <c r="S51" s="35">
        <v>-4.76502E-3</v>
      </c>
      <c r="T51" s="35">
        <v>0</v>
      </c>
      <c r="U51" s="35">
        <v>0</v>
      </c>
      <c r="V51" s="35">
        <v>4.76502E-3</v>
      </c>
    </row>
    <row r="52" spans="1:22">
      <c r="A52" s="7"/>
      <c r="B52" s="8"/>
      <c r="C52" s="8"/>
      <c r="D52" s="8"/>
      <c r="E52" s="7"/>
      <c r="F52" s="7"/>
      <c r="G52" s="7"/>
      <c r="H52" s="7"/>
      <c r="I52" s="7"/>
      <c r="J52" s="7"/>
      <c r="K52" s="7"/>
    </row>
    <row r="53" spans="1:22">
      <c r="A53" s="7"/>
      <c r="B53" s="8">
        <v>-1.253875629566908</v>
      </c>
      <c r="C53" s="8">
        <v>-3.2592166127769939E-2</v>
      </c>
      <c r="D53" s="8">
        <v>0.73934661383723232</v>
      </c>
      <c r="E53" s="7">
        <v>-1.4990516053215155E-2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3">
        <f t="shared" ref="L53:L89" si="13">B53-M53+C53-N53+D53-O53</f>
        <v>8.7881814255441615E-4</v>
      </c>
      <c r="M53" s="3">
        <v>-1.254</v>
      </c>
      <c r="N53" s="3">
        <v>-3.3000000000000002E-2</v>
      </c>
      <c r="O53" s="3">
        <v>0.73899999999999999</v>
      </c>
      <c r="P53" s="35">
        <v>-1.49698E-2</v>
      </c>
      <c r="Q53" s="35">
        <v>0</v>
      </c>
      <c r="R53" s="35">
        <v>0</v>
      </c>
      <c r="S53" s="35">
        <v>-4.76502E-3</v>
      </c>
      <c r="T53" s="35">
        <v>4.76502E-3</v>
      </c>
      <c r="U53" s="35">
        <v>0</v>
      </c>
      <c r="V53" s="35">
        <v>0</v>
      </c>
    </row>
    <row r="54" spans="1:22">
      <c r="A54" s="7" t="s">
        <v>29</v>
      </c>
      <c r="B54" s="8">
        <v>-1.0351585166444348</v>
      </c>
      <c r="C54" s="8">
        <v>2.1037449841221099</v>
      </c>
      <c r="D54" s="8">
        <v>0.82913701269133588</v>
      </c>
      <c r="E54" s="7">
        <v>0</v>
      </c>
      <c r="F54" s="7">
        <v>-1.4990516053215155E-2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3">
        <f t="shared" si="10"/>
        <v>-2.7651983098897492E-4</v>
      </c>
      <c r="M54" s="3">
        <v>-1.0349999999999999</v>
      </c>
      <c r="N54" s="3">
        <v>2.1040000000000001</v>
      </c>
      <c r="O54" s="3">
        <v>0.82899999999999996</v>
      </c>
      <c r="P54" s="35">
        <v>0</v>
      </c>
      <c r="Q54" s="35">
        <v>-1.49698E-2</v>
      </c>
      <c r="R54" s="35">
        <v>0</v>
      </c>
      <c r="S54" s="35">
        <v>-4.76502E-3</v>
      </c>
      <c r="T54" s="35">
        <v>0</v>
      </c>
      <c r="U54" s="35">
        <v>4.76502E-3</v>
      </c>
      <c r="V54" s="35">
        <v>0</v>
      </c>
    </row>
    <row r="55" spans="1:22">
      <c r="A55" s="7"/>
      <c r="B55" s="8">
        <v>-2.5457845528396139E-2</v>
      </c>
      <c r="C55" s="8">
        <v>2.3667658472617719</v>
      </c>
      <c r="D55" s="8">
        <v>6.368425350466822E-2</v>
      </c>
      <c r="E55" s="7">
        <v>0</v>
      </c>
      <c r="F55" s="7">
        <v>0</v>
      </c>
      <c r="G55" s="7">
        <v>-1.4990516053215155E-2</v>
      </c>
      <c r="H55" s="7">
        <v>0</v>
      </c>
      <c r="I55" s="7">
        <v>0</v>
      </c>
      <c r="J55" s="7">
        <v>0</v>
      </c>
      <c r="K55" s="7">
        <v>0</v>
      </c>
      <c r="L55" s="3">
        <f t="shared" si="10"/>
        <v>-7.7447619560300218E-6</v>
      </c>
      <c r="M55" s="3">
        <v>-2.5000000000000001E-2</v>
      </c>
      <c r="N55" s="3">
        <v>2.367</v>
      </c>
      <c r="O55" s="3">
        <v>6.3E-2</v>
      </c>
      <c r="P55" s="35">
        <v>0</v>
      </c>
      <c r="Q55" s="35">
        <v>0</v>
      </c>
      <c r="R55" s="35">
        <v>-1.49698E-2</v>
      </c>
      <c r="S55" s="35">
        <v>-4.76502E-3</v>
      </c>
      <c r="T55" s="35">
        <v>0</v>
      </c>
      <c r="U55" s="35">
        <v>0</v>
      </c>
      <c r="V55" s="35">
        <v>4.76502E-3</v>
      </c>
    </row>
    <row r="56" spans="1:22">
      <c r="A56" s="7"/>
      <c r="B56" s="8"/>
      <c r="C56" s="8"/>
      <c r="D56" s="8"/>
      <c r="E56" s="7"/>
      <c r="F56" s="7"/>
      <c r="G56" s="7"/>
      <c r="H56" s="7"/>
      <c r="I56" s="7"/>
      <c r="J56" s="7"/>
      <c r="K56" s="7"/>
    </row>
    <row r="57" spans="1:22">
      <c r="A57" s="7"/>
      <c r="B57" s="8">
        <v>-1.253875629566908</v>
      </c>
      <c r="C57" s="8">
        <v>-3.2592166127769939E-2</v>
      </c>
      <c r="D57" s="8">
        <v>0.73934661383723232</v>
      </c>
      <c r="E57" s="7">
        <v>-1.4990516053215155E-2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3">
        <f t="shared" ref="L57:L93" si="14">B57-M57+C57-N57+D57-O57</f>
        <v>8.7881814255441615E-4</v>
      </c>
      <c r="M57" s="3">
        <v>-1.254</v>
      </c>
      <c r="N57" s="3">
        <v>-3.3000000000000002E-2</v>
      </c>
      <c r="O57" s="3">
        <v>0.73899999999999999</v>
      </c>
      <c r="P57" s="35">
        <v>-1.49698E-2</v>
      </c>
      <c r="Q57" s="35">
        <v>0</v>
      </c>
      <c r="R57" s="35">
        <v>0</v>
      </c>
      <c r="S57" s="35">
        <v>-4.76502E-3</v>
      </c>
      <c r="T57" s="35">
        <v>4.76502E-3</v>
      </c>
      <c r="U57" s="35">
        <v>0</v>
      </c>
      <c r="V57" s="35">
        <v>0</v>
      </c>
    </row>
    <row r="58" spans="1:22">
      <c r="A58" s="7" t="s">
        <v>30</v>
      </c>
      <c r="B58" s="8">
        <v>0.58367185674448252</v>
      </c>
      <c r="C58" s="8">
        <v>2.0841504898711007</v>
      </c>
      <c r="D58" s="8">
        <v>0.75171422039661484</v>
      </c>
      <c r="E58" s="7">
        <v>0</v>
      </c>
      <c r="F58" s="7">
        <v>-1.4990516053215155E-2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3">
        <f t="shared" si="10"/>
        <v>5.3656701219817471E-4</v>
      </c>
      <c r="M58" s="3">
        <v>0.58399999999999996</v>
      </c>
      <c r="N58" s="3">
        <v>2.0840000000000001</v>
      </c>
      <c r="O58" s="3">
        <v>0.751</v>
      </c>
      <c r="P58" s="35">
        <v>0</v>
      </c>
      <c r="Q58" s="35">
        <v>-1.49698E-2</v>
      </c>
      <c r="R58" s="35">
        <v>0</v>
      </c>
      <c r="S58" s="35">
        <v>-4.76502E-3</v>
      </c>
      <c r="T58" s="35">
        <v>0</v>
      </c>
      <c r="U58" s="35">
        <v>4.76502E-3</v>
      </c>
      <c r="V58" s="35">
        <v>0</v>
      </c>
    </row>
    <row r="59" spans="1:22">
      <c r="A59" s="7"/>
      <c r="B59" s="8">
        <v>-2.5457845528396139E-2</v>
      </c>
      <c r="C59" s="8">
        <v>2.3667658472617719</v>
      </c>
      <c r="D59" s="8">
        <v>6.368425350466822E-2</v>
      </c>
      <c r="E59" s="7">
        <v>0</v>
      </c>
      <c r="F59" s="7">
        <v>0</v>
      </c>
      <c r="G59" s="7">
        <v>-1.4990516053215155E-2</v>
      </c>
      <c r="H59" s="7">
        <v>0</v>
      </c>
      <c r="I59" s="7">
        <v>0</v>
      </c>
      <c r="J59" s="7">
        <v>0</v>
      </c>
      <c r="K59" s="7">
        <v>0</v>
      </c>
      <c r="L59" s="3">
        <f t="shared" si="10"/>
        <v>-7.7447619560300218E-6</v>
      </c>
      <c r="M59" s="3">
        <v>-2.5000000000000001E-2</v>
      </c>
      <c r="N59" s="3">
        <v>2.367</v>
      </c>
      <c r="O59" s="3">
        <v>6.3E-2</v>
      </c>
      <c r="P59" s="35">
        <v>0</v>
      </c>
      <c r="Q59" s="35">
        <v>0</v>
      </c>
      <c r="R59" s="35">
        <v>-1.49698E-2</v>
      </c>
      <c r="S59" s="35">
        <v>-4.76502E-3</v>
      </c>
      <c r="T59" s="35">
        <v>0</v>
      </c>
      <c r="U59" s="35">
        <v>0</v>
      </c>
      <c r="V59" s="35">
        <v>4.76502E-3</v>
      </c>
    </row>
    <row r="60" spans="1:22">
      <c r="A60" s="7"/>
      <c r="B60" s="8"/>
      <c r="C60" s="8"/>
      <c r="D60" s="8"/>
      <c r="E60" s="7"/>
      <c r="F60" s="7"/>
      <c r="G60" s="7"/>
      <c r="H60" s="7"/>
      <c r="I60" s="7"/>
      <c r="J60" s="7"/>
      <c r="K60" s="7"/>
    </row>
    <row r="61" spans="1:22">
      <c r="A61" s="7"/>
      <c r="B61" s="8">
        <v>1.0419123890112216</v>
      </c>
      <c r="C61" s="8">
        <v>-4.0818532431212473E-2</v>
      </c>
      <c r="D61" s="8">
        <v>0.77248383184656022</v>
      </c>
      <c r="E61" s="7">
        <v>-1.4990516053215155E-2</v>
      </c>
      <c r="F61" s="7">
        <v>0</v>
      </c>
      <c r="G61" s="7">
        <v>0</v>
      </c>
      <c r="H61" s="7">
        <v>-2.1796664656245589E-2</v>
      </c>
      <c r="I61" s="7">
        <v>2.2872089329671663E-2</v>
      </c>
      <c r="J61" s="7">
        <v>0</v>
      </c>
      <c r="K61" s="7">
        <v>0</v>
      </c>
      <c r="L61" s="3">
        <f t="shared" ref="L61:L97" si="15">B61-M61+C61-N61+D61-O61</f>
        <v>5.7768842656935604E-4</v>
      </c>
      <c r="M61" s="3">
        <v>1.042</v>
      </c>
      <c r="N61" s="3">
        <v>-4.1000000000000002E-2</v>
      </c>
      <c r="O61" s="3">
        <v>0.77200000000000002</v>
      </c>
      <c r="P61" s="35">
        <v>-1.49698E-2</v>
      </c>
      <c r="Q61" s="35">
        <v>0</v>
      </c>
      <c r="R61" s="35">
        <v>0</v>
      </c>
      <c r="S61" s="35">
        <v>-4.76502E-3</v>
      </c>
      <c r="T61" s="35">
        <v>4.76502E-3</v>
      </c>
      <c r="U61" s="35">
        <v>0</v>
      </c>
      <c r="V61" s="35">
        <v>0</v>
      </c>
    </row>
    <row r="62" spans="1:22">
      <c r="A62" s="7" t="s">
        <v>31</v>
      </c>
      <c r="B62" s="8">
        <v>-1.4028471761352286</v>
      </c>
      <c r="C62" s="8">
        <v>0.814665459345566</v>
      </c>
      <c r="D62" s="8">
        <v>0.7195871750303805</v>
      </c>
      <c r="E62" s="7">
        <v>0</v>
      </c>
      <c r="F62" s="7">
        <v>-1.4990516053215155E-2</v>
      </c>
      <c r="G62" s="7">
        <v>0</v>
      </c>
      <c r="H62" s="7">
        <v>-2.1796664656245589E-2</v>
      </c>
      <c r="I62" s="7">
        <v>0</v>
      </c>
      <c r="J62" s="7">
        <v>2.2385887789414392E-2</v>
      </c>
      <c r="K62" s="7">
        <v>0</v>
      </c>
      <c r="L62" s="3">
        <f t="shared" si="10"/>
        <v>4.0545824071802627E-4</v>
      </c>
      <c r="M62" s="3">
        <v>-1.403</v>
      </c>
      <c r="N62" s="3">
        <v>0.81499999999999995</v>
      </c>
      <c r="O62" s="3">
        <v>0.71899999999999997</v>
      </c>
      <c r="P62" s="35">
        <v>0</v>
      </c>
      <c r="Q62" s="35">
        <v>-1.49698E-2</v>
      </c>
      <c r="R62" s="35">
        <v>0</v>
      </c>
      <c r="S62" s="35">
        <v>-4.76502E-3</v>
      </c>
      <c r="T62" s="35">
        <v>0</v>
      </c>
      <c r="U62" s="35">
        <v>4.76502E-3</v>
      </c>
      <c r="V62" s="35">
        <v>0</v>
      </c>
    </row>
    <row r="63" spans="1:22">
      <c r="A63" s="7"/>
      <c r="B63" s="8">
        <v>1.4421025939282253</v>
      </c>
      <c r="C63" s="8">
        <v>1.0431877148697888</v>
      </c>
      <c r="D63" s="8">
        <v>0.78932433807079116</v>
      </c>
      <c r="E63" s="7">
        <v>0</v>
      </c>
      <c r="F63" s="7">
        <v>0</v>
      </c>
      <c r="G63" s="7">
        <v>-1.4990516053215155E-2</v>
      </c>
      <c r="H63" s="7">
        <v>-2.1796664656245589E-2</v>
      </c>
      <c r="I63" s="7">
        <v>0</v>
      </c>
      <c r="J63" s="7">
        <v>0</v>
      </c>
      <c r="K63" s="7">
        <v>1.6236379226863738E-2</v>
      </c>
      <c r="L63" s="3">
        <f t="shared" si="10"/>
        <v>6.1464686880530195E-4</v>
      </c>
      <c r="M63" s="3">
        <v>1.4419999999999999</v>
      </c>
      <c r="N63" s="3">
        <v>1.0429999999999999</v>
      </c>
      <c r="O63" s="3">
        <v>0.78900000000000003</v>
      </c>
      <c r="P63" s="35">
        <v>0</v>
      </c>
      <c r="Q63" s="35">
        <v>0</v>
      </c>
      <c r="R63" s="35">
        <v>-1.49698E-2</v>
      </c>
      <c r="S63" s="35">
        <v>-4.76502E-3</v>
      </c>
      <c r="T63" s="35">
        <v>0</v>
      </c>
      <c r="U63" s="35">
        <v>0</v>
      </c>
      <c r="V63" s="35">
        <v>4.76502E-3</v>
      </c>
    </row>
    <row r="64" spans="1:22">
      <c r="A64" s="7"/>
      <c r="B64" s="8"/>
      <c r="C64" s="8"/>
      <c r="D64" s="8"/>
      <c r="E64" s="7"/>
      <c r="F64" s="7"/>
      <c r="G64" s="7"/>
      <c r="H64" s="7"/>
      <c r="I64" s="7"/>
      <c r="J64" s="7"/>
      <c r="K64" s="7"/>
    </row>
    <row r="65" spans="1:22">
      <c r="A65" s="7"/>
      <c r="B65" s="8">
        <v>1.0419123890112216</v>
      </c>
      <c r="C65" s="8">
        <v>-4.0818532431212473E-2</v>
      </c>
      <c r="D65" s="8">
        <v>0.77248383184656022</v>
      </c>
      <c r="E65" s="7">
        <v>-1.4990516053215155E-2</v>
      </c>
      <c r="F65" s="7">
        <v>0</v>
      </c>
      <c r="G65" s="7">
        <v>0</v>
      </c>
      <c r="H65" s="7">
        <v>-2.1796664656245589E-2</v>
      </c>
      <c r="I65" s="7">
        <v>2.2872089329671663E-2</v>
      </c>
      <c r="J65" s="7">
        <v>0</v>
      </c>
      <c r="K65" s="7">
        <v>0</v>
      </c>
      <c r="L65" s="3">
        <f t="shared" ref="L65:L101" si="16">B65-M65+C65-N65+D65-O65</f>
        <v>5.7768842656935604E-4</v>
      </c>
      <c r="M65" s="3">
        <v>1.042</v>
      </c>
      <c r="N65" s="3">
        <v>-4.1000000000000002E-2</v>
      </c>
      <c r="O65" s="3">
        <v>0.77200000000000002</v>
      </c>
      <c r="P65" s="35">
        <v>-1.49698E-2</v>
      </c>
      <c r="Q65" s="35">
        <v>0</v>
      </c>
      <c r="R65" s="35">
        <v>0</v>
      </c>
      <c r="S65" s="35">
        <v>-4.76502E-3</v>
      </c>
      <c r="T65" s="35">
        <v>4.76502E-3</v>
      </c>
      <c r="U65" s="35">
        <v>0</v>
      </c>
      <c r="V65" s="35">
        <v>0</v>
      </c>
    </row>
    <row r="66" spans="1:22">
      <c r="A66" s="7" t="s">
        <v>32</v>
      </c>
      <c r="B66" s="8">
        <v>-1.4028471761352286</v>
      </c>
      <c r="C66" s="8">
        <v>0.814665459345566</v>
      </c>
      <c r="D66" s="8">
        <v>0.7195871750303805</v>
      </c>
      <c r="E66" s="7">
        <v>0</v>
      </c>
      <c r="F66" s="7">
        <v>-1.4990516053215155E-2</v>
      </c>
      <c r="G66" s="7">
        <v>0</v>
      </c>
      <c r="H66" s="7">
        <v>-2.1796664656245589E-2</v>
      </c>
      <c r="I66" s="7">
        <v>0</v>
      </c>
      <c r="J66" s="7">
        <v>2.2385887789414392E-2</v>
      </c>
      <c r="K66" s="7">
        <v>0</v>
      </c>
      <c r="L66" s="3">
        <f t="shared" si="10"/>
        <v>4.0545824071802627E-4</v>
      </c>
      <c r="M66" s="3">
        <v>-1.403</v>
      </c>
      <c r="N66" s="3">
        <v>0.81499999999999995</v>
      </c>
      <c r="O66" s="3">
        <v>0.71899999999999997</v>
      </c>
      <c r="P66" s="35">
        <v>0</v>
      </c>
      <c r="Q66" s="35">
        <v>-1.49698E-2</v>
      </c>
      <c r="R66" s="35">
        <v>0</v>
      </c>
      <c r="S66" s="35">
        <v>-4.76502E-3</v>
      </c>
      <c r="T66" s="35">
        <v>0</v>
      </c>
      <c r="U66" s="35">
        <v>4.76502E-3</v>
      </c>
      <c r="V66" s="35">
        <v>0</v>
      </c>
    </row>
    <row r="67" spans="1:22">
      <c r="A67" s="7"/>
      <c r="B67" s="8">
        <v>-1.0351585166444348</v>
      </c>
      <c r="C67" s="8">
        <v>2.1037449841221099</v>
      </c>
      <c r="D67" s="8">
        <v>0.82913701269133588</v>
      </c>
      <c r="E67" s="7">
        <v>0</v>
      </c>
      <c r="F67" s="7">
        <v>0</v>
      </c>
      <c r="G67" s="7">
        <v>-1.4990516053215155E-2</v>
      </c>
      <c r="H67" s="7">
        <v>-2.1796664656245589E-2</v>
      </c>
      <c r="I67" s="7">
        <v>0</v>
      </c>
      <c r="J67" s="7">
        <v>0</v>
      </c>
      <c r="K67" s="7">
        <v>1.5970575730977998E-2</v>
      </c>
      <c r="L67" s="3">
        <f t="shared" si="10"/>
        <v>-2.7651983098897492E-4</v>
      </c>
      <c r="M67" s="3">
        <v>-1.0349999999999999</v>
      </c>
      <c r="N67" s="3">
        <v>2.1040000000000001</v>
      </c>
      <c r="O67" s="3">
        <v>0.82899999999999996</v>
      </c>
      <c r="P67" s="35">
        <v>0</v>
      </c>
      <c r="Q67" s="35">
        <v>0</v>
      </c>
      <c r="R67" s="35">
        <v>-1.49698E-2</v>
      </c>
      <c r="S67" s="35">
        <v>-4.76502E-3</v>
      </c>
      <c r="T67" s="35">
        <v>0</v>
      </c>
      <c r="U67" s="35">
        <v>0</v>
      </c>
      <c r="V67" s="35">
        <v>4.76502E-3</v>
      </c>
    </row>
    <row r="68" spans="1:22">
      <c r="A68" s="7"/>
      <c r="B68" s="8"/>
      <c r="C68" s="8"/>
      <c r="D68" s="8"/>
      <c r="E68" s="7"/>
      <c r="F68" s="7"/>
      <c r="G68" s="7"/>
      <c r="H68" s="7"/>
      <c r="I68" s="7"/>
      <c r="J68" s="7"/>
      <c r="K68" s="7"/>
    </row>
    <row r="69" spans="1:22">
      <c r="A69" s="7"/>
      <c r="B69" s="8">
        <v>1.0419123890112216</v>
      </c>
      <c r="C69" s="8">
        <v>-4.0818532431212473E-2</v>
      </c>
      <c r="D69" s="8">
        <v>0.77248383184656022</v>
      </c>
      <c r="E69" s="7">
        <v>-1.4990516053215155E-2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3">
        <f t="shared" ref="L69:L131" si="17">B69-M69+C69-N69+D69-O69</f>
        <v>5.7768842656935604E-4</v>
      </c>
      <c r="M69" s="3">
        <v>1.042</v>
      </c>
      <c r="N69" s="3">
        <v>-4.1000000000000002E-2</v>
      </c>
      <c r="O69" s="3">
        <v>0.77200000000000002</v>
      </c>
      <c r="P69" s="35">
        <v>-1.49698E-2</v>
      </c>
      <c r="Q69" s="35">
        <v>0</v>
      </c>
      <c r="R69" s="35">
        <v>0</v>
      </c>
      <c r="S69" s="35">
        <v>-4.76502E-3</v>
      </c>
      <c r="T69" s="35">
        <v>4.76502E-3</v>
      </c>
      <c r="U69" s="35">
        <v>0</v>
      </c>
      <c r="V69" s="35">
        <v>0</v>
      </c>
    </row>
    <row r="70" spans="1:22">
      <c r="A70" s="7" t="s">
        <v>33</v>
      </c>
      <c r="B70" s="8">
        <v>-1.4028471761352286</v>
      </c>
      <c r="C70" s="8">
        <v>0.814665459345566</v>
      </c>
      <c r="D70" s="8">
        <v>0.7195871750303805</v>
      </c>
      <c r="E70" s="7">
        <v>0</v>
      </c>
      <c r="F70" s="7">
        <v>-1.4990516053215155E-2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3">
        <f t="shared" si="10"/>
        <v>4.0545824071802627E-4</v>
      </c>
      <c r="M70" s="3">
        <v>-1.403</v>
      </c>
      <c r="N70" s="3">
        <v>0.81499999999999995</v>
      </c>
      <c r="O70" s="3">
        <v>0.71899999999999997</v>
      </c>
      <c r="P70" s="35">
        <v>0</v>
      </c>
      <c r="Q70" s="35">
        <v>-1.49698E-2</v>
      </c>
      <c r="R70" s="35">
        <v>0</v>
      </c>
      <c r="S70" s="35">
        <v>-4.76502E-3</v>
      </c>
      <c r="T70" s="35">
        <v>0</v>
      </c>
      <c r="U70" s="35">
        <v>4.76502E-3</v>
      </c>
      <c r="V70" s="35">
        <v>0</v>
      </c>
    </row>
    <row r="71" spans="1:22">
      <c r="A71" s="7"/>
      <c r="B71" s="8">
        <v>0.58367185674448252</v>
      </c>
      <c r="C71" s="8">
        <v>2.0841504898711007</v>
      </c>
      <c r="D71" s="8">
        <v>0.75171422039661484</v>
      </c>
      <c r="E71" s="7">
        <v>0</v>
      </c>
      <c r="F71" s="7">
        <v>0</v>
      </c>
      <c r="G71" s="7">
        <v>-1.4990516053215155E-2</v>
      </c>
      <c r="H71" s="7">
        <v>0</v>
      </c>
      <c r="I71" s="7">
        <v>0</v>
      </c>
      <c r="J71" s="7">
        <v>0</v>
      </c>
      <c r="K71" s="7">
        <v>0</v>
      </c>
      <c r="L71" s="3">
        <f t="shared" si="10"/>
        <v>5.3656701219817471E-4</v>
      </c>
      <c r="M71" s="3">
        <v>0.58399999999999996</v>
      </c>
      <c r="N71" s="3">
        <v>2.0840000000000001</v>
      </c>
      <c r="O71" s="3">
        <v>0.751</v>
      </c>
      <c r="P71" s="35">
        <v>0</v>
      </c>
      <c r="Q71" s="35">
        <v>0</v>
      </c>
      <c r="R71" s="35">
        <v>-1.49698E-2</v>
      </c>
      <c r="S71" s="35">
        <v>-4.76502E-3</v>
      </c>
      <c r="T71" s="35">
        <v>0</v>
      </c>
      <c r="U71" s="35">
        <v>0</v>
      </c>
      <c r="V71" s="35">
        <v>4.76502E-3</v>
      </c>
    </row>
    <row r="72" spans="1:22">
      <c r="A72" s="7"/>
      <c r="B72" s="8"/>
      <c r="C72" s="8"/>
      <c r="D72" s="8"/>
      <c r="E72" s="7"/>
      <c r="F72" s="7"/>
      <c r="G72" s="7"/>
      <c r="H72" s="7"/>
      <c r="I72" s="7"/>
      <c r="J72" s="7"/>
      <c r="K72" s="7"/>
    </row>
    <row r="73" spans="1:22">
      <c r="A73" s="7"/>
      <c r="B73" s="8">
        <v>1.0419123890112216</v>
      </c>
      <c r="C73" s="8">
        <v>-4.0818532431212473E-2</v>
      </c>
      <c r="D73" s="8">
        <v>0.77248383184656022</v>
      </c>
      <c r="E73" s="7">
        <v>-1.4990516053215155E-2</v>
      </c>
      <c r="F73" s="7">
        <v>0</v>
      </c>
      <c r="G73" s="7">
        <v>0</v>
      </c>
      <c r="H73" s="7">
        <v>-2.1796664656245589E-2</v>
      </c>
      <c r="I73" s="7">
        <v>2.2872089329671663E-2</v>
      </c>
      <c r="J73" s="7">
        <v>0</v>
      </c>
      <c r="K73" s="7">
        <v>0</v>
      </c>
      <c r="L73" s="3">
        <f t="shared" ref="L73" si="18">B73-M73+C73-N73+D73-O73</f>
        <v>5.7768842656935604E-4</v>
      </c>
      <c r="M73" s="3">
        <v>1.042</v>
      </c>
      <c r="N73" s="3">
        <v>-4.1000000000000002E-2</v>
      </c>
      <c r="O73" s="3">
        <v>0.77200000000000002</v>
      </c>
      <c r="P73" s="35">
        <v>-1.49698E-2</v>
      </c>
      <c r="Q73" s="35">
        <v>0</v>
      </c>
      <c r="R73" s="35">
        <v>0</v>
      </c>
      <c r="S73" s="35">
        <v>-4.76502E-3</v>
      </c>
      <c r="T73" s="35">
        <v>4.76502E-3</v>
      </c>
      <c r="U73" s="35">
        <v>0</v>
      </c>
      <c r="V73" s="35">
        <v>0</v>
      </c>
    </row>
    <row r="74" spans="1:22">
      <c r="A74" s="7" t="s">
        <v>34</v>
      </c>
      <c r="B74" s="8">
        <v>-1.4028471761352286</v>
      </c>
      <c r="C74" s="8">
        <v>0.814665459345566</v>
      </c>
      <c r="D74" s="8">
        <v>0.7195871750303805</v>
      </c>
      <c r="E74" s="7">
        <v>0</v>
      </c>
      <c r="F74" s="7">
        <v>-1.4990516053215155E-2</v>
      </c>
      <c r="G74" s="7">
        <v>0</v>
      </c>
      <c r="H74" s="7">
        <v>-2.1796664656245589E-2</v>
      </c>
      <c r="I74" s="7">
        <v>0</v>
      </c>
      <c r="J74" s="7">
        <v>2.2385887789414392E-2</v>
      </c>
      <c r="K74" s="7">
        <v>0</v>
      </c>
      <c r="L74" s="3">
        <f t="shared" si="9"/>
        <v>4.0545824071802627E-4</v>
      </c>
      <c r="M74" s="3">
        <v>-1.403</v>
      </c>
      <c r="N74" s="3">
        <v>0.81499999999999995</v>
      </c>
      <c r="O74" s="3">
        <v>0.71899999999999997</v>
      </c>
      <c r="P74" s="35">
        <v>0</v>
      </c>
      <c r="Q74" s="35">
        <v>-1.49698E-2</v>
      </c>
      <c r="R74" s="35">
        <v>0</v>
      </c>
      <c r="S74" s="35">
        <v>-4.76502E-3</v>
      </c>
      <c r="T74" s="35">
        <v>0</v>
      </c>
      <c r="U74" s="35">
        <v>4.76502E-3</v>
      </c>
      <c r="V74" s="35">
        <v>0</v>
      </c>
    </row>
    <row r="75" spans="1:22">
      <c r="A75" s="7"/>
      <c r="B75" s="8">
        <v>-2.5457845528396139E-2</v>
      </c>
      <c r="C75" s="8">
        <v>2.3667658472617719</v>
      </c>
      <c r="D75" s="8">
        <v>6.368425350466822E-2</v>
      </c>
      <c r="E75" s="7">
        <v>0</v>
      </c>
      <c r="F75" s="7">
        <v>0</v>
      </c>
      <c r="G75" s="7">
        <v>-1.4990516053215155E-2</v>
      </c>
      <c r="H75" s="7">
        <v>-2.1796664656245589E-2</v>
      </c>
      <c r="I75" s="7">
        <v>0</v>
      </c>
      <c r="J75" s="7">
        <v>0</v>
      </c>
      <c r="K75" s="7">
        <v>2.0521745021313972E-2</v>
      </c>
      <c r="L75" s="3">
        <f t="shared" si="9"/>
        <v>-7.7447619560300218E-6</v>
      </c>
      <c r="M75" s="3">
        <v>-2.5000000000000001E-2</v>
      </c>
      <c r="N75" s="3">
        <v>2.367</v>
      </c>
      <c r="O75" s="3">
        <v>6.3E-2</v>
      </c>
      <c r="P75" s="35">
        <v>0</v>
      </c>
      <c r="Q75" s="35">
        <v>0</v>
      </c>
      <c r="R75" s="35">
        <v>-1.49698E-2</v>
      </c>
      <c r="S75" s="35">
        <v>-4.76502E-3</v>
      </c>
      <c r="T75" s="35">
        <v>0</v>
      </c>
      <c r="U75" s="35">
        <v>0</v>
      </c>
      <c r="V75" s="35">
        <v>4.76502E-3</v>
      </c>
    </row>
    <row r="76" spans="1:22">
      <c r="A76" s="7"/>
      <c r="B76" s="8"/>
      <c r="C76" s="8"/>
      <c r="D76" s="8"/>
      <c r="E76" s="7"/>
      <c r="F76" s="7"/>
      <c r="G76" s="7"/>
      <c r="H76" s="7"/>
      <c r="I76" s="7"/>
      <c r="J76" s="7"/>
      <c r="K76" s="7"/>
    </row>
    <row r="77" spans="1:22">
      <c r="A77" s="7"/>
      <c r="B77" s="8">
        <v>1.0419123890112216</v>
      </c>
      <c r="C77" s="8">
        <v>-4.0818532431212473E-2</v>
      </c>
      <c r="D77" s="8">
        <v>0.77248383184656022</v>
      </c>
      <c r="E77" s="7">
        <v>-1.4990516053215155E-2</v>
      </c>
      <c r="F77" s="7">
        <v>0</v>
      </c>
      <c r="G77" s="7">
        <v>0</v>
      </c>
      <c r="H77" s="7">
        <v>-2.1796664656245589E-2</v>
      </c>
      <c r="I77" s="7">
        <v>2.2872089329671663E-2</v>
      </c>
      <c r="J77" s="7">
        <v>0</v>
      </c>
      <c r="K77" s="7">
        <v>0</v>
      </c>
      <c r="L77" s="3">
        <f t="shared" si="10"/>
        <v>5.7768842656935604E-4</v>
      </c>
      <c r="M77" s="3">
        <v>1.042</v>
      </c>
      <c r="N77" s="3">
        <v>-4.1000000000000002E-2</v>
      </c>
      <c r="O77" s="3">
        <v>0.77200000000000002</v>
      </c>
      <c r="P77" s="35">
        <v>-1.49698E-2</v>
      </c>
      <c r="Q77" s="35">
        <v>0</v>
      </c>
      <c r="R77" s="35">
        <v>0</v>
      </c>
      <c r="S77" s="35">
        <v>-4.76502E-3</v>
      </c>
      <c r="T77" s="35">
        <v>4.76502E-3</v>
      </c>
      <c r="U77" s="35">
        <v>0</v>
      </c>
      <c r="V77" s="35">
        <v>0</v>
      </c>
    </row>
    <row r="78" spans="1:22">
      <c r="A78" s="7" t="s">
        <v>35</v>
      </c>
      <c r="B78" s="8">
        <v>1.4421025939282253</v>
      </c>
      <c r="C78" s="8">
        <v>1.0431877148697888</v>
      </c>
      <c r="D78" s="8">
        <v>0.78932433807079116</v>
      </c>
      <c r="E78" s="7">
        <v>0</v>
      </c>
      <c r="F78" s="7">
        <v>-1.4990516053215155E-2</v>
      </c>
      <c r="G78" s="7">
        <v>0</v>
      </c>
      <c r="H78" s="7">
        <v>-2.1796664656245589E-2</v>
      </c>
      <c r="I78" s="7">
        <v>0</v>
      </c>
      <c r="J78" s="7">
        <v>1.6236379226863738E-2</v>
      </c>
      <c r="K78" s="7">
        <v>0</v>
      </c>
      <c r="L78" s="3">
        <f t="shared" si="10"/>
        <v>6.1464686880530195E-4</v>
      </c>
      <c r="M78" s="3">
        <v>1.4419999999999999</v>
      </c>
      <c r="N78" s="3">
        <v>1.0429999999999999</v>
      </c>
      <c r="O78" s="3">
        <v>0.78900000000000003</v>
      </c>
      <c r="P78" s="35">
        <v>0</v>
      </c>
      <c r="Q78" s="35">
        <v>-1.49698E-2</v>
      </c>
      <c r="R78" s="35">
        <v>0</v>
      </c>
      <c r="S78" s="35">
        <v>-4.76502E-3</v>
      </c>
      <c r="T78" s="35">
        <v>0</v>
      </c>
      <c r="U78" s="35">
        <v>4.76502E-3</v>
      </c>
      <c r="V78" s="35">
        <v>0</v>
      </c>
    </row>
    <row r="79" spans="1:22">
      <c r="A79" s="7"/>
      <c r="B79" s="8">
        <v>-1.0351585166444348</v>
      </c>
      <c r="C79" s="8">
        <v>2.1037449841221099</v>
      </c>
      <c r="D79" s="8">
        <v>0.82913701269133588</v>
      </c>
      <c r="E79" s="7">
        <v>0</v>
      </c>
      <c r="F79" s="7">
        <v>0</v>
      </c>
      <c r="G79" s="7">
        <v>-1.4990516053215155E-2</v>
      </c>
      <c r="H79" s="7">
        <v>-2.1796664656245589E-2</v>
      </c>
      <c r="I79" s="7">
        <v>0</v>
      </c>
      <c r="J79" s="7">
        <v>0</v>
      </c>
      <c r="K79" s="7">
        <v>1.5970575730977998E-2</v>
      </c>
      <c r="L79" s="3">
        <f t="shared" si="10"/>
        <v>-2.7651983098897492E-4</v>
      </c>
      <c r="M79" s="3">
        <v>-1.0349999999999999</v>
      </c>
      <c r="N79" s="3">
        <v>2.1040000000000001</v>
      </c>
      <c r="O79" s="3">
        <v>0.82899999999999996</v>
      </c>
      <c r="P79" s="35">
        <v>0</v>
      </c>
      <c r="Q79" s="35">
        <v>0</v>
      </c>
      <c r="R79" s="35">
        <v>-1.49698E-2</v>
      </c>
      <c r="S79" s="35">
        <v>-4.76502E-3</v>
      </c>
      <c r="T79" s="35">
        <v>0</v>
      </c>
      <c r="U79" s="35">
        <v>0</v>
      </c>
      <c r="V79" s="35">
        <v>4.76502E-3</v>
      </c>
    </row>
    <row r="80" spans="1:22">
      <c r="A80" s="7"/>
      <c r="B80" s="8"/>
      <c r="C80" s="8"/>
      <c r="D80" s="8"/>
      <c r="E80" s="7"/>
      <c r="F80" s="7"/>
      <c r="G80" s="7"/>
      <c r="H80" s="7"/>
      <c r="I80" s="7"/>
      <c r="J80" s="7"/>
      <c r="K80" s="7"/>
    </row>
    <row r="81" spans="1:22">
      <c r="A81" s="7"/>
      <c r="B81" s="8">
        <v>1.0419123890112216</v>
      </c>
      <c r="C81" s="8">
        <v>-4.0818532431212473E-2</v>
      </c>
      <c r="D81" s="8">
        <v>0.77248383184656022</v>
      </c>
      <c r="E81" s="7">
        <v>-1.4990516053215155E-2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3">
        <f t="shared" si="11"/>
        <v>5.7768842656935604E-4</v>
      </c>
      <c r="M81" s="3">
        <v>1.042</v>
      </c>
      <c r="N81" s="3">
        <v>-4.1000000000000002E-2</v>
      </c>
      <c r="O81" s="3">
        <v>0.77200000000000002</v>
      </c>
      <c r="P81" s="35">
        <v>-1.49698E-2</v>
      </c>
      <c r="Q81" s="35">
        <v>0</v>
      </c>
      <c r="R81" s="35">
        <v>0</v>
      </c>
      <c r="S81" s="35">
        <v>-4.76502E-3</v>
      </c>
      <c r="T81" s="35">
        <v>4.76502E-3</v>
      </c>
      <c r="U81" s="35">
        <v>0</v>
      </c>
      <c r="V81" s="35">
        <v>0</v>
      </c>
    </row>
    <row r="82" spans="1:22">
      <c r="A82" s="7" t="s">
        <v>36</v>
      </c>
      <c r="B82" s="8">
        <v>1.4421025939282253</v>
      </c>
      <c r="C82" s="8">
        <v>1.0431877148697888</v>
      </c>
      <c r="D82" s="8">
        <v>0.78932433807079116</v>
      </c>
      <c r="E82" s="7">
        <v>0</v>
      </c>
      <c r="F82" s="7">
        <v>-1.4990516053215155E-2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3">
        <f t="shared" si="10"/>
        <v>6.1464686880530195E-4</v>
      </c>
      <c r="M82" s="3">
        <v>1.4419999999999999</v>
      </c>
      <c r="N82" s="3">
        <v>1.0429999999999999</v>
      </c>
      <c r="O82" s="3">
        <v>0.78900000000000003</v>
      </c>
      <c r="P82" s="35">
        <v>0</v>
      </c>
      <c r="Q82" s="35">
        <v>-1.49698E-2</v>
      </c>
      <c r="R82" s="35">
        <v>0</v>
      </c>
      <c r="S82" s="35">
        <v>-4.76502E-3</v>
      </c>
      <c r="T82" s="35">
        <v>0</v>
      </c>
      <c r="U82" s="35">
        <v>4.76502E-3</v>
      </c>
      <c r="V82" s="35">
        <v>0</v>
      </c>
    </row>
    <row r="83" spans="1:22">
      <c r="A83" s="7"/>
      <c r="B83" s="8">
        <v>0.58367185674448252</v>
      </c>
      <c r="C83" s="8">
        <v>2.0841504898711007</v>
      </c>
      <c r="D83" s="8">
        <v>0.75171422039661484</v>
      </c>
      <c r="E83" s="7">
        <v>0</v>
      </c>
      <c r="F83" s="7">
        <v>0</v>
      </c>
      <c r="G83" s="7">
        <v>-1.4990516053215155E-2</v>
      </c>
      <c r="H83" s="7">
        <v>0</v>
      </c>
      <c r="I83" s="7">
        <v>0</v>
      </c>
      <c r="J83" s="7">
        <v>0</v>
      </c>
      <c r="K83" s="7">
        <v>0</v>
      </c>
      <c r="L83" s="3">
        <f t="shared" si="10"/>
        <v>5.3656701219817471E-4</v>
      </c>
      <c r="M83" s="3">
        <v>0.58399999999999996</v>
      </c>
      <c r="N83" s="3">
        <v>2.0840000000000001</v>
      </c>
      <c r="O83" s="3">
        <v>0.751</v>
      </c>
      <c r="P83" s="35">
        <v>0</v>
      </c>
      <c r="Q83" s="35">
        <v>0</v>
      </c>
      <c r="R83" s="35">
        <v>-1.49698E-2</v>
      </c>
      <c r="S83" s="35">
        <v>-4.76502E-3</v>
      </c>
      <c r="T83" s="35">
        <v>0</v>
      </c>
      <c r="U83" s="35">
        <v>0</v>
      </c>
      <c r="V83" s="35">
        <v>4.76502E-3</v>
      </c>
    </row>
    <row r="84" spans="1:22">
      <c r="A84" s="7"/>
      <c r="B84" s="8"/>
      <c r="C84" s="8"/>
      <c r="D84" s="8"/>
      <c r="E84" s="7"/>
      <c r="F84" s="7"/>
      <c r="G84" s="7"/>
      <c r="H84" s="7"/>
      <c r="I84" s="7"/>
      <c r="J84" s="7"/>
      <c r="K84" s="7"/>
    </row>
    <row r="85" spans="1:22">
      <c r="A85" s="7"/>
      <c r="B85" s="8">
        <v>1.0419123890112216</v>
      </c>
      <c r="C85" s="8">
        <v>-4.0818532431212473E-2</v>
      </c>
      <c r="D85" s="8">
        <v>0.77248383184656022</v>
      </c>
      <c r="E85" s="7">
        <v>-1.4990516053215155E-2</v>
      </c>
      <c r="F85" s="7">
        <v>0</v>
      </c>
      <c r="G85" s="7">
        <v>0</v>
      </c>
      <c r="H85" s="7">
        <v>-2.1796664656245589E-2</v>
      </c>
      <c r="I85" s="7">
        <v>2.2872089329671663E-2</v>
      </c>
      <c r="J85" s="7">
        <v>0</v>
      </c>
      <c r="K85" s="7">
        <v>0</v>
      </c>
      <c r="L85" s="3">
        <f t="shared" si="12"/>
        <v>5.7768842656935604E-4</v>
      </c>
      <c r="M85" s="3">
        <v>1.042</v>
      </c>
      <c r="N85" s="3">
        <v>-4.1000000000000002E-2</v>
      </c>
      <c r="O85" s="3">
        <v>0.77200000000000002</v>
      </c>
      <c r="P85" s="35">
        <v>-1.49698E-2</v>
      </c>
      <c r="Q85" s="35">
        <v>0</v>
      </c>
      <c r="R85" s="35">
        <v>0</v>
      </c>
      <c r="S85" s="35">
        <v>-4.76502E-3</v>
      </c>
      <c r="T85" s="35">
        <v>4.76502E-3</v>
      </c>
      <c r="U85" s="35">
        <v>0</v>
      </c>
      <c r="V85" s="35">
        <v>0</v>
      </c>
    </row>
    <row r="86" spans="1:22">
      <c r="A86" s="7" t="s">
        <v>37</v>
      </c>
      <c r="B86" s="8">
        <v>1.4421025939282253</v>
      </c>
      <c r="C86" s="8">
        <v>1.0431877148697888</v>
      </c>
      <c r="D86" s="8">
        <v>0.78932433807079116</v>
      </c>
      <c r="E86" s="7">
        <v>0</v>
      </c>
      <c r="F86" s="7">
        <v>-1.4990516053215155E-2</v>
      </c>
      <c r="G86" s="7">
        <v>0</v>
      </c>
      <c r="H86" s="7">
        <v>-2.1796664656245589E-2</v>
      </c>
      <c r="I86" s="7">
        <v>0</v>
      </c>
      <c r="J86" s="7">
        <v>1.6236379226863738E-2</v>
      </c>
      <c r="K86" s="7">
        <v>0</v>
      </c>
      <c r="L86" s="3">
        <f t="shared" si="10"/>
        <v>6.1464686880530195E-4</v>
      </c>
      <c r="M86" s="3">
        <v>1.4419999999999999</v>
      </c>
      <c r="N86" s="3">
        <v>1.0429999999999999</v>
      </c>
      <c r="O86" s="3">
        <v>0.78900000000000003</v>
      </c>
      <c r="P86" s="35">
        <v>0</v>
      </c>
      <c r="Q86" s="35">
        <v>-1.49698E-2</v>
      </c>
      <c r="R86" s="35">
        <v>0</v>
      </c>
      <c r="S86" s="35">
        <v>-4.76502E-3</v>
      </c>
      <c r="T86" s="35">
        <v>0</v>
      </c>
      <c r="U86" s="35">
        <v>4.76502E-3</v>
      </c>
      <c r="V86" s="35">
        <v>0</v>
      </c>
    </row>
    <row r="87" spans="1:22">
      <c r="A87" s="7"/>
      <c r="B87" s="8">
        <v>-2.5457845528396139E-2</v>
      </c>
      <c r="C87" s="8">
        <v>2.3667658472617719</v>
      </c>
      <c r="D87" s="8">
        <v>6.368425350466822E-2</v>
      </c>
      <c r="E87" s="7">
        <v>0</v>
      </c>
      <c r="F87" s="7">
        <v>0</v>
      </c>
      <c r="G87" s="7">
        <v>-1.4990516053215155E-2</v>
      </c>
      <c r="H87" s="7">
        <v>-2.1796664656245589E-2</v>
      </c>
      <c r="I87" s="7">
        <v>0</v>
      </c>
      <c r="J87" s="7">
        <v>0</v>
      </c>
      <c r="K87" s="7">
        <v>2.0521745021313972E-2</v>
      </c>
      <c r="L87" s="3">
        <f t="shared" si="10"/>
        <v>-7.7447619560300218E-6</v>
      </c>
      <c r="M87" s="3">
        <v>-2.5000000000000001E-2</v>
      </c>
      <c r="N87" s="3">
        <v>2.367</v>
      </c>
      <c r="O87" s="3">
        <v>6.3E-2</v>
      </c>
      <c r="P87" s="35">
        <v>0</v>
      </c>
      <c r="Q87" s="35">
        <v>0</v>
      </c>
      <c r="R87" s="35">
        <v>-1.49698E-2</v>
      </c>
      <c r="S87" s="35">
        <v>-4.76502E-3</v>
      </c>
      <c r="T87" s="35">
        <v>0</v>
      </c>
      <c r="U87" s="35">
        <v>0</v>
      </c>
      <c r="V87" s="35">
        <v>4.76502E-3</v>
      </c>
    </row>
    <row r="88" spans="1:22">
      <c r="A88" s="7"/>
      <c r="B88" s="8"/>
      <c r="C88" s="8"/>
      <c r="D88" s="8"/>
      <c r="E88" s="7"/>
      <c r="F88" s="7"/>
      <c r="G88" s="7"/>
      <c r="H88" s="7"/>
      <c r="I88" s="7"/>
      <c r="J88" s="7"/>
      <c r="K88" s="7"/>
    </row>
    <row r="89" spans="1:22">
      <c r="A89" s="7"/>
      <c r="B89" s="8">
        <v>1.0419123890112216</v>
      </c>
      <c r="C89" s="8">
        <v>-4.0818532431212473E-2</v>
      </c>
      <c r="D89" s="8">
        <v>0.77248383184656022</v>
      </c>
      <c r="E89" s="7">
        <v>-1.4990516053215155E-2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3">
        <f t="shared" si="13"/>
        <v>5.7768842656935604E-4</v>
      </c>
      <c r="M89" s="3">
        <v>1.042</v>
      </c>
      <c r="N89" s="3">
        <v>-4.1000000000000002E-2</v>
      </c>
      <c r="O89" s="3">
        <v>0.77200000000000002</v>
      </c>
      <c r="P89" s="35">
        <v>-1.49698E-2</v>
      </c>
      <c r="Q89" s="35">
        <v>0</v>
      </c>
      <c r="R89" s="35">
        <v>0</v>
      </c>
      <c r="S89" s="35">
        <v>-4.76502E-3</v>
      </c>
      <c r="T89" s="35">
        <v>4.76502E-3</v>
      </c>
      <c r="U89" s="35">
        <v>0</v>
      </c>
      <c r="V89" s="35">
        <v>0</v>
      </c>
    </row>
    <row r="90" spans="1:22">
      <c r="A90" s="7" t="s">
        <v>38</v>
      </c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-1.4990516053215155E-2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3">
        <f t="shared" si="10"/>
        <v>-2.7651983098897492E-4</v>
      </c>
      <c r="M90" s="3">
        <v>-1.0349999999999999</v>
      </c>
      <c r="N90" s="3">
        <v>2.1040000000000001</v>
      </c>
      <c r="O90" s="3">
        <v>0.82899999999999996</v>
      </c>
      <c r="P90" s="35">
        <v>0</v>
      </c>
      <c r="Q90" s="35">
        <v>-1.49698E-2</v>
      </c>
      <c r="R90" s="35">
        <v>0</v>
      </c>
      <c r="S90" s="35">
        <v>-4.76502E-3</v>
      </c>
      <c r="T90" s="35">
        <v>0</v>
      </c>
      <c r="U90" s="35">
        <v>4.76502E-3</v>
      </c>
      <c r="V90" s="35">
        <v>0</v>
      </c>
    </row>
    <row r="91" spans="1:22">
      <c r="A91" s="7"/>
      <c r="B91" s="8">
        <v>0.58367185674448252</v>
      </c>
      <c r="C91" s="8">
        <v>2.0841504898711007</v>
      </c>
      <c r="D91" s="8">
        <v>0.75171422039661484</v>
      </c>
      <c r="E91" s="7">
        <v>0</v>
      </c>
      <c r="F91" s="7">
        <v>0</v>
      </c>
      <c r="G91" s="7">
        <v>-1.4990516053215155E-2</v>
      </c>
      <c r="H91" s="7">
        <v>0</v>
      </c>
      <c r="I91" s="7">
        <v>0</v>
      </c>
      <c r="J91" s="7">
        <v>0</v>
      </c>
      <c r="K91" s="7">
        <v>0</v>
      </c>
      <c r="L91" s="3">
        <f t="shared" si="10"/>
        <v>5.3656701219817471E-4</v>
      </c>
      <c r="M91" s="3">
        <v>0.58399999999999996</v>
      </c>
      <c r="N91" s="3">
        <v>2.0840000000000001</v>
      </c>
      <c r="O91" s="3">
        <v>0.751</v>
      </c>
      <c r="P91" s="35">
        <v>0</v>
      </c>
      <c r="Q91" s="35">
        <v>0</v>
      </c>
      <c r="R91" s="35">
        <v>-1.49698E-2</v>
      </c>
      <c r="S91" s="35">
        <v>-4.76502E-3</v>
      </c>
      <c r="T91" s="35">
        <v>0</v>
      </c>
      <c r="U91" s="35">
        <v>0</v>
      </c>
      <c r="V91" s="35">
        <v>4.76502E-3</v>
      </c>
    </row>
    <row r="92" spans="1:22">
      <c r="A92" s="7"/>
      <c r="B92" s="8"/>
      <c r="C92" s="8"/>
      <c r="D92" s="8"/>
      <c r="E92" s="7"/>
      <c r="F92" s="7"/>
      <c r="G92" s="7"/>
      <c r="H92" s="7"/>
      <c r="I92" s="7"/>
      <c r="J92" s="7"/>
      <c r="K92" s="7"/>
    </row>
    <row r="93" spans="1:22">
      <c r="A93" s="7"/>
      <c r="B93" s="8">
        <v>1.0419123890112216</v>
      </c>
      <c r="C93" s="8">
        <v>-4.0818532431212473E-2</v>
      </c>
      <c r="D93" s="8">
        <v>0.77248383184656022</v>
      </c>
      <c r="E93" s="7">
        <v>-1.4990516053215155E-2</v>
      </c>
      <c r="F93" s="7">
        <v>0</v>
      </c>
      <c r="G93" s="7">
        <v>0</v>
      </c>
      <c r="H93" s="7">
        <v>-2.1796664656245589E-2</v>
      </c>
      <c r="I93" s="7">
        <v>2.2872089329671663E-2</v>
      </c>
      <c r="J93" s="7">
        <v>0</v>
      </c>
      <c r="K93" s="7">
        <v>0</v>
      </c>
      <c r="L93" s="3">
        <f t="shared" si="14"/>
        <v>5.7768842656935604E-4</v>
      </c>
      <c r="M93" s="3">
        <v>1.042</v>
      </c>
      <c r="N93" s="3">
        <v>-4.1000000000000002E-2</v>
      </c>
      <c r="O93" s="3">
        <v>0.77200000000000002</v>
      </c>
      <c r="P93" s="35">
        <v>-1.49698E-2</v>
      </c>
      <c r="Q93" s="35">
        <v>0</v>
      </c>
      <c r="R93" s="35">
        <v>0</v>
      </c>
      <c r="S93" s="35">
        <v>-4.76502E-3</v>
      </c>
      <c r="T93" s="35">
        <v>4.76502E-3</v>
      </c>
      <c r="U93" s="35">
        <v>0</v>
      </c>
      <c r="V93" s="35">
        <v>0</v>
      </c>
    </row>
    <row r="94" spans="1:22">
      <c r="A94" s="7" t="s">
        <v>39</v>
      </c>
      <c r="B94" s="8">
        <v>-1.0351585166444348</v>
      </c>
      <c r="C94" s="8">
        <v>2.1037449841221099</v>
      </c>
      <c r="D94" s="8">
        <v>0.82913701269133588</v>
      </c>
      <c r="E94" s="7">
        <v>0</v>
      </c>
      <c r="F94" s="7">
        <v>-1.4990516053215155E-2</v>
      </c>
      <c r="G94" s="7">
        <v>0</v>
      </c>
      <c r="H94" s="7">
        <v>-2.1796664656245589E-2</v>
      </c>
      <c r="I94" s="7">
        <v>0</v>
      </c>
      <c r="J94" s="7">
        <v>1.5970575730977998E-2</v>
      </c>
      <c r="K94" s="7">
        <v>0</v>
      </c>
      <c r="L94" s="3">
        <f t="shared" si="10"/>
        <v>-2.7651983098897492E-4</v>
      </c>
      <c r="M94" s="3">
        <v>-1.0349999999999999</v>
      </c>
      <c r="N94" s="3">
        <v>2.1040000000000001</v>
      </c>
      <c r="O94" s="3">
        <v>0.82899999999999996</v>
      </c>
      <c r="P94" s="35">
        <v>0</v>
      </c>
      <c r="Q94" s="35">
        <v>-1.49698E-2</v>
      </c>
      <c r="R94" s="35">
        <v>0</v>
      </c>
      <c r="S94" s="35">
        <v>-4.76502E-3</v>
      </c>
      <c r="T94" s="35">
        <v>0</v>
      </c>
      <c r="U94" s="35">
        <v>4.76502E-3</v>
      </c>
      <c r="V94" s="35">
        <v>0</v>
      </c>
    </row>
    <row r="95" spans="1:22">
      <c r="A95" s="7"/>
      <c r="B95" s="8">
        <v>-2.5457845528396139E-2</v>
      </c>
      <c r="C95" s="8">
        <v>2.3667658472617719</v>
      </c>
      <c r="D95" s="8">
        <v>6.368425350466822E-2</v>
      </c>
      <c r="E95" s="7">
        <v>0</v>
      </c>
      <c r="F95" s="7">
        <v>0</v>
      </c>
      <c r="G95" s="7">
        <v>-1.4990516053215155E-2</v>
      </c>
      <c r="H95" s="7">
        <v>-2.1796664656245589E-2</v>
      </c>
      <c r="I95" s="7">
        <v>0</v>
      </c>
      <c r="J95" s="7">
        <v>0</v>
      </c>
      <c r="K95" s="7">
        <v>2.0521745021313972E-2</v>
      </c>
      <c r="L95" s="3">
        <f t="shared" si="10"/>
        <v>-7.7447619560300218E-6</v>
      </c>
      <c r="M95" s="3">
        <v>-2.5000000000000001E-2</v>
      </c>
      <c r="N95" s="3">
        <v>2.367</v>
      </c>
      <c r="O95" s="3">
        <v>6.3E-2</v>
      </c>
      <c r="P95" s="35">
        <v>0</v>
      </c>
      <c r="Q95" s="35">
        <v>0</v>
      </c>
      <c r="R95" s="35">
        <v>-1.49698E-2</v>
      </c>
      <c r="S95" s="35">
        <v>-4.76502E-3</v>
      </c>
      <c r="T95" s="35">
        <v>0</v>
      </c>
      <c r="U95" s="35">
        <v>0</v>
      </c>
      <c r="V95" s="35">
        <v>4.76502E-3</v>
      </c>
    </row>
    <row r="96" spans="1:22">
      <c r="A96" s="7"/>
      <c r="B96" s="8"/>
      <c r="C96" s="8"/>
      <c r="D96" s="8"/>
      <c r="E96" s="7"/>
      <c r="F96" s="7"/>
      <c r="G96" s="7"/>
      <c r="H96" s="7"/>
      <c r="I96" s="7"/>
      <c r="J96" s="7"/>
      <c r="K96" s="7"/>
    </row>
    <row r="97" spans="1:22">
      <c r="A97" s="7"/>
      <c r="B97" s="8">
        <v>1.0419123890112216</v>
      </c>
      <c r="C97" s="8">
        <v>-4.0818532431212473E-2</v>
      </c>
      <c r="D97" s="8">
        <v>0.77248383184656022</v>
      </c>
      <c r="E97" s="7">
        <v>-1.4990516053215155E-2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3">
        <f t="shared" si="15"/>
        <v>5.7768842656935604E-4</v>
      </c>
      <c r="M97" s="3">
        <v>1.042</v>
      </c>
      <c r="N97" s="3">
        <v>-4.1000000000000002E-2</v>
      </c>
      <c r="O97" s="3">
        <v>0.77200000000000002</v>
      </c>
      <c r="P97" s="35">
        <v>-1.49698E-2</v>
      </c>
      <c r="Q97" s="35">
        <v>0</v>
      </c>
      <c r="R97" s="35">
        <v>0</v>
      </c>
      <c r="S97" s="35">
        <v>-4.76502E-3</v>
      </c>
      <c r="T97" s="35">
        <v>4.76502E-3</v>
      </c>
      <c r="U97" s="35">
        <v>0</v>
      </c>
      <c r="V97" s="35">
        <v>0</v>
      </c>
    </row>
    <row r="98" spans="1:22">
      <c r="A98" s="7" t="s">
        <v>40</v>
      </c>
      <c r="B98" s="8">
        <v>0.58367185674448252</v>
      </c>
      <c r="C98" s="8">
        <v>2.0841504898711007</v>
      </c>
      <c r="D98" s="8">
        <v>0.75171422039661484</v>
      </c>
      <c r="E98" s="7">
        <v>0</v>
      </c>
      <c r="F98" s="7">
        <v>-1.4990516053215155E-2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3">
        <f t="shared" si="10"/>
        <v>5.3656701219817471E-4</v>
      </c>
      <c r="M98" s="3">
        <v>0.58399999999999996</v>
      </c>
      <c r="N98" s="3">
        <v>2.0840000000000001</v>
      </c>
      <c r="O98" s="3">
        <v>0.751</v>
      </c>
      <c r="P98" s="35">
        <v>0</v>
      </c>
      <c r="Q98" s="35">
        <v>-1.49698E-2</v>
      </c>
      <c r="R98" s="35">
        <v>0</v>
      </c>
      <c r="S98" s="35">
        <v>-4.76502E-3</v>
      </c>
      <c r="T98" s="35">
        <v>0</v>
      </c>
      <c r="U98" s="35">
        <v>4.76502E-3</v>
      </c>
      <c r="V98" s="35">
        <v>0</v>
      </c>
    </row>
    <row r="99" spans="1:22">
      <c r="A99" s="7"/>
      <c r="B99" s="8">
        <v>-2.5457845528396139E-2</v>
      </c>
      <c r="C99" s="8">
        <v>2.3667658472617719</v>
      </c>
      <c r="D99" s="8">
        <v>6.368425350466822E-2</v>
      </c>
      <c r="E99" s="7">
        <v>0</v>
      </c>
      <c r="F99" s="7">
        <v>0</v>
      </c>
      <c r="G99" s="7">
        <v>-1.4990516053215155E-2</v>
      </c>
      <c r="H99" s="7">
        <v>0</v>
      </c>
      <c r="I99" s="7">
        <v>0</v>
      </c>
      <c r="J99" s="7">
        <v>0</v>
      </c>
      <c r="K99" s="7">
        <v>0</v>
      </c>
      <c r="L99" s="3">
        <f t="shared" si="10"/>
        <v>-7.7447619560300218E-6</v>
      </c>
      <c r="M99" s="3">
        <v>-2.5000000000000001E-2</v>
      </c>
      <c r="N99" s="3">
        <v>2.367</v>
      </c>
      <c r="O99" s="3">
        <v>6.3E-2</v>
      </c>
      <c r="P99" s="35">
        <v>0</v>
      </c>
      <c r="Q99" s="35">
        <v>0</v>
      </c>
      <c r="R99" s="35">
        <v>-1.49698E-2</v>
      </c>
      <c r="S99" s="35">
        <v>-4.76502E-3</v>
      </c>
      <c r="T99" s="35">
        <v>0</v>
      </c>
      <c r="U99" s="35">
        <v>0</v>
      </c>
      <c r="V99" s="35">
        <v>4.76502E-3</v>
      </c>
    </row>
    <row r="100" spans="1:22">
      <c r="A100" s="7"/>
      <c r="B100" s="8"/>
      <c r="C100" s="8"/>
      <c r="D100" s="8"/>
      <c r="E100" s="7"/>
      <c r="F100" s="7"/>
      <c r="G100" s="7"/>
      <c r="H100" s="7"/>
      <c r="I100" s="7"/>
      <c r="J100" s="7"/>
      <c r="K100" s="7"/>
    </row>
    <row r="101" spans="1:22">
      <c r="A101" s="7"/>
      <c r="B101" s="8">
        <v>-1.4028471761352286</v>
      </c>
      <c r="C101" s="8">
        <v>0.814665459345566</v>
      </c>
      <c r="D101" s="8">
        <v>0.7195871750303805</v>
      </c>
      <c r="E101" s="7">
        <v>-1.4990516053215155E-2</v>
      </c>
      <c r="F101" s="7">
        <v>0</v>
      </c>
      <c r="G101" s="7">
        <v>0</v>
      </c>
      <c r="H101" s="7">
        <v>-2.1796664656245589E-2</v>
      </c>
      <c r="I101" s="7">
        <v>2.2385887789414392E-2</v>
      </c>
      <c r="J101" s="7">
        <v>0</v>
      </c>
      <c r="K101" s="7">
        <v>0</v>
      </c>
      <c r="L101" s="3">
        <f t="shared" si="16"/>
        <v>4.0545824071802627E-4</v>
      </c>
      <c r="M101" s="3">
        <v>-1.403</v>
      </c>
      <c r="N101" s="3">
        <v>0.81499999999999995</v>
      </c>
      <c r="O101" s="3">
        <v>0.71899999999999997</v>
      </c>
      <c r="P101" s="35">
        <v>-1.49698E-2</v>
      </c>
      <c r="Q101" s="35">
        <v>0</v>
      </c>
      <c r="R101" s="35">
        <v>0</v>
      </c>
      <c r="S101" s="35">
        <v>-4.76502E-3</v>
      </c>
      <c r="T101" s="35">
        <v>4.76502E-3</v>
      </c>
      <c r="U101" s="35">
        <v>0</v>
      </c>
      <c r="V101" s="35">
        <v>0</v>
      </c>
    </row>
    <row r="102" spans="1:22">
      <c r="A102" s="7" t="s">
        <v>41</v>
      </c>
      <c r="B102" s="8">
        <v>1.4421025939282253</v>
      </c>
      <c r="C102" s="8">
        <v>1.0431877148697888</v>
      </c>
      <c r="D102" s="8">
        <v>0.78932433807079116</v>
      </c>
      <c r="E102" s="7">
        <v>0</v>
      </c>
      <c r="F102" s="7">
        <v>-1.4990516053215155E-2</v>
      </c>
      <c r="G102" s="7">
        <v>0</v>
      </c>
      <c r="H102" s="7">
        <v>-2.1796664656245589E-2</v>
      </c>
      <c r="I102" s="7">
        <v>0</v>
      </c>
      <c r="J102" s="7">
        <v>1.6236379226863738E-2</v>
      </c>
      <c r="K102" s="7">
        <v>0</v>
      </c>
      <c r="L102" s="3">
        <f t="shared" si="10"/>
        <v>6.1464686880530195E-4</v>
      </c>
      <c r="M102" s="3">
        <v>1.4419999999999999</v>
      </c>
      <c r="N102" s="3">
        <v>1.0429999999999999</v>
      </c>
      <c r="O102" s="3">
        <v>0.78900000000000003</v>
      </c>
      <c r="P102" s="35">
        <v>0</v>
      </c>
      <c r="Q102" s="35">
        <v>-1.49698E-2</v>
      </c>
      <c r="R102" s="35">
        <v>0</v>
      </c>
      <c r="S102" s="35">
        <v>-4.76502E-3</v>
      </c>
      <c r="T102" s="35">
        <v>0</v>
      </c>
      <c r="U102" s="35">
        <v>4.76502E-3</v>
      </c>
      <c r="V102" s="35">
        <v>0</v>
      </c>
    </row>
    <row r="103" spans="1:22">
      <c r="A103" s="7"/>
      <c r="B103" s="8">
        <v>-1.0351585166444348</v>
      </c>
      <c r="C103" s="8">
        <v>2.1037449841221099</v>
      </c>
      <c r="D103" s="8">
        <v>0.82913701269133588</v>
      </c>
      <c r="E103" s="7">
        <v>0</v>
      </c>
      <c r="F103" s="7">
        <v>0</v>
      </c>
      <c r="G103" s="7">
        <v>-1.4990516053215155E-2</v>
      </c>
      <c r="H103" s="7">
        <v>-2.1796664656245589E-2</v>
      </c>
      <c r="I103" s="7">
        <v>0</v>
      </c>
      <c r="J103" s="7">
        <v>0</v>
      </c>
      <c r="K103" s="7">
        <v>1.5970575730977998E-2</v>
      </c>
      <c r="L103" s="3">
        <f t="shared" si="10"/>
        <v>-2.7651983098897492E-4</v>
      </c>
      <c r="M103" s="3">
        <v>-1.0349999999999999</v>
      </c>
      <c r="N103" s="3">
        <v>2.1040000000000001</v>
      </c>
      <c r="O103" s="3">
        <v>0.82899999999999996</v>
      </c>
      <c r="P103" s="35">
        <v>0</v>
      </c>
      <c r="Q103" s="35">
        <v>0</v>
      </c>
      <c r="R103" s="35">
        <v>-1.49698E-2</v>
      </c>
      <c r="S103" s="35">
        <v>-4.76502E-3</v>
      </c>
      <c r="T103" s="35">
        <v>0</v>
      </c>
      <c r="U103" s="35">
        <v>0</v>
      </c>
      <c r="V103" s="35">
        <v>4.76502E-3</v>
      </c>
    </row>
    <row r="104" spans="1:22">
      <c r="A104" s="7"/>
      <c r="B104" s="8"/>
      <c r="C104" s="8"/>
      <c r="D104" s="8"/>
      <c r="E104" s="7"/>
      <c r="F104" s="7"/>
      <c r="G104" s="7"/>
      <c r="H104" s="7"/>
      <c r="I104" s="7"/>
      <c r="J104" s="7"/>
      <c r="K104" s="7"/>
    </row>
    <row r="105" spans="1:22">
      <c r="A105" s="7"/>
      <c r="B105" s="8">
        <v>-1.4028471761352286</v>
      </c>
      <c r="C105" s="8">
        <v>0.814665459345566</v>
      </c>
      <c r="D105" s="8">
        <v>0.7195871750303805</v>
      </c>
      <c r="E105" s="7">
        <v>-1.4990516053215155E-2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3">
        <f t="shared" si="17"/>
        <v>4.0545824071802627E-4</v>
      </c>
      <c r="M105" s="3">
        <v>-1.403</v>
      </c>
      <c r="N105" s="3">
        <v>0.81499999999999995</v>
      </c>
      <c r="O105" s="3">
        <v>0.71899999999999997</v>
      </c>
      <c r="P105" s="35">
        <v>-1.49698E-2</v>
      </c>
      <c r="Q105" s="35">
        <v>0</v>
      </c>
      <c r="R105" s="35">
        <v>0</v>
      </c>
      <c r="S105" s="35">
        <v>-4.76502E-3</v>
      </c>
      <c r="T105" s="35">
        <v>4.76502E-3</v>
      </c>
      <c r="U105" s="35">
        <v>0</v>
      </c>
      <c r="V105" s="35">
        <v>0</v>
      </c>
    </row>
    <row r="106" spans="1:22">
      <c r="A106" s="7" t="s">
        <v>42</v>
      </c>
      <c r="B106" s="8">
        <v>1.4421025939282253</v>
      </c>
      <c r="C106" s="8">
        <v>1.0431877148697888</v>
      </c>
      <c r="D106" s="8">
        <v>0.78932433807079116</v>
      </c>
      <c r="E106" s="7">
        <v>0</v>
      </c>
      <c r="F106" s="7">
        <v>-1.4990516053215155E-2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3">
        <f t="shared" si="17"/>
        <v>6.1464686880530195E-4</v>
      </c>
      <c r="M106" s="3">
        <v>1.4419999999999999</v>
      </c>
      <c r="N106" s="3">
        <v>1.0429999999999999</v>
      </c>
      <c r="O106" s="3">
        <v>0.78900000000000003</v>
      </c>
      <c r="P106" s="35">
        <v>0</v>
      </c>
      <c r="Q106" s="35">
        <v>-1.49698E-2</v>
      </c>
      <c r="R106" s="35">
        <v>0</v>
      </c>
      <c r="S106" s="35">
        <v>-4.76502E-3</v>
      </c>
      <c r="T106" s="35">
        <v>0</v>
      </c>
      <c r="U106" s="35">
        <v>4.76502E-3</v>
      </c>
      <c r="V106" s="35">
        <v>0</v>
      </c>
    </row>
    <row r="107" spans="1:22">
      <c r="A107" s="7"/>
      <c r="B107" s="8">
        <v>0.58367185674448252</v>
      </c>
      <c r="C107" s="8">
        <v>2.0841504898711007</v>
      </c>
      <c r="D107" s="8">
        <v>0.75171422039661484</v>
      </c>
      <c r="E107" s="7">
        <v>0</v>
      </c>
      <c r="F107" s="7">
        <v>0</v>
      </c>
      <c r="G107" s="7">
        <v>-1.4990516053215155E-2</v>
      </c>
      <c r="H107" s="7">
        <v>0</v>
      </c>
      <c r="I107" s="7">
        <v>0</v>
      </c>
      <c r="J107" s="7">
        <v>0</v>
      </c>
      <c r="K107" s="7">
        <v>0</v>
      </c>
      <c r="L107" s="3">
        <f t="shared" si="17"/>
        <v>5.3656701219817471E-4</v>
      </c>
      <c r="M107" s="3">
        <v>0.58399999999999996</v>
      </c>
      <c r="N107" s="3">
        <v>2.0840000000000001</v>
      </c>
      <c r="O107" s="3">
        <v>0.751</v>
      </c>
      <c r="P107" s="35">
        <v>0</v>
      </c>
      <c r="Q107" s="35">
        <v>0</v>
      </c>
      <c r="R107" s="35">
        <v>-1.49698E-2</v>
      </c>
      <c r="S107" s="35">
        <v>-4.76502E-3</v>
      </c>
      <c r="T107" s="35">
        <v>0</v>
      </c>
      <c r="U107" s="35">
        <v>0</v>
      </c>
      <c r="V107" s="35">
        <v>4.76502E-3</v>
      </c>
    </row>
    <row r="108" spans="1:22">
      <c r="A108" s="7"/>
      <c r="B108" s="8"/>
      <c r="C108" s="8"/>
      <c r="D108" s="8"/>
      <c r="E108" s="7"/>
      <c r="F108" s="7"/>
      <c r="G108" s="7"/>
      <c r="H108" s="7"/>
      <c r="I108" s="7"/>
      <c r="J108" s="7"/>
      <c r="K108" s="7"/>
    </row>
    <row r="109" spans="1:22">
      <c r="A109" s="7"/>
      <c r="B109" s="8">
        <v>-1.4028471761352286</v>
      </c>
      <c r="C109" s="8">
        <v>0.814665459345566</v>
      </c>
      <c r="D109" s="8">
        <v>0.7195871750303805</v>
      </c>
      <c r="E109" s="7">
        <v>-1.4990516053215155E-2</v>
      </c>
      <c r="F109" s="7">
        <v>0</v>
      </c>
      <c r="G109" s="7">
        <v>0</v>
      </c>
      <c r="H109" s="7">
        <v>-2.1796664656245589E-2</v>
      </c>
      <c r="I109" s="7">
        <v>2.2385887789414392E-2</v>
      </c>
      <c r="J109" s="7">
        <v>0</v>
      </c>
      <c r="K109" s="7">
        <v>0</v>
      </c>
      <c r="L109" s="3">
        <f t="shared" ref="L109:L147" si="19">B109-M109+C109-N109+D109-O109</f>
        <v>4.0545824071802627E-4</v>
      </c>
      <c r="M109" s="3">
        <v>-1.403</v>
      </c>
      <c r="N109" s="3">
        <v>0.81499999999999995</v>
      </c>
      <c r="O109" s="3">
        <v>0.71899999999999997</v>
      </c>
      <c r="P109" s="35">
        <v>-1.49698E-2</v>
      </c>
      <c r="Q109" s="35">
        <v>0</v>
      </c>
      <c r="R109" s="35">
        <v>0</v>
      </c>
      <c r="S109" s="35">
        <v>-4.76502E-3</v>
      </c>
      <c r="T109" s="35">
        <v>4.76502E-3</v>
      </c>
      <c r="U109" s="35">
        <v>0</v>
      </c>
      <c r="V109" s="35">
        <v>0</v>
      </c>
    </row>
    <row r="110" spans="1:22">
      <c r="A110" s="7" t="s">
        <v>43</v>
      </c>
      <c r="B110" s="8">
        <v>1.4421025939282253</v>
      </c>
      <c r="C110" s="8">
        <v>1.0431877148697888</v>
      </c>
      <c r="D110" s="8">
        <v>0.78932433807079116</v>
      </c>
      <c r="E110" s="7">
        <v>0</v>
      </c>
      <c r="F110" s="7">
        <v>-1.4990516053215155E-2</v>
      </c>
      <c r="G110" s="7">
        <v>0</v>
      </c>
      <c r="H110" s="7">
        <v>-2.1796664656245589E-2</v>
      </c>
      <c r="I110" s="7">
        <v>0</v>
      </c>
      <c r="J110" s="7">
        <v>1.6236379226863738E-2</v>
      </c>
      <c r="K110" s="7">
        <v>0</v>
      </c>
      <c r="L110" s="3">
        <f t="shared" si="19"/>
        <v>6.1464686880530195E-4</v>
      </c>
      <c r="M110" s="3">
        <v>1.4419999999999999</v>
      </c>
      <c r="N110" s="3">
        <v>1.0429999999999999</v>
      </c>
      <c r="O110" s="3">
        <v>0.78900000000000003</v>
      </c>
      <c r="P110" s="35">
        <v>0</v>
      </c>
      <c r="Q110" s="35">
        <v>-1.49698E-2</v>
      </c>
      <c r="R110" s="35">
        <v>0</v>
      </c>
      <c r="S110" s="35">
        <v>-4.76502E-3</v>
      </c>
      <c r="T110" s="35">
        <v>0</v>
      </c>
      <c r="U110" s="35">
        <v>4.76502E-3</v>
      </c>
      <c r="V110" s="35">
        <v>0</v>
      </c>
    </row>
    <row r="111" spans="1:22">
      <c r="A111" s="7"/>
      <c r="B111" s="8">
        <v>-2.5457845528396139E-2</v>
      </c>
      <c r="C111" s="8">
        <v>2.3667658472617719</v>
      </c>
      <c r="D111" s="8">
        <v>6.368425350466822E-2</v>
      </c>
      <c r="E111" s="7">
        <v>0</v>
      </c>
      <c r="F111" s="7">
        <v>0</v>
      </c>
      <c r="G111" s="7">
        <v>-1.4990516053215155E-2</v>
      </c>
      <c r="H111" s="7">
        <v>-2.1796664656245589E-2</v>
      </c>
      <c r="I111" s="7">
        <v>0</v>
      </c>
      <c r="J111" s="7">
        <v>0</v>
      </c>
      <c r="K111" s="7">
        <v>2.0521745021313972E-2</v>
      </c>
      <c r="L111" s="3">
        <f t="shared" si="19"/>
        <v>-7.7447619560300218E-6</v>
      </c>
      <c r="M111" s="3">
        <v>-2.5000000000000001E-2</v>
      </c>
      <c r="N111" s="3">
        <v>2.367</v>
      </c>
      <c r="O111" s="3">
        <v>6.3E-2</v>
      </c>
      <c r="P111" s="35">
        <v>0</v>
      </c>
      <c r="Q111" s="35">
        <v>0</v>
      </c>
      <c r="R111" s="35">
        <v>-1.49698E-2</v>
      </c>
      <c r="S111" s="35">
        <v>-4.76502E-3</v>
      </c>
      <c r="T111" s="35">
        <v>0</v>
      </c>
      <c r="U111" s="35">
        <v>0</v>
      </c>
      <c r="V111" s="35">
        <v>4.76502E-3</v>
      </c>
    </row>
    <row r="112" spans="1:22">
      <c r="A112" s="7"/>
      <c r="B112" s="8"/>
      <c r="C112" s="8"/>
      <c r="D112" s="8"/>
      <c r="E112" s="7"/>
      <c r="F112" s="7"/>
      <c r="G112" s="7"/>
      <c r="H112" s="7"/>
      <c r="I112" s="7"/>
      <c r="J112" s="7"/>
      <c r="K112" s="7"/>
    </row>
    <row r="113" spans="1:22">
      <c r="A113" s="7"/>
      <c r="B113" s="8">
        <v>-1.4028471761352286</v>
      </c>
      <c r="C113" s="8">
        <v>0.814665459345566</v>
      </c>
      <c r="D113" s="8">
        <v>0.7195871750303805</v>
      </c>
      <c r="E113" s="7">
        <v>-1.4990516053215155E-2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3">
        <f t="shared" si="17"/>
        <v>4.0545824071802627E-4</v>
      </c>
      <c r="M113" s="3">
        <v>-1.403</v>
      </c>
      <c r="N113" s="3">
        <v>0.81499999999999995</v>
      </c>
      <c r="O113" s="3">
        <v>0.71899999999999997</v>
      </c>
      <c r="P113" s="35">
        <v>-1.49698E-2</v>
      </c>
      <c r="Q113" s="35">
        <v>0</v>
      </c>
      <c r="R113" s="35">
        <v>0</v>
      </c>
      <c r="S113" s="35">
        <v>-4.76502E-3</v>
      </c>
      <c r="T113" s="35">
        <v>4.76502E-3</v>
      </c>
      <c r="U113" s="35">
        <v>0</v>
      </c>
      <c r="V113" s="35">
        <v>0</v>
      </c>
    </row>
    <row r="114" spans="1:22">
      <c r="A114" s="7" t="s">
        <v>44</v>
      </c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-1.4990516053215155E-2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3">
        <f t="shared" si="17"/>
        <v>-2.7651983098897492E-4</v>
      </c>
      <c r="M114" s="3">
        <v>-1.0349999999999999</v>
      </c>
      <c r="N114" s="3">
        <v>2.1040000000000001</v>
      </c>
      <c r="O114" s="3">
        <v>0.82899999999999996</v>
      </c>
      <c r="P114" s="35">
        <v>0</v>
      </c>
      <c r="Q114" s="35">
        <v>-1.49698E-2</v>
      </c>
      <c r="R114" s="35">
        <v>0</v>
      </c>
      <c r="S114" s="35">
        <v>-4.76502E-3</v>
      </c>
      <c r="T114" s="35">
        <v>0</v>
      </c>
      <c r="U114" s="35">
        <v>4.76502E-3</v>
      </c>
      <c r="V114" s="35">
        <v>0</v>
      </c>
    </row>
    <row r="115" spans="1:22">
      <c r="A115" s="7"/>
      <c r="B115" s="8">
        <v>0.58367185674448252</v>
      </c>
      <c r="C115" s="8">
        <v>2.0841504898711007</v>
      </c>
      <c r="D115" s="8">
        <v>0.75171422039661484</v>
      </c>
      <c r="E115" s="7">
        <v>0</v>
      </c>
      <c r="F115" s="7">
        <v>0</v>
      </c>
      <c r="G115" s="7">
        <v>-1.4990516053215155E-2</v>
      </c>
      <c r="H115" s="7">
        <v>0</v>
      </c>
      <c r="I115" s="7">
        <v>0</v>
      </c>
      <c r="J115" s="7">
        <v>0</v>
      </c>
      <c r="K115" s="7">
        <v>0</v>
      </c>
      <c r="L115" s="3">
        <f t="shared" si="17"/>
        <v>5.3656701219817471E-4</v>
      </c>
      <c r="M115" s="3">
        <v>0.58399999999999996</v>
      </c>
      <c r="N115" s="3">
        <v>2.0840000000000001</v>
      </c>
      <c r="O115" s="3">
        <v>0.751</v>
      </c>
      <c r="P115" s="35">
        <v>0</v>
      </c>
      <c r="Q115" s="35">
        <v>0</v>
      </c>
      <c r="R115" s="35">
        <v>-1.49698E-2</v>
      </c>
      <c r="S115" s="35">
        <v>-4.76502E-3</v>
      </c>
      <c r="T115" s="35">
        <v>0</v>
      </c>
      <c r="U115" s="35">
        <v>0</v>
      </c>
      <c r="V115" s="35">
        <v>4.76502E-3</v>
      </c>
    </row>
    <row r="116" spans="1:22">
      <c r="A116" s="7"/>
      <c r="B116" s="8"/>
      <c r="C116" s="8"/>
      <c r="D116" s="8"/>
      <c r="E116" s="7"/>
      <c r="F116" s="7"/>
      <c r="G116" s="7"/>
      <c r="H116" s="7"/>
      <c r="I116" s="7"/>
      <c r="J116" s="7"/>
      <c r="K116" s="7"/>
    </row>
    <row r="117" spans="1:22">
      <c r="A117" s="7"/>
      <c r="B117" s="8">
        <v>-1.4028471761352286</v>
      </c>
      <c r="C117" s="8">
        <v>0.814665459345566</v>
      </c>
      <c r="D117" s="8">
        <v>0.7195871750303805</v>
      </c>
      <c r="E117" s="7">
        <v>-1.4990516053215155E-2</v>
      </c>
      <c r="F117" s="7">
        <v>0</v>
      </c>
      <c r="G117" s="7">
        <v>0</v>
      </c>
      <c r="H117" s="7">
        <v>-2.1796664656245589E-2</v>
      </c>
      <c r="I117" s="7">
        <v>2.2385887789414392E-2</v>
      </c>
      <c r="J117" s="7">
        <v>0</v>
      </c>
      <c r="K117" s="7">
        <v>0</v>
      </c>
      <c r="L117" s="3">
        <f t="shared" ref="L117:L153" si="20">B117-M117+C117-N117+D117-O117</f>
        <v>4.0545824071802627E-4</v>
      </c>
      <c r="M117" s="3">
        <v>-1.403</v>
      </c>
      <c r="N117" s="3">
        <v>0.81499999999999995</v>
      </c>
      <c r="O117" s="3">
        <v>0.71899999999999997</v>
      </c>
      <c r="P117" s="35">
        <v>-1.49698E-2</v>
      </c>
      <c r="Q117" s="35">
        <v>0</v>
      </c>
      <c r="R117" s="35">
        <v>0</v>
      </c>
      <c r="S117" s="35">
        <v>-4.76502E-3</v>
      </c>
      <c r="T117" s="35">
        <v>4.76502E-3</v>
      </c>
      <c r="U117" s="35">
        <v>0</v>
      </c>
      <c r="V117" s="35">
        <v>0</v>
      </c>
    </row>
    <row r="118" spans="1:22">
      <c r="A118" s="7" t="s">
        <v>45</v>
      </c>
      <c r="B118" s="8">
        <v>-1.0351585166444348</v>
      </c>
      <c r="C118" s="8">
        <v>2.1037449841221099</v>
      </c>
      <c r="D118" s="8">
        <v>0.82913701269133588</v>
      </c>
      <c r="E118" s="7">
        <v>0</v>
      </c>
      <c r="F118" s="7">
        <v>-1.4990516053215155E-2</v>
      </c>
      <c r="G118" s="7">
        <v>0</v>
      </c>
      <c r="H118" s="7">
        <v>-2.1796664656245589E-2</v>
      </c>
      <c r="I118" s="7">
        <v>0</v>
      </c>
      <c r="J118" s="7">
        <v>1.5970575730977998E-2</v>
      </c>
      <c r="K118" s="7">
        <v>0</v>
      </c>
      <c r="L118" s="3">
        <f t="shared" si="17"/>
        <v>-2.7651983098897492E-4</v>
      </c>
      <c r="M118" s="3">
        <v>-1.0349999999999999</v>
      </c>
      <c r="N118" s="3">
        <v>2.1040000000000001</v>
      </c>
      <c r="O118" s="3">
        <v>0.82899999999999996</v>
      </c>
      <c r="P118" s="35">
        <v>0</v>
      </c>
      <c r="Q118" s="35">
        <v>-1.49698E-2</v>
      </c>
      <c r="R118" s="35">
        <v>0</v>
      </c>
      <c r="S118" s="35">
        <v>-4.76502E-3</v>
      </c>
      <c r="T118" s="35">
        <v>0</v>
      </c>
      <c r="U118" s="35">
        <v>4.76502E-3</v>
      </c>
      <c r="V118" s="35">
        <v>0</v>
      </c>
    </row>
    <row r="119" spans="1:22">
      <c r="A119" s="7"/>
      <c r="B119" s="8">
        <v>-2.5457845528396139E-2</v>
      </c>
      <c r="C119" s="8">
        <v>2.3667658472617719</v>
      </c>
      <c r="D119" s="8">
        <v>6.368425350466822E-2</v>
      </c>
      <c r="E119" s="7">
        <v>0</v>
      </c>
      <c r="F119" s="7">
        <v>0</v>
      </c>
      <c r="G119" s="7">
        <v>-1.4990516053215155E-2</v>
      </c>
      <c r="H119" s="7">
        <v>-2.1796664656245589E-2</v>
      </c>
      <c r="I119" s="7">
        <v>0</v>
      </c>
      <c r="J119" s="7">
        <v>0</v>
      </c>
      <c r="K119" s="7">
        <v>2.0521745021313972E-2</v>
      </c>
      <c r="L119" s="3">
        <f t="shared" si="17"/>
        <v>-7.7447619560300218E-6</v>
      </c>
      <c r="M119" s="3">
        <v>-2.5000000000000001E-2</v>
      </c>
      <c r="N119" s="3">
        <v>2.367</v>
      </c>
      <c r="O119" s="3">
        <v>6.3E-2</v>
      </c>
      <c r="P119" s="35">
        <v>0</v>
      </c>
      <c r="Q119" s="35">
        <v>0</v>
      </c>
      <c r="R119" s="35">
        <v>-1.49698E-2</v>
      </c>
      <c r="S119" s="35">
        <v>-4.76502E-3</v>
      </c>
      <c r="T119" s="35">
        <v>0</v>
      </c>
      <c r="U119" s="35">
        <v>0</v>
      </c>
      <c r="V119" s="35">
        <v>4.76502E-3</v>
      </c>
    </row>
    <row r="120" spans="1:22">
      <c r="A120" s="7"/>
      <c r="B120" s="8"/>
      <c r="C120" s="8"/>
      <c r="D120" s="8"/>
      <c r="E120" s="7"/>
      <c r="F120" s="7"/>
      <c r="G120" s="7"/>
      <c r="H120" s="7"/>
      <c r="I120" s="7"/>
      <c r="J120" s="7"/>
      <c r="K120" s="7"/>
    </row>
    <row r="121" spans="1:22">
      <c r="A121" s="7"/>
      <c r="B121" s="8">
        <v>-1.4028471761352286</v>
      </c>
      <c r="C121" s="8">
        <v>0.814665459345566</v>
      </c>
      <c r="D121" s="8">
        <v>0.7195871750303805</v>
      </c>
      <c r="E121" s="7">
        <v>-1.4990516053215155E-2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3">
        <f t="shared" ref="L121:L157" si="21">B121-M121+C121-N121+D121-O121</f>
        <v>4.0545824071802627E-4</v>
      </c>
      <c r="M121" s="3">
        <v>-1.403</v>
      </c>
      <c r="N121" s="3">
        <v>0.81499999999999995</v>
      </c>
      <c r="O121" s="3">
        <v>0.71899999999999997</v>
      </c>
      <c r="P121" s="35">
        <v>-1.49698E-2</v>
      </c>
      <c r="Q121" s="35">
        <v>0</v>
      </c>
      <c r="R121" s="35">
        <v>0</v>
      </c>
      <c r="S121" s="35">
        <v>-4.76502E-3</v>
      </c>
      <c r="T121" s="35">
        <v>4.76502E-3</v>
      </c>
      <c r="U121" s="35">
        <v>0</v>
      </c>
      <c r="V121" s="35">
        <v>0</v>
      </c>
    </row>
    <row r="122" spans="1:22">
      <c r="A122" s="7" t="s">
        <v>46</v>
      </c>
      <c r="B122" s="8">
        <v>0.58367185674448252</v>
      </c>
      <c r="C122" s="8">
        <v>2.0841504898711007</v>
      </c>
      <c r="D122" s="8">
        <v>0.75171422039661484</v>
      </c>
      <c r="E122" s="7">
        <v>0</v>
      </c>
      <c r="F122" s="7">
        <v>-1.4990516053215155E-2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3">
        <f t="shared" si="17"/>
        <v>5.3656701219817471E-4</v>
      </c>
      <c r="M122" s="3">
        <v>0.58399999999999996</v>
      </c>
      <c r="N122" s="3">
        <v>2.0840000000000001</v>
      </c>
      <c r="O122" s="3">
        <v>0.751</v>
      </c>
      <c r="P122" s="35">
        <v>0</v>
      </c>
      <c r="Q122" s="35">
        <v>-1.49698E-2</v>
      </c>
      <c r="R122" s="35">
        <v>0</v>
      </c>
      <c r="S122" s="35">
        <v>-4.76502E-3</v>
      </c>
      <c r="T122" s="35">
        <v>0</v>
      </c>
      <c r="U122" s="35">
        <v>4.76502E-3</v>
      </c>
      <c r="V122" s="35">
        <v>0</v>
      </c>
    </row>
    <row r="123" spans="1:22">
      <c r="A123" s="7"/>
      <c r="B123" s="8">
        <v>-2.5457845528396139E-2</v>
      </c>
      <c r="C123" s="8">
        <v>2.3667658472617719</v>
      </c>
      <c r="D123" s="8">
        <v>6.368425350466822E-2</v>
      </c>
      <c r="E123" s="7">
        <v>0</v>
      </c>
      <c r="F123" s="7">
        <v>0</v>
      </c>
      <c r="G123" s="7">
        <v>-1.4990516053215155E-2</v>
      </c>
      <c r="H123" s="7">
        <v>0</v>
      </c>
      <c r="I123" s="7">
        <v>0</v>
      </c>
      <c r="J123" s="7">
        <v>0</v>
      </c>
      <c r="K123" s="7">
        <v>0</v>
      </c>
      <c r="L123" s="3">
        <f t="shared" si="17"/>
        <v>-7.7447619560300218E-6</v>
      </c>
      <c r="M123" s="3">
        <v>-2.5000000000000001E-2</v>
      </c>
      <c r="N123" s="3">
        <v>2.367</v>
      </c>
      <c r="O123" s="3">
        <v>6.3E-2</v>
      </c>
      <c r="P123" s="35">
        <v>0</v>
      </c>
      <c r="Q123" s="35">
        <v>0</v>
      </c>
      <c r="R123" s="35">
        <v>-1.49698E-2</v>
      </c>
      <c r="S123" s="35">
        <v>-4.76502E-3</v>
      </c>
      <c r="T123" s="35">
        <v>0</v>
      </c>
      <c r="U123" s="35">
        <v>0</v>
      </c>
      <c r="V123" s="35">
        <v>4.76502E-3</v>
      </c>
    </row>
    <row r="124" spans="1:22">
      <c r="A124" s="7"/>
      <c r="B124" s="8"/>
      <c r="C124" s="8"/>
      <c r="D124" s="8"/>
      <c r="E124" s="7"/>
      <c r="F124" s="7"/>
      <c r="G124" s="7"/>
      <c r="H124" s="7"/>
      <c r="I124" s="7"/>
      <c r="J124" s="7"/>
      <c r="K124" s="7"/>
    </row>
    <row r="125" spans="1:22">
      <c r="A125" s="7"/>
      <c r="B125" s="8">
        <v>1.4421025939282253</v>
      </c>
      <c r="C125" s="8">
        <v>1.0431877148697888</v>
      </c>
      <c r="D125" s="8">
        <v>0.78932433807079116</v>
      </c>
      <c r="E125" s="7">
        <v>-1.4990516053215155E-2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3">
        <f t="shared" ref="L125:L161" si="22">B125-M125+C125-N125+D125-O125</f>
        <v>6.1464686880530195E-4</v>
      </c>
      <c r="M125" s="3">
        <v>1.4419999999999999</v>
      </c>
      <c r="N125" s="3">
        <v>1.0429999999999999</v>
      </c>
      <c r="O125" s="3">
        <v>0.78900000000000003</v>
      </c>
      <c r="P125" s="35">
        <v>-1.49698E-2</v>
      </c>
      <c r="Q125" s="35">
        <v>0</v>
      </c>
      <c r="R125" s="35">
        <v>0</v>
      </c>
      <c r="S125" s="35">
        <v>-4.76502E-3</v>
      </c>
      <c r="T125" s="35">
        <v>4.76502E-3</v>
      </c>
      <c r="U125" s="35">
        <v>0</v>
      </c>
      <c r="V125" s="35">
        <v>0</v>
      </c>
    </row>
    <row r="126" spans="1:22">
      <c r="A126" s="7" t="s">
        <v>47</v>
      </c>
      <c r="B126" s="8">
        <v>-1.0351585166444348</v>
      </c>
      <c r="C126" s="8">
        <v>2.1037449841221099</v>
      </c>
      <c r="D126" s="8">
        <v>0.82913701269133588</v>
      </c>
      <c r="E126" s="7">
        <v>0</v>
      </c>
      <c r="F126" s="7">
        <v>-1.4990516053215155E-2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3">
        <f t="shared" si="17"/>
        <v>-2.7651983098897492E-4</v>
      </c>
      <c r="M126" s="3">
        <v>-1.0349999999999999</v>
      </c>
      <c r="N126" s="3">
        <v>2.1040000000000001</v>
      </c>
      <c r="O126" s="3">
        <v>0.82899999999999996</v>
      </c>
      <c r="P126" s="35">
        <v>0</v>
      </c>
      <c r="Q126" s="35">
        <v>-1.49698E-2</v>
      </c>
      <c r="R126" s="35">
        <v>0</v>
      </c>
      <c r="S126" s="35">
        <v>-4.76502E-3</v>
      </c>
      <c r="T126" s="35">
        <v>0</v>
      </c>
      <c r="U126" s="35">
        <v>4.76502E-3</v>
      </c>
      <c r="V126" s="35">
        <v>0</v>
      </c>
    </row>
    <row r="127" spans="1:22">
      <c r="A127" s="7"/>
      <c r="B127" s="8">
        <v>0.58367185674448252</v>
      </c>
      <c r="C127" s="8">
        <v>2.0841504898711007</v>
      </c>
      <c r="D127" s="8">
        <v>0.75171422039661484</v>
      </c>
      <c r="E127" s="7">
        <v>0</v>
      </c>
      <c r="F127" s="7">
        <v>0</v>
      </c>
      <c r="G127" s="7">
        <v>-1.4990516053215155E-2</v>
      </c>
      <c r="H127" s="7">
        <v>0</v>
      </c>
      <c r="I127" s="7">
        <v>0</v>
      </c>
      <c r="J127" s="7">
        <v>0</v>
      </c>
      <c r="K127" s="7">
        <v>0</v>
      </c>
      <c r="L127" s="3">
        <f t="shared" si="17"/>
        <v>5.3656701219817471E-4</v>
      </c>
      <c r="M127" s="3">
        <v>0.58399999999999996</v>
      </c>
      <c r="N127" s="3">
        <v>2.0840000000000001</v>
      </c>
      <c r="O127" s="3">
        <v>0.751</v>
      </c>
      <c r="P127" s="35">
        <v>0</v>
      </c>
      <c r="Q127" s="35">
        <v>0</v>
      </c>
      <c r="R127" s="35">
        <v>-1.49698E-2</v>
      </c>
      <c r="S127" s="35">
        <v>-4.76502E-3</v>
      </c>
      <c r="T127" s="35">
        <v>0</v>
      </c>
      <c r="U127" s="35">
        <v>0</v>
      </c>
      <c r="V127" s="35">
        <v>4.76502E-3</v>
      </c>
    </row>
    <row r="128" spans="1:22">
      <c r="A128" s="7"/>
      <c r="B128" s="8"/>
      <c r="C128" s="8"/>
      <c r="D128" s="8"/>
      <c r="E128" s="7"/>
      <c r="F128" s="7"/>
      <c r="G128" s="7"/>
      <c r="H128" s="7"/>
      <c r="I128" s="7"/>
      <c r="J128" s="7"/>
      <c r="K128" s="7"/>
    </row>
    <row r="129" spans="1:22">
      <c r="A129" s="7"/>
      <c r="B129" s="8">
        <v>1.4421025939282253</v>
      </c>
      <c r="C129" s="8">
        <v>1.0431877148697888</v>
      </c>
      <c r="D129" s="8">
        <v>0.78932433807079116</v>
      </c>
      <c r="E129" s="7">
        <v>-1.4990516053215155E-2</v>
      </c>
      <c r="F129" s="7">
        <v>0</v>
      </c>
      <c r="G129" s="7">
        <v>0</v>
      </c>
      <c r="H129" s="7">
        <v>-2.1796664656245589E-2</v>
      </c>
      <c r="I129" s="7">
        <v>1.6236379226863738E-2</v>
      </c>
      <c r="J129" s="7">
        <v>0</v>
      </c>
      <c r="K129" s="7">
        <v>0</v>
      </c>
      <c r="L129" s="3">
        <f t="shared" ref="L129:L165" si="23">B129-M129+C129-N129+D129-O129</f>
        <v>6.1464686880530195E-4</v>
      </c>
      <c r="M129" s="3">
        <v>1.4419999999999999</v>
      </c>
      <c r="N129" s="3">
        <v>1.0429999999999999</v>
      </c>
      <c r="O129" s="3">
        <v>0.78900000000000003</v>
      </c>
      <c r="P129" s="35">
        <v>-1.49698E-2</v>
      </c>
      <c r="Q129" s="35">
        <v>0</v>
      </c>
      <c r="R129" s="35">
        <v>0</v>
      </c>
      <c r="S129" s="35">
        <v>-4.76502E-3</v>
      </c>
      <c r="T129" s="35">
        <v>4.76502E-3</v>
      </c>
      <c r="U129" s="35">
        <v>0</v>
      </c>
      <c r="V129" s="35">
        <v>0</v>
      </c>
    </row>
    <row r="130" spans="1:22">
      <c r="A130" s="7" t="s">
        <v>48</v>
      </c>
      <c r="B130" s="8">
        <v>-1.0351585166444348</v>
      </c>
      <c r="C130" s="8">
        <v>2.1037449841221099</v>
      </c>
      <c r="D130" s="8">
        <v>0.82913701269133588</v>
      </c>
      <c r="E130" s="7">
        <v>0</v>
      </c>
      <c r="F130" s="7">
        <v>-1.4990516053215155E-2</v>
      </c>
      <c r="G130" s="7">
        <v>0</v>
      </c>
      <c r="H130" s="7">
        <v>-2.1796664656245589E-2</v>
      </c>
      <c r="I130" s="7">
        <v>0</v>
      </c>
      <c r="J130" s="7">
        <v>1.5970575730977998E-2</v>
      </c>
      <c r="K130" s="7">
        <v>0</v>
      </c>
      <c r="L130" s="3">
        <f t="shared" si="17"/>
        <v>-2.7651983098897492E-4</v>
      </c>
      <c r="M130" s="3">
        <v>-1.0349999999999999</v>
      </c>
      <c r="N130" s="3">
        <v>2.1040000000000001</v>
      </c>
      <c r="O130" s="3">
        <v>0.82899999999999996</v>
      </c>
      <c r="P130" s="35">
        <v>0</v>
      </c>
      <c r="Q130" s="35">
        <v>-1.49698E-2</v>
      </c>
      <c r="R130" s="35">
        <v>0</v>
      </c>
      <c r="S130" s="35">
        <v>-4.76502E-3</v>
      </c>
      <c r="T130" s="35">
        <v>0</v>
      </c>
      <c r="U130" s="35">
        <v>4.76502E-3</v>
      </c>
      <c r="V130" s="35">
        <v>0</v>
      </c>
    </row>
    <row r="131" spans="1:22">
      <c r="A131" s="7"/>
      <c r="B131" s="8">
        <v>-2.5457845528396139E-2</v>
      </c>
      <c r="C131" s="8">
        <v>2.3667658472617719</v>
      </c>
      <c r="D131" s="8">
        <v>6.368425350466822E-2</v>
      </c>
      <c r="E131" s="7">
        <v>0</v>
      </c>
      <c r="F131" s="7">
        <v>0</v>
      </c>
      <c r="G131" s="7">
        <v>-1.4990516053215155E-2</v>
      </c>
      <c r="H131" s="7">
        <v>-2.1796664656245589E-2</v>
      </c>
      <c r="I131" s="7">
        <v>0</v>
      </c>
      <c r="J131" s="7">
        <v>0</v>
      </c>
      <c r="K131" s="7">
        <v>2.0521745021313972E-2</v>
      </c>
      <c r="L131" s="3">
        <f t="shared" si="17"/>
        <v>-7.7447619560300218E-6</v>
      </c>
      <c r="M131" s="3">
        <v>-2.5000000000000001E-2</v>
      </c>
      <c r="N131" s="3">
        <v>2.367</v>
      </c>
      <c r="O131" s="3">
        <v>6.3E-2</v>
      </c>
      <c r="P131" s="35">
        <v>0</v>
      </c>
      <c r="Q131" s="35">
        <v>0</v>
      </c>
      <c r="R131" s="35">
        <v>-1.49698E-2</v>
      </c>
      <c r="S131" s="35">
        <v>-4.76502E-3</v>
      </c>
      <c r="T131" s="35">
        <v>0</v>
      </c>
      <c r="U131" s="35">
        <v>0</v>
      </c>
      <c r="V131" s="35">
        <v>4.76502E-3</v>
      </c>
    </row>
    <row r="132" spans="1:22">
      <c r="A132" s="7"/>
      <c r="B132" s="8"/>
      <c r="C132" s="8"/>
      <c r="D132" s="8"/>
      <c r="E132" s="7"/>
      <c r="F132" s="7"/>
      <c r="G132" s="7"/>
      <c r="H132" s="7"/>
      <c r="I132" s="7"/>
      <c r="J132" s="7"/>
      <c r="K132" s="7"/>
    </row>
    <row r="133" spans="1:22">
      <c r="A133" s="7"/>
      <c r="B133" s="8">
        <v>1.4421025939282253</v>
      </c>
      <c r="C133" s="8">
        <v>1.0431877148697888</v>
      </c>
      <c r="D133" s="8">
        <v>0.78932433807079116</v>
      </c>
      <c r="E133" s="7">
        <v>-1.4990516053215155E-2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3">
        <f t="shared" ref="L133:L195" si="24">B133-M133+C133-N133+D133-O133</f>
        <v>6.1464686880530195E-4</v>
      </c>
      <c r="M133" s="3">
        <v>1.4419999999999999</v>
      </c>
      <c r="N133" s="3">
        <v>1.0429999999999999</v>
      </c>
      <c r="O133" s="3">
        <v>0.78900000000000003</v>
      </c>
      <c r="P133" s="35">
        <v>-1.49698E-2</v>
      </c>
      <c r="Q133" s="35">
        <v>0</v>
      </c>
      <c r="R133" s="35">
        <v>0</v>
      </c>
      <c r="S133" s="35">
        <v>-4.76502E-3</v>
      </c>
      <c r="T133" s="35">
        <v>4.76502E-3</v>
      </c>
      <c r="U133" s="35">
        <v>0</v>
      </c>
      <c r="V133" s="35">
        <v>0</v>
      </c>
    </row>
    <row r="134" spans="1:22">
      <c r="A134" s="7" t="s">
        <v>49</v>
      </c>
      <c r="B134" s="8">
        <v>0.58367185674448252</v>
      </c>
      <c r="C134" s="8">
        <v>2.0841504898711007</v>
      </c>
      <c r="D134" s="8">
        <v>0.75171422039661484</v>
      </c>
      <c r="E134" s="7">
        <v>0</v>
      </c>
      <c r="F134" s="7">
        <v>-1.4990516053215155E-2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3">
        <f t="shared" si="24"/>
        <v>5.3656701219817471E-4</v>
      </c>
      <c r="M134" s="3">
        <v>0.58399999999999996</v>
      </c>
      <c r="N134" s="3">
        <v>2.0840000000000001</v>
      </c>
      <c r="O134" s="3">
        <v>0.751</v>
      </c>
      <c r="P134" s="35">
        <v>0</v>
      </c>
      <c r="Q134" s="35">
        <v>-1.49698E-2</v>
      </c>
      <c r="R134" s="35">
        <v>0</v>
      </c>
      <c r="S134" s="35">
        <v>-4.76502E-3</v>
      </c>
      <c r="T134" s="35">
        <v>0</v>
      </c>
      <c r="U134" s="35">
        <v>4.76502E-3</v>
      </c>
      <c r="V134" s="35">
        <v>0</v>
      </c>
    </row>
    <row r="135" spans="1:22">
      <c r="A135" s="7"/>
      <c r="B135" s="8">
        <v>-2.5457845528396139E-2</v>
      </c>
      <c r="C135" s="8">
        <v>2.3667658472617719</v>
      </c>
      <c r="D135" s="8">
        <v>6.368425350466822E-2</v>
      </c>
      <c r="E135" s="7">
        <v>0</v>
      </c>
      <c r="F135" s="7">
        <v>0</v>
      </c>
      <c r="G135" s="7">
        <v>-1.4990516053215155E-2</v>
      </c>
      <c r="H135" s="7">
        <v>0</v>
      </c>
      <c r="I135" s="7">
        <v>0</v>
      </c>
      <c r="J135" s="7">
        <v>0</v>
      </c>
      <c r="K135" s="7">
        <v>0</v>
      </c>
      <c r="L135" s="3">
        <f t="shared" si="24"/>
        <v>-7.7447619560300218E-6</v>
      </c>
      <c r="M135" s="3">
        <v>-2.5000000000000001E-2</v>
      </c>
      <c r="N135" s="3">
        <v>2.367</v>
      </c>
      <c r="O135" s="3">
        <v>6.3E-2</v>
      </c>
      <c r="P135" s="35">
        <v>0</v>
      </c>
      <c r="Q135" s="35">
        <v>0</v>
      </c>
      <c r="R135" s="35">
        <v>-1.49698E-2</v>
      </c>
      <c r="S135" s="35">
        <v>-4.76502E-3</v>
      </c>
      <c r="T135" s="35">
        <v>0</v>
      </c>
      <c r="U135" s="35">
        <v>0</v>
      </c>
      <c r="V135" s="35">
        <v>4.76502E-3</v>
      </c>
    </row>
    <row r="136" spans="1:22">
      <c r="A136" s="7"/>
      <c r="B136" s="8"/>
      <c r="C136" s="8"/>
      <c r="D136" s="8"/>
      <c r="E136" s="7"/>
      <c r="F136" s="7"/>
      <c r="G136" s="7"/>
      <c r="H136" s="7"/>
      <c r="I136" s="7"/>
      <c r="J136" s="7"/>
      <c r="K136" s="7"/>
    </row>
    <row r="137" spans="1:22">
      <c r="A137" s="7"/>
      <c r="B137" s="8">
        <v>-1.0351585166444348</v>
      </c>
      <c r="C137" s="8">
        <v>2.1037449841221099</v>
      </c>
      <c r="D137" s="8">
        <v>0.82913701269133588</v>
      </c>
      <c r="E137" s="7">
        <v>-1.4990516053215155E-2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3">
        <f t="shared" ref="L137:L173" si="25">B137-M137+C137-N137+D137-O137</f>
        <v>-2.7651983098897492E-4</v>
      </c>
      <c r="M137" s="3">
        <v>-1.0349999999999999</v>
      </c>
      <c r="N137" s="3">
        <v>2.1040000000000001</v>
      </c>
      <c r="O137" s="3">
        <v>0.82899999999999996</v>
      </c>
      <c r="P137" s="35">
        <v>-1.49698E-2</v>
      </c>
      <c r="Q137" s="35">
        <v>0</v>
      </c>
      <c r="R137" s="35">
        <v>0</v>
      </c>
      <c r="S137" s="35">
        <v>-4.76502E-3</v>
      </c>
      <c r="T137" s="35">
        <v>4.76502E-3</v>
      </c>
      <c r="U137" s="35">
        <v>0</v>
      </c>
      <c r="V137" s="35">
        <v>0</v>
      </c>
    </row>
    <row r="138" spans="1:22">
      <c r="A138" s="7" t="s">
        <v>50</v>
      </c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-1.4990516053215155E-2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3">
        <f t="shared" si="24"/>
        <v>5.3656701219817471E-4</v>
      </c>
      <c r="M138" s="3">
        <v>0.58399999999999996</v>
      </c>
      <c r="N138" s="3">
        <v>2.0840000000000001</v>
      </c>
      <c r="O138" s="3">
        <v>0.751</v>
      </c>
      <c r="P138" s="35">
        <v>0</v>
      </c>
      <c r="Q138" s="35">
        <v>-1.49698E-2</v>
      </c>
      <c r="R138" s="35">
        <v>0</v>
      </c>
      <c r="S138" s="35">
        <v>-4.76502E-3</v>
      </c>
      <c r="T138" s="35">
        <v>0</v>
      </c>
      <c r="U138" s="35">
        <v>4.76502E-3</v>
      </c>
      <c r="V138" s="35">
        <v>0</v>
      </c>
    </row>
    <row r="139" spans="1:22">
      <c r="A139" s="7"/>
      <c r="B139" s="8">
        <v>-2.5457845528396139E-2</v>
      </c>
      <c r="C139" s="8">
        <v>2.3667658472617719</v>
      </c>
      <c r="D139" s="8">
        <v>6.368425350466822E-2</v>
      </c>
      <c r="E139" s="7">
        <v>0</v>
      </c>
      <c r="F139" s="7">
        <v>0</v>
      </c>
      <c r="G139" s="7">
        <v>-1.4990516053215155E-2</v>
      </c>
      <c r="H139" s="7">
        <v>0</v>
      </c>
      <c r="I139" s="7">
        <v>0</v>
      </c>
      <c r="J139" s="7">
        <v>0</v>
      </c>
      <c r="K139" s="7">
        <v>0</v>
      </c>
      <c r="L139" s="3">
        <f t="shared" si="24"/>
        <v>-7.7447619560300218E-6</v>
      </c>
      <c r="M139" s="3">
        <v>-2.5000000000000001E-2</v>
      </c>
      <c r="N139" s="3">
        <v>2.367</v>
      </c>
      <c r="O139" s="3">
        <v>6.3E-2</v>
      </c>
      <c r="P139" s="35">
        <v>0</v>
      </c>
      <c r="Q139" s="35">
        <v>0</v>
      </c>
      <c r="R139" s="35">
        <v>-1.49698E-2</v>
      </c>
      <c r="S139" s="35">
        <v>-4.76502E-3</v>
      </c>
      <c r="T139" s="35">
        <v>0</v>
      </c>
      <c r="U139" s="35">
        <v>0</v>
      </c>
      <c r="V139" s="35">
        <v>4.76502E-3</v>
      </c>
    </row>
    <row r="140" spans="1:2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22">
      <c r="A141" s="7"/>
      <c r="B141" s="8">
        <v>1.253875629566908</v>
      </c>
      <c r="C141" s="8">
        <v>3.2592166127769939E-2</v>
      </c>
      <c r="D141" s="8">
        <v>-0.73934661383723232</v>
      </c>
      <c r="E141" s="7">
        <v>-1.4990516053215155E-2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3">
        <f t="shared" ref="L141:L177" si="26">B141-M141+C141-N141+D141-O141</f>
        <v>-8.7881814255441615E-4</v>
      </c>
      <c r="M141" s="3">
        <v>1.254</v>
      </c>
      <c r="N141" s="3">
        <v>3.3000000000000002E-2</v>
      </c>
      <c r="O141" s="3">
        <v>-0.73899999999999999</v>
      </c>
      <c r="P141" s="35">
        <v>-1.49698E-2</v>
      </c>
      <c r="Q141" s="35">
        <v>0</v>
      </c>
      <c r="R141" s="35">
        <v>0</v>
      </c>
      <c r="S141" s="35">
        <v>-4.76502E-3</v>
      </c>
      <c r="T141" s="35">
        <v>4.76502E-3</v>
      </c>
      <c r="U141" s="35">
        <v>0</v>
      </c>
      <c r="V141" s="35">
        <v>0</v>
      </c>
    </row>
    <row r="142" spans="1:22">
      <c r="A142" s="7" t="s">
        <v>51</v>
      </c>
      <c r="B142" s="8">
        <v>2.2957880185781296</v>
      </c>
      <c r="C142" s="8">
        <v>-8.2263663034425338E-3</v>
      </c>
      <c r="D142" s="8">
        <v>3.3137218009327896E-2</v>
      </c>
      <c r="E142" s="7">
        <v>0</v>
      </c>
      <c r="F142" s="7">
        <v>-1.4990516053215155E-2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3">
        <f t="shared" si="24"/>
        <v>-3.0112971598481725E-4</v>
      </c>
      <c r="M142" s="3">
        <v>2.2959999999999998</v>
      </c>
      <c r="N142" s="3">
        <v>-8.0000000000000002E-3</v>
      </c>
      <c r="O142" s="3">
        <v>3.3000000000000002E-2</v>
      </c>
      <c r="P142" s="35">
        <v>0</v>
      </c>
      <c r="Q142" s="35">
        <v>-1.49698E-2</v>
      </c>
      <c r="R142" s="35">
        <v>0</v>
      </c>
      <c r="S142" s="35">
        <v>-4.76502E-3</v>
      </c>
      <c r="T142" s="35">
        <v>0</v>
      </c>
      <c r="U142" s="35">
        <v>4.76502E-3</v>
      </c>
      <c r="V142" s="35">
        <v>0</v>
      </c>
    </row>
    <row r="143" spans="1:22">
      <c r="A143" s="7"/>
      <c r="B143" s="8">
        <v>-0.14897154656832046</v>
      </c>
      <c r="C143" s="8">
        <v>0.84725762547333594</v>
      </c>
      <c r="D143" s="8">
        <v>-1.9759438806851826E-2</v>
      </c>
      <c r="E143" s="7">
        <v>0</v>
      </c>
      <c r="F143" s="7">
        <v>0</v>
      </c>
      <c r="G143" s="7">
        <v>-1.4990516053215155E-2</v>
      </c>
      <c r="H143" s="7">
        <v>0</v>
      </c>
      <c r="I143" s="7">
        <v>0</v>
      </c>
      <c r="J143" s="7">
        <v>0</v>
      </c>
      <c r="K143" s="7">
        <v>0</v>
      </c>
      <c r="L143" s="3">
        <f t="shared" si="24"/>
        <v>-4.733599018362962E-4</v>
      </c>
      <c r="M143" s="3">
        <v>-0.14899999999999999</v>
      </c>
      <c r="N143" s="3">
        <v>0.84799999999999998</v>
      </c>
      <c r="O143" s="3">
        <v>-0.02</v>
      </c>
      <c r="P143" s="35">
        <v>0</v>
      </c>
      <c r="Q143" s="35">
        <v>0</v>
      </c>
      <c r="R143" s="35">
        <v>-1.49698E-2</v>
      </c>
      <c r="S143" s="35">
        <v>-4.76502E-3</v>
      </c>
      <c r="T143" s="35">
        <v>0</v>
      </c>
      <c r="U143" s="35">
        <v>0</v>
      </c>
      <c r="V143" s="35">
        <v>4.76502E-3</v>
      </c>
    </row>
    <row r="144" spans="1:22">
      <c r="A144" s="7"/>
      <c r="B144" s="8"/>
      <c r="C144" s="8"/>
      <c r="D144" s="8"/>
      <c r="E144" s="7"/>
      <c r="F144" s="7"/>
      <c r="G144" s="7"/>
      <c r="H144" s="7"/>
      <c r="I144" s="7"/>
      <c r="J144" s="7"/>
      <c r="K144" s="7"/>
    </row>
    <row r="145" spans="1:22">
      <c r="A145" s="7"/>
      <c r="B145" s="8">
        <v>1.253875629566908</v>
      </c>
      <c r="C145" s="8">
        <v>3.2592166127769939E-2</v>
      </c>
      <c r="D145" s="8">
        <v>-0.73934661383723232</v>
      </c>
      <c r="E145" s="7">
        <v>-1.4990516053215155E-2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3">
        <f t="shared" ref="L145" si="27">B145-M145+C145-N145+D145-O145</f>
        <v>-8.7881814255441615E-4</v>
      </c>
      <c r="M145" s="3">
        <v>1.254</v>
      </c>
      <c r="N145" s="3">
        <v>3.3000000000000002E-2</v>
      </c>
      <c r="O145" s="3">
        <v>-0.73899999999999999</v>
      </c>
      <c r="P145" s="35">
        <v>-1.49698E-2</v>
      </c>
      <c r="Q145" s="35">
        <v>0</v>
      </c>
      <c r="R145" s="35">
        <v>0</v>
      </c>
      <c r="S145" s="35">
        <v>-4.76502E-3</v>
      </c>
      <c r="T145" s="35">
        <v>4.76502E-3</v>
      </c>
      <c r="U145" s="35">
        <v>0</v>
      </c>
      <c r="V145" s="35">
        <v>0</v>
      </c>
    </row>
    <row r="146" spans="1:22">
      <c r="A146" s="7" t="s">
        <v>52</v>
      </c>
      <c r="B146" s="8">
        <v>2.2957880185781296</v>
      </c>
      <c r="C146" s="8">
        <v>-8.2263663034425338E-3</v>
      </c>
      <c r="D146" s="8">
        <v>3.3137218009327896E-2</v>
      </c>
      <c r="E146" s="7">
        <v>0</v>
      </c>
      <c r="F146" s="7">
        <v>-1.4990516053215155E-2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3">
        <f t="shared" si="19"/>
        <v>-3.0112971598481725E-4</v>
      </c>
      <c r="M146" s="3">
        <v>2.2959999999999998</v>
      </c>
      <c r="N146" s="3">
        <v>-8.0000000000000002E-3</v>
      </c>
      <c r="O146" s="3">
        <v>3.3000000000000002E-2</v>
      </c>
      <c r="P146" s="35">
        <v>0</v>
      </c>
      <c r="Q146" s="35">
        <v>-1.49698E-2</v>
      </c>
      <c r="R146" s="35">
        <v>0</v>
      </c>
      <c r="S146" s="35">
        <v>-4.76502E-3</v>
      </c>
      <c r="T146" s="35">
        <v>0</v>
      </c>
      <c r="U146" s="35">
        <v>4.76502E-3</v>
      </c>
      <c r="V146" s="35">
        <v>0</v>
      </c>
    </row>
    <row r="147" spans="1:22">
      <c r="A147" s="7"/>
      <c r="B147" s="8">
        <v>2.6959782234951333</v>
      </c>
      <c r="C147" s="8">
        <v>1.0757798809975587</v>
      </c>
      <c r="D147" s="8">
        <v>4.997772423355884E-2</v>
      </c>
      <c r="E147" s="7">
        <v>0</v>
      </c>
      <c r="F147" s="7">
        <v>0</v>
      </c>
      <c r="G147" s="7">
        <v>-1.4990516053215155E-2</v>
      </c>
      <c r="H147" s="7">
        <v>0</v>
      </c>
      <c r="I147" s="7">
        <v>0</v>
      </c>
      <c r="J147" s="7">
        <v>0</v>
      </c>
      <c r="K147" s="7">
        <v>0</v>
      </c>
      <c r="L147" s="3">
        <f t="shared" si="19"/>
        <v>-2.6417127374940563E-4</v>
      </c>
      <c r="M147" s="3">
        <v>2.6960000000000002</v>
      </c>
      <c r="N147" s="3">
        <v>1.0760000000000001</v>
      </c>
      <c r="O147" s="3">
        <v>0.05</v>
      </c>
      <c r="P147" s="35">
        <v>0</v>
      </c>
      <c r="Q147" s="35">
        <v>0</v>
      </c>
      <c r="R147" s="35">
        <v>-1.49698E-2</v>
      </c>
      <c r="S147" s="35">
        <v>-4.76502E-3</v>
      </c>
      <c r="T147" s="35">
        <v>0</v>
      </c>
      <c r="U147" s="35">
        <v>0</v>
      </c>
      <c r="V147" s="35">
        <v>4.76502E-3</v>
      </c>
    </row>
    <row r="148" spans="1:22">
      <c r="A148" s="7"/>
      <c r="B148" s="8"/>
      <c r="C148" s="8"/>
      <c r="D148" s="8"/>
      <c r="E148" s="7"/>
      <c r="F148" s="7"/>
      <c r="G148" s="7"/>
      <c r="H148" s="7"/>
      <c r="I148" s="7"/>
      <c r="J148" s="7"/>
      <c r="K148" s="7"/>
    </row>
    <row r="149" spans="1:22">
      <c r="A149" s="7"/>
      <c r="B149" s="8">
        <v>1.253875629566908</v>
      </c>
      <c r="C149" s="8">
        <v>3.2592166127769939E-2</v>
      </c>
      <c r="D149" s="8">
        <v>-0.73934661383723232</v>
      </c>
      <c r="E149" s="7">
        <v>-1.4990516053215155E-2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3">
        <f t="shared" si="24"/>
        <v>-8.7881814255441615E-4</v>
      </c>
      <c r="M149" s="3">
        <v>1.254</v>
      </c>
      <c r="N149" s="3">
        <v>3.3000000000000002E-2</v>
      </c>
      <c r="O149" s="3">
        <v>-0.73899999999999999</v>
      </c>
      <c r="P149" s="35">
        <v>-1.49698E-2</v>
      </c>
      <c r="Q149" s="35">
        <v>0</v>
      </c>
      <c r="R149" s="35">
        <v>0</v>
      </c>
      <c r="S149" s="35">
        <v>-4.76502E-3</v>
      </c>
      <c r="T149" s="35">
        <v>4.76502E-3</v>
      </c>
      <c r="U149" s="35">
        <v>0</v>
      </c>
      <c r="V149" s="35">
        <v>0</v>
      </c>
    </row>
    <row r="150" spans="1:22">
      <c r="A150" s="7" t="s">
        <v>53</v>
      </c>
      <c r="B150" s="8">
        <v>2.2957880185781296</v>
      </c>
      <c r="C150" s="8">
        <v>-8.2263663034425338E-3</v>
      </c>
      <c r="D150" s="8">
        <v>3.3137218009327896E-2</v>
      </c>
      <c r="E150" s="7">
        <v>0</v>
      </c>
      <c r="F150" s="7">
        <v>-1.4990516053215155E-2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3">
        <f t="shared" si="24"/>
        <v>-3.0112971598481725E-4</v>
      </c>
      <c r="M150" s="3">
        <v>2.2959999999999998</v>
      </c>
      <c r="N150" s="3">
        <v>-8.0000000000000002E-3</v>
      </c>
      <c r="O150" s="3">
        <v>3.3000000000000002E-2</v>
      </c>
      <c r="P150" s="35">
        <v>0</v>
      </c>
      <c r="Q150" s="35">
        <v>-1.49698E-2</v>
      </c>
      <c r="R150" s="35">
        <v>0</v>
      </c>
      <c r="S150" s="35">
        <v>-4.76502E-3</v>
      </c>
      <c r="T150" s="35">
        <v>0</v>
      </c>
      <c r="U150" s="35">
        <v>4.76502E-3</v>
      </c>
      <c r="V150" s="35">
        <v>0</v>
      </c>
    </row>
    <row r="151" spans="1:22">
      <c r="A151" s="7"/>
      <c r="B151" s="8">
        <v>0.21871711292247331</v>
      </c>
      <c r="C151" s="8">
        <v>2.1363371502498802</v>
      </c>
      <c r="D151" s="8">
        <v>8.9790398854103559E-2</v>
      </c>
      <c r="E151" s="7">
        <v>0</v>
      </c>
      <c r="F151" s="7">
        <v>0</v>
      </c>
      <c r="G151" s="7">
        <v>-1.4990516053215155E-2</v>
      </c>
      <c r="H151" s="7">
        <v>0</v>
      </c>
      <c r="I151" s="7">
        <v>0</v>
      </c>
      <c r="J151" s="7">
        <v>0</v>
      </c>
      <c r="K151" s="7">
        <v>0</v>
      </c>
      <c r="L151" s="3">
        <f t="shared" si="24"/>
        <v>-1.1553379735430858E-3</v>
      </c>
      <c r="M151" s="3">
        <v>0.219</v>
      </c>
      <c r="N151" s="3">
        <v>2.137</v>
      </c>
      <c r="O151" s="3">
        <v>0.09</v>
      </c>
      <c r="P151" s="35">
        <v>0</v>
      </c>
      <c r="Q151" s="35">
        <v>0</v>
      </c>
      <c r="R151" s="35">
        <v>-1.49698E-2</v>
      </c>
      <c r="S151" s="35">
        <v>-4.76502E-3</v>
      </c>
      <c r="T151" s="35">
        <v>0</v>
      </c>
      <c r="U151" s="35">
        <v>0</v>
      </c>
      <c r="V151" s="35">
        <v>4.76502E-3</v>
      </c>
    </row>
    <row r="152" spans="1:22">
      <c r="A152" s="7"/>
      <c r="B152" s="8"/>
      <c r="C152" s="8"/>
      <c r="D152" s="8"/>
      <c r="E152" s="7"/>
      <c r="F152" s="7"/>
      <c r="G152" s="7"/>
      <c r="H152" s="7"/>
      <c r="I152" s="7"/>
      <c r="J152" s="7"/>
      <c r="K152" s="7"/>
    </row>
    <row r="153" spans="1:22">
      <c r="A153" s="7"/>
      <c r="B153" s="8">
        <v>1.253875629566908</v>
      </c>
      <c r="C153" s="8">
        <v>3.2592166127769939E-2</v>
      </c>
      <c r="D153" s="8">
        <v>-0.73934661383723232</v>
      </c>
      <c r="E153" s="7">
        <v>-1.4990516053215155E-2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3">
        <f t="shared" si="20"/>
        <v>-8.7881814255441615E-4</v>
      </c>
      <c r="M153" s="3">
        <v>1.254</v>
      </c>
      <c r="N153" s="3">
        <v>3.3000000000000002E-2</v>
      </c>
      <c r="O153" s="3">
        <v>-0.73899999999999999</v>
      </c>
      <c r="P153" s="35">
        <v>-1.49698E-2</v>
      </c>
      <c r="Q153" s="35">
        <v>0</v>
      </c>
      <c r="R153" s="35">
        <v>0</v>
      </c>
      <c r="S153" s="35">
        <v>-4.76502E-3</v>
      </c>
      <c r="T153" s="35">
        <v>4.76502E-3</v>
      </c>
      <c r="U153" s="35">
        <v>0</v>
      </c>
      <c r="V153" s="35">
        <v>0</v>
      </c>
    </row>
    <row r="154" spans="1:22">
      <c r="A154" s="7" t="s">
        <v>54</v>
      </c>
      <c r="B154" s="8">
        <v>2.2957880185781296</v>
      </c>
      <c r="C154" s="8">
        <v>-8.2263663034425338E-3</v>
      </c>
      <c r="D154" s="8">
        <v>3.3137218009327896E-2</v>
      </c>
      <c r="E154" s="7">
        <v>0</v>
      </c>
      <c r="F154" s="7">
        <v>-1.4990516053215155E-2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3">
        <f t="shared" si="24"/>
        <v>-3.0112971598481725E-4</v>
      </c>
      <c r="M154" s="3">
        <v>2.2959999999999998</v>
      </c>
      <c r="N154" s="3">
        <v>-8.0000000000000002E-3</v>
      </c>
      <c r="O154" s="3">
        <v>3.3000000000000002E-2</v>
      </c>
      <c r="P154" s="35">
        <v>0</v>
      </c>
      <c r="Q154" s="35">
        <v>-1.49698E-2</v>
      </c>
      <c r="R154" s="35">
        <v>0</v>
      </c>
      <c r="S154" s="35">
        <v>-4.76502E-3</v>
      </c>
      <c r="T154" s="35">
        <v>0</v>
      </c>
      <c r="U154" s="35">
        <v>4.76502E-3</v>
      </c>
      <c r="V154" s="35">
        <v>0</v>
      </c>
    </row>
    <row r="155" spans="1:22">
      <c r="A155" s="7"/>
      <c r="B155" s="8">
        <v>1.8375474863113905</v>
      </c>
      <c r="C155" s="8">
        <v>2.1167426559988707</v>
      </c>
      <c r="D155" s="8">
        <v>1.2367606559382516E-2</v>
      </c>
      <c r="E155" s="7">
        <v>0</v>
      </c>
      <c r="F155" s="7">
        <v>0</v>
      </c>
      <c r="G155" s="7">
        <v>-1.4990516053215155E-2</v>
      </c>
      <c r="H155" s="7">
        <v>0</v>
      </c>
      <c r="I155" s="7">
        <v>0</v>
      </c>
      <c r="J155" s="7">
        <v>0</v>
      </c>
      <c r="K155" s="7">
        <v>0</v>
      </c>
      <c r="L155" s="3">
        <f t="shared" si="24"/>
        <v>-3.4225113035634205E-4</v>
      </c>
      <c r="M155" s="3">
        <v>1.8380000000000001</v>
      </c>
      <c r="N155" s="3">
        <v>2.117</v>
      </c>
      <c r="O155" s="3">
        <v>1.2E-2</v>
      </c>
      <c r="P155" s="35">
        <v>0</v>
      </c>
      <c r="Q155" s="35">
        <v>0</v>
      </c>
      <c r="R155" s="35">
        <v>-1.49698E-2</v>
      </c>
      <c r="S155" s="35">
        <v>-4.76502E-3</v>
      </c>
      <c r="T155" s="35">
        <v>0</v>
      </c>
      <c r="U155" s="35">
        <v>0</v>
      </c>
      <c r="V155" s="35">
        <v>4.76502E-3</v>
      </c>
    </row>
    <row r="156" spans="1:22">
      <c r="A156" s="7"/>
      <c r="B156" s="8"/>
      <c r="C156" s="8"/>
      <c r="D156" s="8"/>
      <c r="E156" s="7"/>
      <c r="F156" s="7"/>
      <c r="G156" s="7"/>
      <c r="H156" s="7"/>
      <c r="I156" s="7"/>
      <c r="J156" s="7"/>
      <c r="K156" s="7"/>
    </row>
    <row r="157" spans="1:22">
      <c r="A157" s="7"/>
      <c r="B157" s="8">
        <v>1.253875629566908</v>
      </c>
      <c r="C157" s="8">
        <v>3.2592166127769939E-2</v>
      </c>
      <c r="D157" s="8">
        <v>-0.73934661383723232</v>
      </c>
      <c r="E157" s="7">
        <v>-1.4990516053215155E-2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3">
        <f t="shared" si="21"/>
        <v>-8.7881814255441615E-4</v>
      </c>
      <c r="M157" s="3">
        <v>1.254</v>
      </c>
      <c r="N157" s="3">
        <v>3.3000000000000002E-2</v>
      </c>
      <c r="O157" s="3">
        <v>-0.73899999999999999</v>
      </c>
      <c r="P157" s="35">
        <v>-1.49698E-2</v>
      </c>
      <c r="Q157" s="35">
        <v>0</v>
      </c>
      <c r="R157" s="35">
        <v>0</v>
      </c>
      <c r="S157" s="35">
        <v>-4.76502E-3</v>
      </c>
      <c r="T157" s="35">
        <v>4.76502E-3</v>
      </c>
      <c r="U157" s="35">
        <v>0</v>
      </c>
      <c r="V157" s="35">
        <v>0</v>
      </c>
    </row>
    <row r="158" spans="1:22">
      <c r="A158" s="7" t="s">
        <v>55</v>
      </c>
      <c r="B158" s="8">
        <v>2.2957880185781296</v>
      </c>
      <c r="C158" s="8">
        <v>-8.2263663034425338E-3</v>
      </c>
      <c r="D158" s="8">
        <v>3.3137218009327896E-2</v>
      </c>
      <c r="E158" s="7">
        <v>0</v>
      </c>
      <c r="F158" s="7">
        <v>-1.4990516053215155E-2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3">
        <f t="shared" si="24"/>
        <v>-3.0112971598481725E-4</v>
      </c>
      <c r="M158" s="3">
        <v>2.2959999999999998</v>
      </c>
      <c r="N158" s="3">
        <v>-8.0000000000000002E-3</v>
      </c>
      <c r="O158" s="3">
        <v>3.3000000000000002E-2</v>
      </c>
      <c r="P158" s="35">
        <v>0</v>
      </c>
      <c r="Q158" s="35">
        <v>-1.49698E-2</v>
      </c>
      <c r="R158" s="35">
        <v>0</v>
      </c>
      <c r="S158" s="35">
        <v>-4.76502E-3</v>
      </c>
      <c r="T158" s="35">
        <v>0</v>
      </c>
      <c r="U158" s="35">
        <v>4.76502E-3</v>
      </c>
      <c r="V158" s="35">
        <v>0</v>
      </c>
    </row>
    <row r="159" spans="1:22">
      <c r="A159" s="7"/>
      <c r="B159" s="8">
        <v>1.2284177840385118</v>
      </c>
      <c r="C159" s="8">
        <v>2.3993580133895418</v>
      </c>
      <c r="D159" s="8">
        <v>-0.6756623603325641</v>
      </c>
      <c r="E159" s="7">
        <v>0</v>
      </c>
      <c r="F159" s="7">
        <v>0</v>
      </c>
      <c r="G159" s="7">
        <v>-1.4990516053215155E-2</v>
      </c>
      <c r="H159" s="7">
        <v>0</v>
      </c>
      <c r="I159" s="7">
        <v>0</v>
      </c>
      <c r="J159" s="7">
        <v>0</v>
      </c>
      <c r="K159" s="7">
        <v>0</v>
      </c>
      <c r="L159" s="3">
        <f t="shared" si="24"/>
        <v>-8.8656290451050168E-4</v>
      </c>
      <c r="M159" s="3">
        <v>1.2290000000000001</v>
      </c>
      <c r="N159" s="3">
        <v>2.4</v>
      </c>
      <c r="O159" s="3">
        <v>-0.67600000000000005</v>
      </c>
      <c r="P159" s="35">
        <v>0</v>
      </c>
      <c r="Q159" s="35">
        <v>0</v>
      </c>
      <c r="R159" s="35">
        <v>-1.49698E-2</v>
      </c>
      <c r="S159" s="35">
        <v>-4.76502E-3</v>
      </c>
      <c r="T159" s="35">
        <v>0</v>
      </c>
      <c r="U159" s="35">
        <v>0</v>
      </c>
      <c r="V159" s="35">
        <v>4.76502E-3</v>
      </c>
    </row>
    <row r="160" spans="1:22">
      <c r="A160" s="7"/>
      <c r="B160" s="8"/>
      <c r="C160" s="8"/>
      <c r="D160" s="8"/>
      <c r="E160" s="7"/>
      <c r="F160" s="7"/>
      <c r="G160" s="7"/>
      <c r="H160" s="7"/>
      <c r="I160" s="7"/>
      <c r="J160" s="7"/>
      <c r="K160" s="7"/>
    </row>
    <row r="161" spans="1:22">
      <c r="A161" s="7"/>
      <c r="B161" s="8">
        <v>1.253875629566908</v>
      </c>
      <c r="C161" s="8">
        <v>3.2592166127769939E-2</v>
      </c>
      <c r="D161" s="8">
        <v>-0.73934661383723232</v>
      </c>
      <c r="E161" s="7">
        <v>-1.4990516053215155E-2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3">
        <f t="shared" si="22"/>
        <v>-8.7881814255441615E-4</v>
      </c>
      <c r="M161" s="3">
        <v>1.254</v>
      </c>
      <c r="N161" s="3">
        <v>3.3000000000000002E-2</v>
      </c>
      <c r="O161" s="3">
        <v>-0.73899999999999999</v>
      </c>
      <c r="P161" s="35">
        <v>-1.49698E-2</v>
      </c>
      <c r="Q161" s="35">
        <v>0</v>
      </c>
      <c r="R161" s="35">
        <v>0</v>
      </c>
      <c r="S161" s="35">
        <v>-4.76502E-3</v>
      </c>
      <c r="T161" s="35">
        <v>4.76502E-3</v>
      </c>
      <c r="U161" s="35">
        <v>0</v>
      </c>
      <c r="V161" s="35">
        <v>0</v>
      </c>
    </row>
    <row r="162" spans="1:22">
      <c r="A162" s="7" t="s">
        <v>56</v>
      </c>
      <c r="B162" s="8">
        <v>-0.14897154656832046</v>
      </c>
      <c r="C162" s="8">
        <v>0.84725762547333594</v>
      </c>
      <c r="D162" s="8">
        <v>-1.9759438806851826E-2</v>
      </c>
      <c r="E162" s="7">
        <v>0</v>
      </c>
      <c r="F162" s="7">
        <v>-1.4990516053215155E-2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3">
        <f t="shared" si="24"/>
        <v>-4.733599018362962E-4</v>
      </c>
      <c r="M162" s="3">
        <v>-0.14899999999999999</v>
      </c>
      <c r="N162" s="3">
        <v>0.84799999999999998</v>
      </c>
      <c r="O162" s="3">
        <v>-0.02</v>
      </c>
      <c r="P162" s="35">
        <v>0</v>
      </c>
      <c r="Q162" s="35">
        <v>-1.49698E-2</v>
      </c>
      <c r="R162" s="35">
        <v>0</v>
      </c>
      <c r="S162" s="35">
        <v>-4.76502E-3</v>
      </c>
      <c r="T162" s="35">
        <v>0</v>
      </c>
      <c r="U162" s="35">
        <v>4.76502E-3</v>
      </c>
      <c r="V162" s="35">
        <v>0</v>
      </c>
    </row>
    <row r="163" spans="1:22">
      <c r="A163" s="7"/>
      <c r="B163" s="8">
        <v>2.6959782234951333</v>
      </c>
      <c r="C163" s="8">
        <v>1.0757798809975587</v>
      </c>
      <c r="D163" s="8">
        <v>4.997772423355884E-2</v>
      </c>
      <c r="E163" s="7">
        <v>0</v>
      </c>
      <c r="F163" s="7">
        <v>0</v>
      </c>
      <c r="G163" s="7">
        <v>-1.4990516053215155E-2</v>
      </c>
      <c r="H163" s="7">
        <v>0</v>
      </c>
      <c r="I163" s="7">
        <v>0</v>
      </c>
      <c r="J163" s="7">
        <v>0</v>
      </c>
      <c r="K163" s="7">
        <v>0</v>
      </c>
      <c r="L163" s="3">
        <f t="shared" si="24"/>
        <v>-2.6417127374940563E-4</v>
      </c>
      <c r="M163" s="3">
        <v>2.6960000000000002</v>
      </c>
      <c r="N163" s="3">
        <v>1.0760000000000001</v>
      </c>
      <c r="O163" s="3">
        <v>0.05</v>
      </c>
      <c r="P163" s="35">
        <v>0</v>
      </c>
      <c r="Q163" s="35">
        <v>0</v>
      </c>
      <c r="R163" s="35">
        <v>-1.49698E-2</v>
      </c>
      <c r="S163" s="35">
        <v>-4.76502E-3</v>
      </c>
      <c r="T163" s="35">
        <v>0</v>
      </c>
      <c r="U163" s="35">
        <v>0</v>
      </c>
      <c r="V163" s="35">
        <v>4.76502E-3</v>
      </c>
    </row>
    <row r="164" spans="1:22">
      <c r="A164" s="7"/>
      <c r="B164" s="8"/>
      <c r="C164" s="8"/>
      <c r="D164" s="8"/>
      <c r="E164" s="7"/>
      <c r="F164" s="7"/>
      <c r="G164" s="7"/>
      <c r="H164" s="7"/>
      <c r="I164" s="7"/>
      <c r="J164" s="7"/>
      <c r="K164" s="7"/>
    </row>
    <row r="165" spans="1:22">
      <c r="A165" s="7"/>
      <c r="B165" s="8">
        <v>1.253875629566908</v>
      </c>
      <c r="C165" s="8">
        <v>3.2592166127769939E-2</v>
      </c>
      <c r="D165" s="8">
        <v>-0.73934661383723232</v>
      </c>
      <c r="E165" s="7">
        <v>-1.4990516053215155E-2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3">
        <f t="shared" si="23"/>
        <v>-8.7881814255441615E-4</v>
      </c>
      <c r="M165" s="3">
        <v>1.254</v>
      </c>
      <c r="N165" s="3">
        <v>3.3000000000000002E-2</v>
      </c>
      <c r="O165" s="3">
        <v>-0.73899999999999999</v>
      </c>
      <c r="P165" s="35">
        <v>-1.49698E-2</v>
      </c>
      <c r="Q165" s="35">
        <v>0</v>
      </c>
      <c r="R165" s="35">
        <v>0</v>
      </c>
      <c r="S165" s="35">
        <v>-4.76502E-3</v>
      </c>
      <c r="T165" s="35">
        <v>4.76502E-3</v>
      </c>
      <c r="U165" s="35">
        <v>0</v>
      </c>
      <c r="V165" s="35">
        <v>0</v>
      </c>
    </row>
    <row r="166" spans="1:22">
      <c r="A166" s="7" t="s">
        <v>57</v>
      </c>
      <c r="B166" s="8">
        <v>-0.14897154656832046</v>
      </c>
      <c r="C166" s="8">
        <v>0.84725762547333594</v>
      </c>
      <c r="D166" s="8">
        <v>-1.9759438806851826E-2</v>
      </c>
      <c r="E166" s="7">
        <v>0</v>
      </c>
      <c r="F166" s="7">
        <v>-1.4990516053215155E-2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3">
        <f t="shared" si="24"/>
        <v>-4.733599018362962E-4</v>
      </c>
      <c r="M166" s="3">
        <v>-0.14899999999999999</v>
      </c>
      <c r="N166" s="3">
        <v>0.84799999999999998</v>
      </c>
      <c r="O166" s="3">
        <v>-0.02</v>
      </c>
      <c r="P166" s="35">
        <v>0</v>
      </c>
      <c r="Q166" s="35">
        <v>-1.49698E-2</v>
      </c>
      <c r="R166" s="35">
        <v>0</v>
      </c>
      <c r="S166" s="35">
        <v>-4.76502E-3</v>
      </c>
      <c r="T166" s="35">
        <v>0</v>
      </c>
      <c r="U166" s="35">
        <v>4.76502E-3</v>
      </c>
      <c r="V166" s="35">
        <v>0</v>
      </c>
    </row>
    <row r="167" spans="1:22">
      <c r="A167" s="7"/>
      <c r="B167" s="8">
        <v>0.21871711292247331</v>
      </c>
      <c r="C167" s="8">
        <v>2.1363371502498802</v>
      </c>
      <c r="D167" s="8">
        <v>8.9790398854103559E-2</v>
      </c>
      <c r="E167" s="7">
        <v>0</v>
      </c>
      <c r="F167" s="7">
        <v>0</v>
      </c>
      <c r="G167" s="7">
        <v>-1.4990516053215155E-2</v>
      </c>
      <c r="H167" s="7">
        <v>0</v>
      </c>
      <c r="I167" s="7">
        <v>0</v>
      </c>
      <c r="J167" s="7">
        <v>0</v>
      </c>
      <c r="K167" s="7">
        <v>0</v>
      </c>
      <c r="L167" s="3">
        <f t="shared" si="24"/>
        <v>-1.1553379735430858E-3</v>
      </c>
      <c r="M167" s="3">
        <v>0.219</v>
      </c>
      <c r="N167" s="3">
        <v>2.137</v>
      </c>
      <c r="O167" s="3">
        <v>0.09</v>
      </c>
      <c r="P167" s="35">
        <v>0</v>
      </c>
      <c r="Q167" s="35">
        <v>0</v>
      </c>
      <c r="R167" s="35">
        <v>-1.49698E-2</v>
      </c>
      <c r="S167" s="35">
        <v>-4.76502E-3</v>
      </c>
      <c r="T167" s="35">
        <v>0</v>
      </c>
      <c r="U167" s="35">
        <v>0</v>
      </c>
      <c r="V167" s="35">
        <v>4.76502E-3</v>
      </c>
    </row>
    <row r="168" spans="1:22">
      <c r="A168" s="7"/>
      <c r="B168" s="8"/>
      <c r="C168" s="8"/>
      <c r="D168" s="8"/>
      <c r="E168" s="7"/>
      <c r="F168" s="7"/>
      <c r="G168" s="7"/>
      <c r="H168" s="7"/>
      <c r="I168" s="7"/>
      <c r="J168" s="7"/>
      <c r="K168" s="7"/>
    </row>
    <row r="169" spans="1:22">
      <c r="A169" s="7"/>
      <c r="B169" s="8">
        <v>1.253875629566908</v>
      </c>
      <c r="C169" s="8">
        <v>3.2592166127769939E-2</v>
      </c>
      <c r="D169" s="8">
        <v>-0.73934661383723232</v>
      </c>
      <c r="E169" s="7">
        <v>-1.4990516053215155E-2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3">
        <f t="shared" si="24"/>
        <v>-8.7881814255441615E-4</v>
      </c>
      <c r="M169" s="3">
        <v>1.254</v>
      </c>
      <c r="N169" s="3">
        <v>3.3000000000000002E-2</v>
      </c>
      <c r="O169" s="3">
        <v>-0.73899999999999999</v>
      </c>
      <c r="P169" s="35">
        <v>-1.49698E-2</v>
      </c>
      <c r="Q169" s="35">
        <v>0</v>
      </c>
      <c r="R169" s="35">
        <v>0</v>
      </c>
      <c r="S169" s="35">
        <v>-4.76502E-3</v>
      </c>
      <c r="T169" s="35">
        <v>4.76502E-3</v>
      </c>
      <c r="U169" s="35">
        <v>0</v>
      </c>
      <c r="V169" s="35">
        <v>0</v>
      </c>
    </row>
    <row r="170" spans="1:22">
      <c r="A170" s="7" t="s">
        <v>58</v>
      </c>
      <c r="B170" s="8">
        <v>-0.14897154656832046</v>
      </c>
      <c r="C170" s="8">
        <v>0.84725762547333594</v>
      </c>
      <c r="D170" s="8">
        <v>-1.9759438806851826E-2</v>
      </c>
      <c r="E170" s="7">
        <v>0</v>
      </c>
      <c r="F170" s="7">
        <v>-1.4990516053215155E-2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3">
        <f t="shared" si="24"/>
        <v>-4.733599018362962E-4</v>
      </c>
      <c r="M170" s="3">
        <v>-0.14899999999999999</v>
      </c>
      <c r="N170" s="3">
        <v>0.84799999999999998</v>
      </c>
      <c r="O170" s="3">
        <v>-0.02</v>
      </c>
      <c r="P170" s="35">
        <v>0</v>
      </c>
      <c r="Q170" s="35">
        <v>-1.49698E-2</v>
      </c>
      <c r="R170" s="35">
        <v>0</v>
      </c>
      <c r="S170" s="35">
        <v>-4.76502E-3</v>
      </c>
      <c r="T170" s="35">
        <v>0</v>
      </c>
      <c r="U170" s="35">
        <v>4.76502E-3</v>
      </c>
      <c r="V170" s="35">
        <v>0</v>
      </c>
    </row>
    <row r="171" spans="1:22">
      <c r="A171" s="7"/>
      <c r="B171" s="8">
        <v>1.8375474863113905</v>
      </c>
      <c r="C171" s="8">
        <v>2.1167426559988707</v>
      </c>
      <c r="D171" s="8">
        <v>1.2367606559382516E-2</v>
      </c>
      <c r="E171" s="7">
        <v>0</v>
      </c>
      <c r="F171" s="7">
        <v>0</v>
      </c>
      <c r="G171" s="7">
        <v>-1.4990516053215155E-2</v>
      </c>
      <c r="H171" s="7">
        <v>0</v>
      </c>
      <c r="I171" s="7">
        <v>0</v>
      </c>
      <c r="J171" s="7">
        <v>0</v>
      </c>
      <c r="K171" s="7">
        <v>0</v>
      </c>
      <c r="L171" s="3">
        <f t="shared" si="24"/>
        <v>-3.4225113035634205E-4</v>
      </c>
      <c r="M171" s="3">
        <v>1.8380000000000001</v>
      </c>
      <c r="N171" s="3">
        <v>2.117</v>
      </c>
      <c r="O171" s="3">
        <v>1.2E-2</v>
      </c>
      <c r="P171" s="35">
        <v>0</v>
      </c>
      <c r="Q171" s="35">
        <v>0</v>
      </c>
      <c r="R171" s="35">
        <v>-1.49698E-2</v>
      </c>
      <c r="S171" s="35">
        <v>-4.76502E-3</v>
      </c>
      <c r="T171" s="35">
        <v>0</v>
      </c>
      <c r="U171" s="35">
        <v>0</v>
      </c>
      <c r="V171" s="35">
        <v>4.76502E-3</v>
      </c>
    </row>
    <row r="172" spans="1:22">
      <c r="A172" s="7"/>
      <c r="B172" s="8"/>
      <c r="C172" s="8"/>
      <c r="D172" s="8"/>
      <c r="E172" s="7"/>
      <c r="F172" s="7"/>
      <c r="G172" s="7"/>
      <c r="H172" s="7"/>
      <c r="I172" s="7"/>
      <c r="J172" s="7"/>
      <c r="K172" s="7"/>
    </row>
    <row r="173" spans="1:22">
      <c r="A173" s="7"/>
      <c r="B173" s="8">
        <v>1.253875629566908</v>
      </c>
      <c r="C173" s="8">
        <v>3.2592166127769939E-2</v>
      </c>
      <c r="D173" s="8">
        <v>-0.73934661383723232</v>
      </c>
      <c r="E173" s="7">
        <v>-1.4990516053215155E-2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3">
        <f t="shared" si="25"/>
        <v>-8.7881814255441615E-4</v>
      </c>
      <c r="M173" s="3">
        <v>1.254</v>
      </c>
      <c r="N173" s="3">
        <v>3.3000000000000002E-2</v>
      </c>
      <c r="O173" s="3">
        <v>-0.73899999999999999</v>
      </c>
      <c r="P173" s="35">
        <v>-1.49698E-2</v>
      </c>
      <c r="Q173" s="35">
        <v>0</v>
      </c>
      <c r="R173" s="35">
        <v>0</v>
      </c>
      <c r="S173" s="35">
        <v>-4.76502E-3</v>
      </c>
      <c r="T173" s="35">
        <v>4.76502E-3</v>
      </c>
      <c r="U173" s="35">
        <v>0</v>
      </c>
      <c r="V173" s="35">
        <v>0</v>
      </c>
    </row>
    <row r="174" spans="1:22">
      <c r="A174" s="7" t="s">
        <v>59</v>
      </c>
      <c r="B174" s="8">
        <v>-0.14897154656832046</v>
      </c>
      <c r="C174" s="8">
        <v>0.84725762547333594</v>
      </c>
      <c r="D174" s="8">
        <v>-1.9759438806851826E-2</v>
      </c>
      <c r="E174" s="7">
        <v>0</v>
      </c>
      <c r="F174" s="7">
        <v>-1.4990516053215155E-2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3">
        <f t="shared" si="24"/>
        <v>-4.733599018362962E-4</v>
      </c>
      <c r="M174" s="3">
        <v>-0.14899999999999999</v>
      </c>
      <c r="N174" s="3">
        <v>0.84799999999999998</v>
      </c>
      <c r="O174" s="3">
        <v>-0.02</v>
      </c>
      <c r="P174" s="35">
        <v>0</v>
      </c>
      <c r="Q174" s="35">
        <v>-1.49698E-2</v>
      </c>
      <c r="R174" s="35">
        <v>0</v>
      </c>
      <c r="S174" s="35">
        <v>-4.76502E-3</v>
      </c>
      <c r="T174" s="35">
        <v>0</v>
      </c>
      <c r="U174" s="35">
        <v>4.76502E-3</v>
      </c>
      <c r="V174" s="35">
        <v>0</v>
      </c>
    </row>
    <row r="175" spans="1:22">
      <c r="A175" s="7"/>
      <c r="B175" s="8">
        <v>1.2284177840385118</v>
      </c>
      <c r="C175" s="8">
        <v>2.3993580133895418</v>
      </c>
      <c r="D175" s="8">
        <v>-0.6756623603325641</v>
      </c>
      <c r="E175" s="7">
        <v>0</v>
      </c>
      <c r="F175" s="7">
        <v>0</v>
      </c>
      <c r="G175" s="7">
        <v>-1.4990516053215155E-2</v>
      </c>
      <c r="H175" s="7">
        <v>0</v>
      </c>
      <c r="I175" s="7">
        <v>0</v>
      </c>
      <c r="J175" s="7">
        <v>0</v>
      </c>
      <c r="K175" s="7">
        <v>0</v>
      </c>
      <c r="L175" s="3">
        <f t="shared" si="24"/>
        <v>-8.8656290451050168E-4</v>
      </c>
      <c r="M175" s="3">
        <v>1.2290000000000001</v>
      </c>
      <c r="N175" s="3">
        <v>2.4</v>
      </c>
      <c r="O175" s="3">
        <v>-0.67600000000000005</v>
      </c>
      <c r="P175" s="35">
        <v>0</v>
      </c>
      <c r="Q175" s="35">
        <v>0</v>
      </c>
      <c r="R175" s="35">
        <v>-1.49698E-2</v>
      </c>
      <c r="S175" s="35">
        <v>-4.76502E-3</v>
      </c>
      <c r="T175" s="35">
        <v>0</v>
      </c>
      <c r="U175" s="35">
        <v>0</v>
      </c>
      <c r="V175" s="35">
        <v>4.76502E-3</v>
      </c>
    </row>
    <row r="176" spans="1:22">
      <c r="A176" s="7"/>
      <c r="B176" s="8"/>
      <c r="C176" s="8"/>
      <c r="D176" s="8"/>
      <c r="E176" s="7"/>
      <c r="F176" s="7"/>
      <c r="G176" s="7"/>
      <c r="H176" s="7"/>
      <c r="I176" s="7"/>
      <c r="J176" s="7"/>
      <c r="K176" s="7"/>
    </row>
    <row r="177" spans="1:22">
      <c r="A177" s="7"/>
      <c r="B177" s="8">
        <v>1.253875629566908</v>
      </c>
      <c r="C177" s="8">
        <v>3.2592166127769939E-2</v>
      </c>
      <c r="D177" s="8">
        <v>-0.73934661383723232</v>
      </c>
      <c r="E177" s="7">
        <v>-1.4990516053215155E-2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3">
        <f t="shared" si="26"/>
        <v>-8.7881814255441615E-4</v>
      </c>
      <c r="M177" s="3">
        <v>1.254</v>
      </c>
      <c r="N177" s="3">
        <v>3.3000000000000002E-2</v>
      </c>
      <c r="O177" s="3">
        <v>-0.73899999999999999</v>
      </c>
      <c r="P177" s="35">
        <v>-1.49698E-2</v>
      </c>
      <c r="Q177" s="35">
        <v>0</v>
      </c>
      <c r="R177" s="35">
        <v>0</v>
      </c>
      <c r="S177" s="35">
        <v>-4.76502E-3</v>
      </c>
      <c r="T177" s="35">
        <v>4.76502E-3</v>
      </c>
      <c r="U177" s="35">
        <v>0</v>
      </c>
      <c r="V177" s="35">
        <v>0</v>
      </c>
    </row>
    <row r="178" spans="1:22">
      <c r="A178" s="7" t="s">
        <v>60</v>
      </c>
      <c r="B178" s="8">
        <v>2.6959782234951333</v>
      </c>
      <c r="C178" s="8">
        <v>1.0757798809975587</v>
      </c>
      <c r="D178" s="8">
        <v>4.997772423355884E-2</v>
      </c>
      <c r="E178" s="7">
        <v>0</v>
      </c>
      <c r="F178" s="7">
        <v>-1.4990516053215155E-2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3">
        <f t="shared" si="24"/>
        <v>-2.6417127374940563E-4</v>
      </c>
      <c r="M178" s="3">
        <v>2.6960000000000002</v>
      </c>
      <c r="N178" s="3">
        <v>1.0760000000000001</v>
      </c>
      <c r="O178" s="3">
        <v>0.05</v>
      </c>
      <c r="P178" s="35">
        <v>0</v>
      </c>
      <c r="Q178" s="35">
        <v>-1.49698E-2</v>
      </c>
      <c r="R178" s="35">
        <v>0</v>
      </c>
      <c r="S178" s="35">
        <v>-4.76502E-3</v>
      </c>
      <c r="T178" s="35">
        <v>0</v>
      </c>
      <c r="U178" s="35">
        <v>4.76502E-3</v>
      </c>
      <c r="V178" s="35">
        <v>0</v>
      </c>
    </row>
    <row r="179" spans="1:22">
      <c r="A179" s="7"/>
      <c r="B179" s="8">
        <v>0.21871711292247331</v>
      </c>
      <c r="C179" s="8">
        <v>2.1363371502498802</v>
      </c>
      <c r="D179" s="8">
        <v>8.9790398854103559E-2</v>
      </c>
      <c r="E179" s="7">
        <v>0</v>
      </c>
      <c r="F179" s="7">
        <v>0</v>
      </c>
      <c r="G179" s="7">
        <v>-1.4990516053215155E-2</v>
      </c>
      <c r="H179" s="7">
        <v>0</v>
      </c>
      <c r="I179" s="7">
        <v>0</v>
      </c>
      <c r="J179" s="7">
        <v>0</v>
      </c>
      <c r="K179" s="7">
        <v>0</v>
      </c>
      <c r="L179" s="3">
        <f t="shared" si="24"/>
        <v>-1.1553379735430858E-3</v>
      </c>
      <c r="M179" s="3">
        <v>0.219</v>
      </c>
      <c r="N179" s="3">
        <v>2.137</v>
      </c>
      <c r="O179" s="3">
        <v>0.09</v>
      </c>
      <c r="P179" s="35">
        <v>0</v>
      </c>
      <c r="Q179" s="35">
        <v>0</v>
      </c>
      <c r="R179" s="35">
        <v>-1.49698E-2</v>
      </c>
      <c r="S179" s="35">
        <v>-4.76502E-3</v>
      </c>
      <c r="T179" s="35">
        <v>0</v>
      </c>
      <c r="U179" s="35">
        <v>0</v>
      </c>
      <c r="V179" s="35">
        <v>4.76502E-3</v>
      </c>
    </row>
    <row r="180" spans="1:22">
      <c r="A180" s="7"/>
      <c r="B180" s="8"/>
      <c r="C180" s="8"/>
      <c r="D180" s="8"/>
      <c r="E180" s="7"/>
      <c r="F180" s="7"/>
      <c r="G180" s="7"/>
      <c r="H180" s="7"/>
      <c r="I180" s="7"/>
      <c r="J180" s="7"/>
      <c r="K180" s="7"/>
    </row>
    <row r="181" spans="1:22">
      <c r="A181" s="7"/>
      <c r="B181" s="8">
        <v>1.253875629566908</v>
      </c>
      <c r="C181" s="8">
        <v>3.2592166127769939E-2</v>
      </c>
      <c r="D181" s="8">
        <v>-0.73934661383723232</v>
      </c>
      <c r="E181" s="7">
        <v>-1.4990516053215155E-2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3">
        <f t="shared" ref="L181:L219" si="28">B181-M181+C181-N181+D181-O181</f>
        <v>-8.7881814255441615E-4</v>
      </c>
      <c r="M181" s="3">
        <v>1.254</v>
      </c>
      <c r="N181" s="3">
        <v>3.3000000000000002E-2</v>
      </c>
      <c r="O181" s="3">
        <v>-0.73899999999999999</v>
      </c>
      <c r="P181" s="35">
        <v>-1.49698E-2</v>
      </c>
      <c r="Q181" s="35">
        <v>0</v>
      </c>
      <c r="R181" s="35">
        <v>0</v>
      </c>
      <c r="S181" s="35">
        <v>-4.76502E-3</v>
      </c>
      <c r="T181" s="35">
        <v>4.76502E-3</v>
      </c>
      <c r="U181" s="35">
        <v>0</v>
      </c>
      <c r="V181" s="35">
        <v>0</v>
      </c>
    </row>
    <row r="182" spans="1:22">
      <c r="A182" s="7" t="s">
        <v>61</v>
      </c>
      <c r="B182" s="8">
        <v>2.6959782234951333</v>
      </c>
      <c r="C182" s="8">
        <v>1.0757798809975587</v>
      </c>
      <c r="D182" s="8">
        <v>4.997772423355884E-2</v>
      </c>
      <c r="E182" s="7">
        <v>0</v>
      </c>
      <c r="F182" s="7">
        <v>-1.4990516053215155E-2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3">
        <f t="shared" si="28"/>
        <v>-2.6417127374940563E-4</v>
      </c>
      <c r="M182" s="3">
        <v>2.6960000000000002</v>
      </c>
      <c r="N182" s="3">
        <v>1.0760000000000001</v>
      </c>
      <c r="O182" s="3">
        <v>0.05</v>
      </c>
      <c r="P182" s="35">
        <v>0</v>
      </c>
      <c r="Q182" s="35">
        <v>-1.49698E-2</v>
      </c>
      <c r="R182" s="35">
        <v>0</v>
      </c>
      <c r="S182" s="35">
        <v>-4.76502E-3</v>
      </c>
      <c r="T182" s="35">
        <v>0</v>
      </c>
      <c r="U182" s="35">
        <v>4.76502E-3</v>
      </c>
      <c r="V182" s="35">
        <v>0</v>
      </c>
    </row>
    <row r="183" spans="1:22">
      <c r="A183" s="7"/>
      <c r="B183" s="8">
        <v>1.8375474863113905</v>
      </c>
      <c r="C183" s="8">
        <v>2.1167426559988707</v>
      </c>
      <c r="D183" s="8">
        <v>1.2367606559382516E-2</v>
      </c>
      <c r="E183" s="7">
        <v>0</v>
      </c>
      <c r="F183" s="7">
        <v>0</v>
      </c>
      <c r="G183" s="7">
        <v>-1.4990516053215155E-2</v>
      </c>
      <c r="H183" s="7">
        <v>0</v>
      </c>
      <c r="I183" s="7">
        <v>0</v>
      </c>
      <c r="J183" s="7">
        <v>0</v>
      </c>
      <c r="K183" s="7">
        <v>0</v>
      </c>
      <c r="L183" s="3">
        <f t="shared" si="28"/>
        <v>-3.4225113035634205E-4</v>
      </c>
      <c r="M183" s="3">
        <v>1.8380000000000001</v>
      </c>
      <c r="N183" s="3">
        <v>2.117</v>
      </c>
      <c r="O183" s="3">
        <v>1.2E-2</v>
      </c>
      <c r="P183" s="35">
        <v>0</v>
      </c>
      <c r="Q183" s="35">
        <v>0</v>
      </c>
      <c r="R183" s="35">
        <v>-1.49698E-2</v>
      </c>
      <c r="S183" s="35">
        <v>-4.76502E-3</v>
      </c>
      <c r="T183" s="35">
        <v>0</v>
      </c>
      <c r="U183" s="35">
        <v>0</v>
      </c>
      <c r="V183" s="35">
        <v>4.76502E-3</v>
      </c>
    </row>
    <row r="184" spans="1:22">
      <c r="A184" s="7"/>
      <c r="B184" s="8"/>
      <c r="C184" s="8"/>
      <c r="D184" s="8"/>
      <c r="E184" s="7"/>
      <c r="F184" s="7"/>
      <c r="G184" s="7"/>
      <c r="H184" s="7"/>
      <c r="I184" s="7"/>
      <c r="J184" s="7"/>
      <c r="K184" s="7"/>
    </row>
    <row r="185" spans="1:22">
      <c r="A185" s="7"/>
      <c r="B185" s="8">
        <v>1.253875629566908</v>
      </c>
      <c r="C185" s="8">
        <v>3.2592166127769939E-2</v>
      </c>
      <c r="D185" s="8">
        <v>-0.73934661383723232</v>
      </c>
      <c r="E185" s="7">
        <v>-1.4990516053215155E-2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3">
        <f t="shared" si="24"/>
        <v>-8.7881814255441615E-4</v>
      </c>
      <c r="M185" s="3">
        <v>1.254</v>
      </c>
      <c r="N185" s="3">
        <v>3.3000000000000002E-2</v>
      </c>
      <c r="O185" s="3">
        <v>-0.73899999999999999</v>
      </c>
      <c r="P185" s="35">
        <v>-1.49698E-2</v>
      </c>
      <c r="Q185" s="35">
        <v>0</v>
      </c>
      <c r="R185" s="35">
        <v>0</v>
      </c>
      <c r="S185" s="35">
        <v>-4.76502E-3</v>
      </c>
      <c r="T185" s="35">
        <v>4.76502E-3</v>
      </c>
      <c r="U185" s="35">
        <v>0</v>
      </c>
      <c r="V185" s="35">
        <v>0</v>
      </c>
    </row>
    <row r="186" spans="1:22">
      <c r="A186" s="7" t="s">
        <v>62</v>
      </c>
      <c r="B186" s="8">
        <v>2.6959782234951333</v>
      </c>
      <c r="C186" s="8">
        <v>1.0757798809975587</v>
      </c>
      <c r="D186" s="8">
        <v>4.997772423355884E-2</v>
      </c>
      <c r="E186" s="7">
        <v>0</v>
      </c>
      <c r="F186" s="7">
        <v>-1.4990516053215155E-2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3">
        <f t="shared" si="24"/>
        <v>-2.6417127374940563E-4</v>
      </c>
      <c r="M186" s="3">
        <v>2.6960000000000002</v>
      </c>
      <c r="N186" s="3">
        <v>1.0760000000000001</v>
      </c>
      <c r="O186" s="3">
        <v>0.05</v>
      </c>
      <c r="P186" s="35">
        <v>0</v>
      </c>
      <c r="Q186" s="35">
        <v>-1.49698E-2</v>
      </c>
      <c r="R186" s="35">
        <v>0</v>
      </c>
      <c r="S186" s="35">
        <v>-4.76502E-3</v>
      </c>
      <c r="T186" s="35">
        <v>0</v>
      </c>
      <c r="U186" s="35">
        <v>4.76502E-3</v>
      </c>
      <c r="V186" s="35">
        <v>0</v>
      </c>
    </row>
    <row r="187" spans="1:22">
      <c r="A187" s="7"/>
      <c r="B187" s="8">
        <v>1.2284177840385118</v>
      </c>
      <c r="C187" s="8">
        <v>2.3993580133895418</v>
      </c>
      <c r="D187" s="8">
        <v>-0.6756623603325641</v>
      </c>
      <c r="E187" s="7">
        <v>0</v>
      </c>
      <c r="F187" s="7">
        <v>0</v>
      </c>
      <c r="G187" s="7">
        <v>-1.4990516053215155E-2</v>
      </c>
      <c r="H187" s="7">
        <v>0</v>
      </c>
      <c r="I187" s="7">
        <v>0</v>
      </c>
      <c r="J187" s="7">
        <v>0</v>
      </c>
      <c r="K187" s="7">
        <v>0</v>
      </c>
      <c r="L187" s="3">
        <f t="shared" si="24"/>
        <v>-8.8656290451050168E-4</v>
      </c>
      <c r="M187" s="3">
        <v>1.2290000000000001</v>
      </c>
      <c r="N187" s="3">
        <v>2.4</v>
      </c>
      <c r="O187" s="3">
        <v>-0.67600000000000005</v>
      </c>
      <c r="P187" s="35">
        <v>0</v>
      </c>
      <c r="Q187" s="35">
        <v>0</v>
      </c>
      <c r="R187" s="35">
        <v>-1.49698E-2</v>
      </c>
      <c r="S187" s="35">
        <v>-4.76502E-3</v>
      </c>
      <c r="T187" s="35">
        <v>0</v>
      </c>
      <c r="U187" s="35">
        <v>0</v>
      </c>
      <c r="V187" s="35">
        <v>4.76502E-3</v>
      </c>
    </row>
    <row r="188" spans="1:22">
      <c r="A188" s="7"/>
      <c r="B188" s="8"/>
      <c r="C188" s="8"/>
      <c r="D188" s="8"/>
      <c r="E188" s="7"/>
      <c r="F188" s="7"/>
      <c r="G188" s="7"/>
      <c r="H188" s="7"/>
      <c r="I188" s="7"/>
      <c r="J188" s="7"/>
      <c r="K188" s="7"/>
    </row>
    <row r="189" spans="1:22">
      <c r="A189" s="7"/>
      <c r="B189" s="8">
        <v>1.253875629566908</v>
      </c>
      <c r="C189" s="8">
        <v>3.2592166127769939E-2</v>
      </c>
      <c r="D189" s="8">
        <v>-0.73934661383723232</v>
      </c>
      <c r="E189" s="7">
        <v>-1.4990516053215155E-2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3">
        <f t="shared" ref="L189:L225" si="29">B189-M189+C189-N189+D189-O189</f>
        <v>-8.7881814255441615E-4</v>
      </c>
      <c r="M189" s="3">
        <v>1.254</v>
      </c>
      <c r="N189" s="3">
        <v>3.3000000000000002E-2</v>
      </c>
      <c r="O189" s="3">
        <v>-0.73899999999999999</v>
      </c>
      <c r="P189" s="35">
        <v>-1.49698E-2</v>
      </c>
      <c r="Q189" s="35">
        <v>0</v>
      </c>
      <c r="R189" s="35">
        <v>0</v>
      </c>
      <c r="S189" s="35">
        <v>-4.76502E-3</v>
      </c>
      <c r="T189" s="35">
        <v>4.76502E-3</v>
      </c>
      <c r="U189" s="35">
        <v>0</v>
      </c>
      <c r="V189" s="35">
        <v>0</v>
      </c>
    </row>
    <row r="190" spans="1:22">
      <c r="A190" s="7" t="s">
        <v>63</v>
      </c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-1.4990516053215155E-2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3">
        <f t="shared" si="24"/>
        <v>-1.1553379735430858E-3</v>
      </c>
      <c r="M190" s="3">
        <v>0.219</v>
      </c>
      <c r="N190" s="3">
        <v>2.137</v>
      </c>
      <c r="O190" s="3">
        <v>0.09</v>
      </c>
      <c r="P190" s="35">
        <v>0</v>
      </c>
      <c r="Q190" s="35">
        <v>-1.49698E-2</v>
      </c>
      <c r="R190" s="35">
        <v>0</v>
      </c>
      <c r="S190" s="35">
        <v>-4.76502E-3</v>
      </c>
      <c r="T190" s="35">
        <v>0</v>
      </c>
      <c r="U190" s="35">
        <v>4.76502E-3</v>
      </c>
      <c r="V190" s="35">
        <v>0</v>
      </c>
    </row>
    <row r="191" spans="1:22">
      <c r="A191" s="7"/>
      <c r="B191" s="8">
        <v>1.8375474863113905</v>
      </c>
      <c r="C191" s="8">
        <v>2.1167426559988707</v>
      </c>
      <c r="D191" s="8">
        <v>1.2367606559382516E-2</v>
      </c>
      <c r="E191" s="7">
        <v>0</v>
      </c>
      <c r="F191" s="7">
        <v>0</v>
      </c>
      <c r="G191" s="7">
        <v>-1.4990516053215155E-2</v>
      </c>
      <c r="H191" s="7">
        <v>0</v>
      </c>
      <c r="I191" s="7">
        <v>0</v>
      </c>
      <c r="J191" s="7">
        <v>0</v>
      </c>
      <c r="K191" s="7">
        <v>0</v>
      </c>
      <c r="L191" s="3">
        <f t="shared" si="24"/>
        <v>-3.4225113035634205E-4</v>
      </c>
      <c r="M191" s="3">
        <v>1.8380000000000001</v>
      </c>
      <c r="N191" s="3">
        <v>2.117</v>
      </c>
      <c r="O191" s="3">
        <v>1.2E-2</v>
      </c>
      <c r="P191" s="35">
        <v>0</v>
      </c>
      <c r="Q191" s="35">
        <v>0</v>
      </c>
      <c r="R191" s="35">
        <v>-1.49698E-2</v>
      </c>
      <c r="S191" s="35">
        <v>-4.76502E-3</v>
      </c>
      <c r="T191" s="35">
        <v>0</v>
      </c>
      <c r="U191" s="35">
        <v>0</v>
      </c>
      <c r="V191" s="35">
        <v>4.76502E-3</v>
      </c>
    </row>
    <row r="192" spans="1:22">
      <c r="A192" s="7"/>
      <c r="B192" s="8"/>
      <c r="C192" s="8"/>
      <c r="D192" s="8"/>
      <c r="E192" s="7"/>
      <c r="F192" s="7"/>
      <c r="G192" s="7"/>
      <c r="H192" s="7"/>
      <c r="I192" s="7"/>
      <c r="J192" s="7"/>
      <c r="K192" s="7"/>
    </row>
    <row r="193" spans="1:22">
      <c r="A193" s="7"/>
      <c r="B193" s="8">
        <v>1.253875629566908</v>
      </c>
      <c r="C193" s="8">
        <v>3.2592166127769939E-2</v>
      </c>
      <c r="D193" s="8">
        <v>-0.73934661383723232</v>
      </c>
      <c r="E193" s="7">
        <v>-1.4990516053215155E-2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3">
        <f t="shared" ref="L193:L229" si="30">B193-M193+C193-N193+D193-O193</f>
        <v>-8.7881814255441615E-4</v>
      </c>
      <c r="M193" s="3">
        <v>1.254</v>
      </c>
      <c r="N193" s="3">
        <v>3.3000000000000002E-2</v>
      </c>
      <c r="O193" s="3">
        <v>-0.73899999999999999</v>
      </c>
      <c r="P193" s="35">
        <v>-1.49698E-2</v>
      </c>
      <c r="Q193" s="35">
        <v>0</v>
      </c>
      <c r="R193" s="35">
        <v>0</v>
      </c>
      <c r="S193" s="35">
        <v>-4.76502E-3</v>
      </c>
      <c r="T193" s="35">
        <v>4.76502E-3</v>
      </c>
      <c r="U193" s="35">
        <v>0</v>
      </c>
      <c r="V193" s="35">
        <v>0</v>
      </c>
    </row>
    <row r="194" spans="1:22">
      <c r="A194" s="7" t="s">
        <v>64</v>
      </c>
      <c r="B194" s="8">
        <v>0.21871711292247331</v>
      </c>
      <c r="C194" s="8">
        <v>2.1363371502498802</v>
      </c>
      <c r="D194" s="8">
        <v>8.9790398854103559E-2</v>
      </c>
      <c r="E194" s="7">
        <v>0</v>
      </c>
      <c r="F194" s="7">
        <v>-1.4990516053215155E-2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3">
        <f t="shared" si="24"/>
        <v>-1.1553379735430858E-3</v>
      </c>
      <c r="M194" s="3">
        <v>0.219</v>
      </c>
      <c r="N194" s="3">
        <v>2.137</v>
      </c>
      <c r="O194" s="3">
        <v>0.09</v>
      </c>
      <c r="P194" s="35">
        <v>0</v>
      </c>
      <c r="Q194" s="35">
        <v>-1.49698E-2</v>
      </c>
      <c r="R194" s="35">
        <v>0</v>
      </c>
      <c r="S194" s="35">
        <v>-4.76502E-3</v>
      </c>
      <c r="T194" s="35">
        <v>0</v>
      </c>
      <c r="U194" s="35">
        <v>4.76502E-3</v>
      </c>
      <c r="V194" s="35">
        <v>0</v>
      </c>
    </row>
    <row r="195" spans="1:22">
      <c r="A195" s="7"/>
      <c r="B195" s="8">
        <v>1.2284177840385118</v>
      </c>
      <c r="C195" s="8">
        <v>2.3993580133895418</v>
      </c>
      <c r="D195" s="8">
        <v>-0.6756623603325641</v>
      </c>
      <c r="E195" s="7">
        <v>0</v>
      </c>
      <c r="F195" s="7">
        <v>0</v>
      </c>
      <c r="G195" s="7">
        <v>-1.4990516053215155E-2</v>
      </c>
      <c r="H195" s="7">
        <v>0</v>
      </c>
      <c r="I195" s="7">
        <v>0</v>
      </c>
      <c r="J195" s="7">
        <v>0</v>
      </c>
      <c r="K195" s="7">
        <v>0</v>
      </c>
      <c r="L195" s="3">
        <f t="shared" si="24"/>
        <v>-8.8656290451050168E-4</v>
      </c>
      <c r="M195" s="3">
        <v>1.2290000000000001</v>
      </c>
      <c r="N195" s="3">
        <v>2.4</v>
      </c>
      <c r="O195" s="3">
        <v>-0.67600000000000005</v>
      </c>
      <c r="P195" s="35">
        <v>0</v>
      </c>
      <c r="Q195" s="35">
        <v>0</v>
      </c>
      <c r="R195" s="35">
        <v>-1.49698E-2</v>
      </c>
      <c r="S195" s="35">
        <v>-4.76502E-3</v>
      </c>
      <c r="T195" s="35">
        <v>0</v>
      </c>
      <c r="U195" s="35">
        <v>0</v>
      </c>
      <c r="V195" s="35">
        <v>4.76502E-3</v>
      </c>
    </row>
    <row r="196" spans="1:22">
      <c r="A196" s="7"/>
      <c r="B196" s="8"/>
      <c r="C196" s="8"/>
      <c r="D196" s="8"/>
      <c r="E196" s="7"/>
      <c r="F196" s="7"/>
      <c r="G196" s="7"/>
      <c r="H196" s="7"/>
      <c r="I196" s="7"/>
      <c r="J196" s="7"/>
      <c r="K196" s="7"/>
    </row>
    <row r="197" spans="1:22">
      <c r="A197" s="7"/>
      <c r="B197" s="8">
        <v>1.253875629566908</v>
      </c>
      <c r="C197" s="8">
        <v>3.2592166127769939E-2</v>
      </c>
      <c r="D197" s="8">
        <v>-0.73934661383723232</v>
      </c>
      <c r="E197" s="7">
        <v>-1.4990516053215155E-2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3">
        <f t="shared" ref="L197:L259" si="31">B197-M197+C197-N197+D197-O197</f>
        <v>-8.7881814255441615E-4</v>
      </c>
      <c r="M197" s="3">
        <v>1.254</v>
      </c>
      <c r="N197" s="3">
        <v>3.3000000000000002E-2</v>
      </c>
      <c r="O197" s="3">
        <v>-0.73899999999999999</v>
      </c>
      <c r="P197" s="35">
        <v>-1.49698E-2</v>
      </c>
      <c r="Q197" s="35">
        <v>0</v>
      </c>
      <c r="R197" s="35">
        <v>0</v>
      </c>
      <c r="S197" s="35">
        <v>-4.76502E-3</v>
      </c>
      <c r="T197" s="35">
        <v>4.76502E-3</v>
      </c>
      <c r="U197" s="35">
        <v>0</v>
      </c>
      <c r="V197" s="35">
        <v>0</v>
      </c>
    </row>
    <row r="198" spans="1:22">
      <c r="A198" s="7" t="s">
        <v>65</v>
      </c>
      <c r="B198" s="8">
        <v>1.8375474863113905</v>
      </c>
      <c r="C198" s="8">
        <v>2.1167426559988707</v>
      </c>
      <c r="D198" s="8">
        <v>1.2367606559382516E-2</v>
      </c>
      <c r="E198" s="7">
        <v>0</v>
      </c>
      <c r="F198" s="7">
        <v>-1.4990516053215155E-2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3">
        <f t="shared" si="31"/>
        <v>-3.4225113035634205E-4</v>
      </c>
      <c r="M198" s="3">
        <v>1.8380000000000001</v>
      </c>
      <c r="N198" s="3">
        <v>2.117</v>
      </c>
      <c r="O198" s="3">
        <v>1.2E-2</v>
      </c>
      <c r="P198" s="35">
        <v>0</v>
      </c>
      <c r="Q198" s="35">
        <v>-1.49698E-2</v>
      </c>
      <c r="R198" s="35">
        <v>0</v>
      </c>
      <c r="S198" s="35">
        <v>-4.76502E-3</v>
      </c>
      <c r="T198" s="35">
        <v>0</v>
      </c>
      <c r="U198" s="35">
        <v>4.76502E-3</v>
      </c>
      <c r="V198" s="35">
        <v>0</v>
      </c>
    </row>
    <row r="199" spans="1:22">
      <c r="A199" s="7"/>
      <c r="B199" s="8">
        <v>1.2284177840385118</v>
      </c>
      <c r="C199" s="8">
        <v>2.3993580133895418</v>
      </c>
      <c r="D199" s="8">
        <v>-0.6756623603325641</v>
      </c>
      <c r="E199" s="7">
        <v>0</v>
      </c>
      <c r="F199" s="7">
        <v>0</v>
      </c>
      <c r="G199" s="7">
        <v>-1.4990516053215155E-2</v>
      </c>
      <c r="H199" s="7">
        <v>0</v>
      </c>
      <c r="I199" s="7">
        <v>0</v>
      </c>
      <c r="J199" s="7">
        <v>0</v>
      </c>
      <c r="K199" s="7">
        <v>0</v>
      </c>
      <c r="L199" s="3">
        <f t="shared" si="31"/>
        <v>-8.8656290451050168E-4</v>
      </c>
      <c r="M199" s="3">
        <v>1.2290000000000001</v>
      </c>
      <c r="N199" s="3">
        <v>2.4</v>
      </c>
      <c r="O199" s="3">
        <v>-0.67600000000000005</v>
      </c>
      <c r="P199" s="35">
        <v>0</v>
      </c>
      <c r="Q199" s="35">
        <v>0</v>
      </c>
      <c r="R199" s="35">
        <v>-1.49698E-2</v>
      </c>
      <c r="S199" s="35">
        <v>-4.76502E-3</v>
      </c>
      <c r="T199" s="35">
        <v>0</v>
      </c>
      <c r="U199" s="35">
        <v>0</v>
      </c>
      <c r="V199" s="35">
        <v>4.76502E-3</v>
      </c>
    </row>
    <row r="200" spans="1:22">
      <c r="A200" s="7"/>
      <c r="B200" s="8"/>
      <c r="C200" s="8"/>
      <c r="D200" s="8"/>
      <c r="E200" s="7"/>
      <c r="F200" s="7"/>
      <c r="G200" s="7"/>
      <c r="H200" s="7"/>
      <c r="I200" s="7"/>
      <c r="J200" s="7"/>
      <c r="K200" s="7"/>
    </row>
    <row r="201" spans="1:22">
      <c r="A201" s="7"/>
      <c r="B201" s="8">
        <v>2.2957880185781296</v>
      </c>
      <c r="C201" s="8">
        <v>-8.2263663034425338E-3</v>
      </c>
      <c r="D201" s="8">
        <v>3.3137218009327896E-2</v>
      </c>
      <c r="E201" s="7">
        <v>-1.4990516053215155E-2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3">
        <f t="shared" ref="L201:L237" si="32">B201-M201+C201-N201+D201-O201</f>
        <v>-3.0112971598481725E-4</v>
      </c>
      <c r="M201" s="3">
        <v>2.2959999999999998</v>
      </c>
      <c r="N201" s="3">
        <v>-8.0000000000000002E-3</v>
      </c>
      <c r="O201" s="3">
        <v>3.3000000000000002E-2</v>
      </c>
      <c r="P201" s="35">
        <v>-1.49698E-2</v>
      </c>
      <c r="Q201" s="35">
        <v>0</v>
      </c>
      <c r="R201" s="35">
        <v>0</v>
      </c>
      <c r="S201" s="35">
        <v>-4.76502E-3</v>
      </c>
      <c r="T201" s="35">
        <v>4.76502E-3</v>
      </c>
      <c r="U201" s="35">
        <v>0</v>
      </c>
      <c r="V201" s="35">
        <v>0</v>
      </c>
    </row>
    <row r="202" spans="1:22">
      <c r="A202" s="7" t="s">
        <v>66</v>
      </c>
      <c r="B202" s="8">
        <v>-0.14897154656832046</v>
      </c>
      <c r="C202" s="8">
        <v>0.84725762547333594</v>
      </c>
      <c r="D202" s="8">
        <v>-1.9759438806851826E-2</v>
      </c>
      <c r="E202" s="7">
        <v>0</v>
      </c>
      <c r="F202" s="7">
        <v>-1.4990516053215155E-2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3">
        <f t="shared" si="31"/>
        <v>-4.733599018362962E-4</v>
      </c>
      <c r="M202" s="3">
        <v>-0.14899999999999999</v>
      </c>
      <c r="N202" s="3">
        <v>0.84799999999999998</v>
      </c>
      <c r="O202" s="3">
        <v>-0.02</v>
      </c>
      <c r="P202" s="35">
        <v>0</v>
      </c>
      <c r="Q202" s="35">
        <v>-1.49698E-2</v>
      </c>
      <c r="R202" s="35">
        <v>0</v>
      </c>
      <c r="S202" s="35">
        <v>-4.76502E-3</v>
      </c>
      <c r="T202" s="35">
        <v>0</v>
      </c>
      <c r="U202" s="35">
        <v>4.76502E-3</v>
      </c>
      <c r="V202" s="35">
        <v>0</v>
      </c>
    </row>
    <row r="203" spans="1:22">
      <c r="A203" s="7"/>
      <c r="B203" s="8">
        <v>2.6959782234951333</v>
      </c>
      <c r="C203" s="8">
        <v>1.0757798809975587</v>
      </c>
      <c r="D203" s="8">
        <v>4.997772423355884E-2</v>
      </c>
      <c r="E203" s="7">
        <v>0</v>
      </c>
      <c r="F203" s="7">
        <v>0</v>
      </c>
      <c r="G203" s="7">
        <v>-1.4990516053215155E-2</v>
      </c>
      <c r="H203" s="7">
        <v>0</v>
      </c>
      <c r="I203" s="7">
        <v>0</v>
      </c>
      <c r="J203" s="7">
        <v>0</v>
      </c>
      <c r="K203" s="7">
        <v>0</v>
      </c>
      <c r="L203" s="3">
        <f t="shared" si="31"/>
        <v>-2.6417127374940563E-4</v>
      </c>
      <c r="M203" s="3">
        <v>2.6960000000000002</v>
      </c>
      <c r="N203" s="3">
        <v>1.0760000000000001</v>
      </c>
      <c r="O203" s="3">
        <v>0.05</v>
      </c>
      <c r="P203" s="35">
        <v>0</v>
      </c>
      <c r="Q203" s="35">
        <v>0</v>
      </c>
      <c r="R203" s="35">
        <v>-1.49698E-2</v>
      </c>
      <c r="S203" s="35">
        <v>-4.76502E-3</v>
      </c>
      <c r="T203" s="35">
        <v>0</v>
      </c>
      <c r="U203" s="35">
        <v>0</v>
      </c>
      <c r="V203" s="35">
        <v>4.76502E-3</v>
      </c>
    </row>
    <row r="204" spans="1:22">
      <c r="A204" s="7"/>
      <c r="B204" s="8"/>
      <c r="C204" s="8"/>
      <c r="D204" s="8"/>
      <c r="E204" s="7"/>
      <c r="F204" s="7"/>
      <c r="G204" s="7"/>
      <c r="H204" s="7"/>
      <c r="I204" s="7"/>
      <c r="J204" s="7"/>
      <c r="K204" s="7"/>
    </row>
    <row r="205" spans="1:22">
      <c r="A205" s="7"/>
      <c r="B205" s="8">
        <v>2.2957880185781296</v>
      </c>
      <c r="C205" s="8">
        <v>-8.2263663034425338E-3</v>
      </c>
      <c r="D205" s="8">
        <v>3.3137218009327896E-2</v>
      </c>
      <c r="E205" s="7">
        <v>-1.4990516053215155E-2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3">
        <f t="shared" ref="L205:L241" si="33">B205-M205+C205-N205+D205-O205</f>
        <v>-3.0112971598481725E-4</v>
      </c>
      <c r="M205" s="3">
        <v>2.2959999999999998</v>
      </c>
      <c r="N205" s="3">
        <v>-8.0000000000000002E-3</v>
      </c>
      <c r="O205" s="3">
        <v>3.3000000000000002E-2</v>
      </c>
      <c r="P205" s="35">
        <v>-1.49698E-2</v>
      </c>
      <c r="Q205" s="35">
        <v>0</v>
      </c>
      <c r="R205" s="35">
        <v>0</v>
      </c>
      <c r="S205" s="35">
        <v>-4.76502E-3</v>
      </c>
      <c r="T205" s="35">
        <v>4.76502E-3</v>
      </c>
      <c r="U205" s="35">
        <v>0</v>
      </c>
      <c r="V205" s="35">
        <v>0</v>
      </c>
    </row>
    <row r="206" spans="1:22">
      <c r="A206" s="7" t="s">
        <v>67</v>
      </c>
      <c r="B206" s="8">
        <v>-0.14897154656832046</v>
      </c>
      <c r="C206" s="8">
        <v>0.84725762547333594</v>
      </c>
      <c r="D206" s="8">
        <v>-1.9759438806851826E-2</v>
      </c>
      <c r="E206" s="7">
        <v>0</v>
      </c>
      <c r="F206" s="7">
        <v>-1.4990516053215155E-2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3">
        <f t="shared" si="31"/>
        <v>-4.733599018362962E-4</v>
      </c>
      <c r="M206" s="3">
        <v>-0.14899999999999999</v>
      </c>
      <c r="N206" s="3">
        <v>0.84799999999999998</v>
      </c>
      <c r="O206" s="3">
        <v>-0.02</v>
      </c>
      <c r="P206" s="35">
        <v>0</v>
      </c>
      <c r="Q206" s="35">
        <v>-1.49698E-2</v>
      </c>
      <c r="R206" s="35">
        <v>0</v>
      </c>
      <c r="S206" s="35">
        <v>-4.76502E-3</v>
      </c>
      <c r="T206" s="35">
        <v>0</v>
      </c>
      <c r="U206" s="35">
        <v>4.76502E-3</v>
      </c>
      <c r="V206" s="35">
        <v>0</v>
      </c>
    </row>
    <row r="207" spans="1:22">
      <c r="A207" s="7"/>
      <c r="B207" s="8">
        <v>0.21871711292247331</v>
      </c>
      <c r="C207" s="8">
        <v>2.1363371502498802</v>
      </c>
      <c r="D207" s="8">
        <v>8.9790398854103559E-2</v>
      </c>
      <c r="E207" s="7">
        <v>0</v>
      </c>
      <c r="F207" s="7">
        <v>0</v>
      </c>
      <c r="G207" s="7">
        <v>-1.4990516053215155E-2</v>
      </c>
      <c r="H207" s="7">
        <v>0</v>
      </c>
      <c r="I207" s="7">
        <v>0</v>
      </c>
      <c r="J207" s="7">
        <v>0</v>
      </c>
      <c r="K207" s="7">
        <v>0</v>
      </c>
      <c r="L207" s="3">
        <f t="shared" si="31"/>
        <v>-1.1553379735430858E-3</v>
      </c>
      <c r="M207" s="3">
        <v>0.219</v>
      </c>
      <c r="N207" s="3">
        <v>2.137</v>
      </c>
      <c r="O207" s="3">
        <v>0.09</v>
      </c>
      <c r="P207" s="35">
        <v>0</v>
      </c>
      <c r="Q207" s="35">
        <v>0</v>
      </c>
      <c r="R207" s="35">
        <v>-1.49698E-2</v>
      </c>
      <c r="S207" s="35">
        <v>-4.76502E-3</v>
      </c>
      <c r="T207" s="35">
        <v>0</v>
      </c>
      <c r="U207" s="35">
        <v>0</v>
      </c>
      <c r="V207" s="35">
        <v>4.76502E-3</v>
      </c>
    </row>
    <row r="208" spans="1:22">
      <c r="A208" s="7"/>
      <c r="B208" s="8"/>
      <c r="C208" s="8"/>
      <c r="D208" s="8"/>
      <c r="E208" s="7"/>
      <c r="F208" s="7"/>
      <c r="G208" s="7"/>
      <c r="H208" s="7"/>
      <c r="I208" s="7"/>
      <c r="J208" s="7"/>
      <c r="K208" s="7"/>
    </row>
    <row r="209" spans="1:22">
      <c r="A209" s="7"/>
      <c r="B209" s="8">
        <v>2.2957880185781296</v>
      </c>
      <c r="C209" s="8">
        <v>-8.2263663034425338E-3</v>
      </c>
      <c r="D209" s="8">
        <v>3.3137218009327896E-2</v>
      </c>
      <c r="E209" s="7">
        <v>-1.4990516053215155E-2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3">
        <f t="shared" ref="L209:L245" si="34">B209-M209+C209-N209+D209-O209</f>
        <v>-3.0112971598481725E-4</v>
      </c>
      <c r="M209" s="3">
        <v>2.2959999999999998</v>
      </c>
      <c r="N209" s="3">
        <v>-8.0000000000000002E-3</v>
      </c>
      <c r="O209" s="3">
        <v>3.3000000000000002E-2</v>
      </c>
      <c r="P209" s="35">
        <v>-1.49698E-2</v>
      </c>
      <c r="Q209" s="35">
        <v>0</v>
      </c>
      <c r="R209" s="35">
        <v>0</v>
      </c>
      <c r="S209" s="35">
        <v>-4.76502E-3</v>
      </c>
      <c r="T209" s="35">
        <v>4.76502E-3</v>
      </c>
      <c r="U209" s="35">
        <v>0</v>
      </c>
      <c r="V209" s="35">
        <v>0</v>
      </c>
    </row>
    <row r="210" spans="1:22">
      <c r="A210" s="7" t="s">
        <v>68</v>
      </c>
      <c r="B210" s="8">
        <v>-0.14897154656832046</v>
      </c>
      <c r="C210" s="8">
        <v>0.84725762547333594</v>
      </c>
      <c r="D210" s="8">
        <v>-1.9759438806851826E-2</v>
      </c>
      <c r="E210" s="7">
        <v>0</v>
      </c>
      <c r="F210" s="7">
        <v>-1.4990516053215155E-2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3">
        <f t="shared" si="31"/>
        <v>-4.733599018362962E-4</v>
      </c>
      <c r="M210" s="3">
        <v>-0.14899999999999999</v>
      </c>
      <c r="N210" s="3">
        <v>0.84799999999999998</v>
      </c>
      <c r="O210" s="3">
        <v>-0.02</v>
      </c>
      <c r="P210" s="35">
        <v>0</v>
      </c>
      <c r="Q210" s="35">
        <v>-1.49698E-2</v>
      </c>
      <c r="R210" s="35">
        <v>0</v>
      </c>
      <c r="S210" s="35">
        <v>-4.76502E-3</v>
      </c>
      <c r="T210" s="35">
        <v>0</v>
      </c>
      <c r="U210" s="35">
        <v>4.76502E-3</v>
      </c>
      <c r="V210" s="35">
        <v>0</v>
      </c>
    </row>
    <row r="211" spans="1:22">
      <c r="A211" s="7"/>
      <c r="B211" s="8">
        <v>1.8375474863113905</v>
      </c>
      <c r="C211" s="8">
        <v>2.1167426559988707</v>
      </c>
      <c r="D211" s="8">
        <v>1.2367606559382516E-2</v>
      </c>
      <c r="E211" s="7">
        <v>0</v>
      </c>
      <c r="F211" s="7">
        <v>0</v>
      </c>
      <c r="G211" s="7">
        <v>-1.4990516053215155E-2</v>
      </c>
      <c r="H211" s="7">
        <v>0</v>
      </c>
      <c r="I211" s="7">
        <v>0</v>
      </c>
      <c r="J211" s="7">
        <v>0</v>
      </c>
      <c r="K211" s="7">
        <v>0</v>
      </c>
      <c r="L211" s="3">
        <f t="shared" si="31"/>
        <v>-3.4225113035634205E-4</v>
      </c>
      <c r="M211" s="3">
        <v>1.8380000000000001</v>
      </c>
      <c r="N211" s="3">
        <v>2.117</v>
      </c>
      <c r="O211" s="3">
        <v>1.2E-2</v>
      </c>
      <c r="P211" s="35">
        <v>0</v>
      </c>
      <c r="Q211" s="35">
        <v>0</v>
      </c>
      <c r="R211" s="35">
        <v>-1.49698E-2</v>
      </c>
      <c r="S211" s="35">
        <v>-4.76502E-3</v>
      </c>
      <c r="T211" s="35">
        <v>0</v>
      </c>
      <c r="U211" s="35">
        <v>0</v>
      </c>
      <c r="V211" s="35">
        <v>4.76502E-3</v>
      </c>
    </row>
    <row r="212" spans="1:22">
      <c r="A212" s="7"/>
      <c r="B212" s="8"/>
      <c r="C212" s="8"/>
      <c r="D212" s="8"/>
      <c r="E212" s="7"/>
      <c r="F212" s="7"/>
      <c r="G212" s="7"/>
      <c r="H212" s="7"/>
      <c r="I212" s="7"/>
      <c r="J212" s="7"/>
      <c r="K212" s="7"/>
    </row>
    <row r="213" spans="1:22">
      <c r="A213" s="7"/>
      <c r="B213" s="8">
        <v>2.2957880185781296</v>
      </c>
      <c r="C213" s="8">
        <v>-8.2263663034425338E-3</v>
      </c>
      <c r="D213" s="8">
        <v>3.3137218009327896E-2</v>
      </c>
      <c r="E213" s="7">
        <v>-1.4990516053215155E-2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3">
        <f t="shared" ref="L213:L249" si="35">B213-M213+C213-N213+D213-O213</f>
        <v>-3.0112971598481725E-4</v>
      </c>
      <c r="M213" s="3">
        <v>2.2959999999999998</v>
      </c>
      <c r="N213" s="3">
        <v>-8.0000000000000002E-3</v>
      </c>
      <c r="O213" s="3">
        <v>3.3000000000000002E-2</v>
      </c>
      <c r="P213" s="35">
        <v>-1.49698E-2</v>
      </c>
      <c r="Q213" s="35">
        <v>0</v>
      </c>
      <c r="R213" s="35">
        <v>0</v>
      </c>
      <c r="S213" s="35">
        <v>-4.76502E-3</v>
      </c>
      <c r="T213" s="35">
        <v>4.76502E-3</v>
      </c>
      <c r="U213" s="35">
        <v>0</v>
      </c>
      <c r="V213" s="35">
        <v>0</v>
      </c>
    </row>
    <row r="214" spans="1:22">
      <c r="A214" s="7" t="s">
        <v>69</v>
      </c>
      <c r="B214" s="8">
        <v>-0.14897154656832046</v>
      </c>
      <c r="C214" s="8">
        <v>0.84725762547333594</v>
      </c>
      <c r="D214" s="8">
        <v>-1.9759438806851826E-2</v>
      </c>
      <c r="E214" s="7">
        <v>0</v>
      </c>
      <c r="F214" s="7">
        <v>-1.4990516053215155E-2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3">
        <f t="shared" si="31"/>
        <v>-4.733599018362962E-4</v>
      </c>
      <c r="M214" s="3">
        <v>-0.14899999999999999</v>
      </c>
      <c r="N214" s="3">
        <v>0.84799999999999998</v>
      </c>
      <c r="O214" s="3">
        <v>-0.02</v>
      </c>
      <c r="P214" s="35">
        <v>0</v>
      </c>
      <c r="Q214" s="35">
        <v>-1.49698E-2</v>
      </c>
      <c r="R214" s="35">
        <v>0</v>
      </c>
      <c r="S214" s="35">
        <v>-4.76502E-3</v>
      </c>
      <c r="T214" s="35">
        <v>0</v>
      </c>
      <c r="U214" s="35">
        <v>4.76502E-3</v>
      </c>
      <c r="V214" s="35">
        <v>0</v>
      </c>
    </row>
    <row r="215" spans="1:22">
      <c r="A215" s="7"/>
      <c r="B215" s="8">
        <v>1.2284177840385118</v>
      </c>
      <c r="C215" s="8">
        <v>2.3993580133895418</v>
      </c>
      <c r="D215" s="8">
        <v>-0.6756623603325641</v>
      </c>
      <c r="E215" s="7">
        <v>0</v>
      </c>
      <c r="F215" s="7">
        <v>0</v>
      </c>
      <c r="G215" s="7">
        <v>-1.4990516053215155E-2</v>
      </c>
      <c r="H215" s="7">
        <v>0</v>
      </c>
      <c r="I215" s="7">
        <v>0</v>
      </c>
      <c r="J215" s="7">
        <v>0</v>
      </c>
      <c r="K215" s="7">
        <v>0</v>
      </c>
      <c r="L215" s="3">
        <f t="shared" si="31"/>
        <v>-8.8656290451050168E-4</v>
      </c>
      <c r="M215" s="3">
        <v>1.2290000000000001</v>
      </c>
      <c r="N215" s="3">
        <v>2.4</v>
      </c>
      <c r="O215" s="3">
        <v>-0.67600000000000005</v>
      </c>
      <c r="P215" s="35">
        <v>0</v>
      </c>
      <c r="Q215" s="35">
        <v>0</v>
      </c>
      <c r="R215" s="35">
        <v>-1.49698E-2</v>
      </c>
      <c r="S215" s="35">
        <v>-4.76502E-3</v>
      </c>
      <c r="T215" s="35">
        <v>0</v>
      </c>
      <c r="U215" s="35">
        <v>0</v>
      </c>
      <c r="V215" s="35">
        <v>4.76502E-3</v>
      </c>
    </row>
    <row r="216" spans="1:22">
      <c r="A216" s="7"/>
      <c r="B216" s="8"/>
      <c r="C216" s="8"/>
      <c r="D216" s="8"/>
      <c r="E216" s="7"/>
      <c r="F216" s="7"/>
      <c r="G216" s="7"/>
      <c r="H216" s="7"/>
      <c r="I216" s="7"/>
      <c r="J216" s="7"/>
      <c r="K216" s="7"/>
    </row>
    <row r="217" spans="1:22">
      <c r="A217" s="7"/>
      <c r="B217" s="8">
        <v>2.2957880185781296</v>
      </c>
      <c r="C217" s="8">
        <v>-8.2263663034425338E-3</v>
      </c>
      <c r="D217" s="8">
        <v>3.3137218009327896E-2</v>
      </c>
      <c r="E217" s="7">
        <v>-1.4990516053215155E-2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3">
        <f t="shared" ref="L217" si="36">B217-M217+C217-N217+D217-O217</f>
        <v>-3.0112971598481725E-4</v>
      </c>
      <c r="M217" s="3">
        <v>2.2959999999999998</v>
      </c>
      <c r="N217" s="3">
        <v>-8.0000000000000002E-3</v>
      </c>
      <c r="O217" s="3">
        <v>3.3000000000000002E-2</v>
      </c>
      <c r="P217" s="35">
        <v>-1.49698E-2</v>
      </c>
      <c r="Q217" s="35">
        <v>0</v>
      </c>
      <c r="R217" s="35">
        <v>0</v>
      </c>
      <c r="S217" s="35">
        <v>-4.76502E-3</v>
      </c>
      <c r="T217" s="35">
        <v>4.76502E-3</v>
      </c>
      <c r="U217" s="35">
        <v>0</v>
      </c>
      <c r="V217" s="35">
        <v>0</v>
      </c>
    </row>
    <row r="218" spans="1:22">
      <c r="A218" s="7" t="s">
        <v>70</v>
      </c>
      <c r="B218" s="8">
        <v>2.6959782234951333</v>
      </c>
      <c r="C218" s="8">
        <v>1.0757798809975587</v>
      </c>
      <c r="D218" s="8">
        <v>4.997772423355884E-2</v>
      </c>
      <c r="E218" s="7">
        <v>0</v>
      </c>
      <c r="F218" s="7">
        <v>-1.4990516053215155E-2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3">
        <f t="shared" si="28"/>
        <v>-2.6417127374940563E-4</v>
      </c>
      <c r="M218" s="3">
        <v>2.6960000000000002</v>
      </c>
      <c r="N218" s="3">
        <v>1.0760000000000001</v>
      </c>
      <c r="O218" s="3">
        <v>0.05</v>
      </c>
      <c r="P218" s="35">
        <v>0</v>
      </c>
      <c r="Q218" s="35">
        <v>-1.49698E-2</v>
      </c>
      <c r="R218" s="35">
        <v>0</v>
      </c>
      <c r="S218" s="35">
        <v>-4.76502E-3</v>
      </c>
      <c r="T218" s="35">
        <v>0</v>
      </c>
      <c r="U218" s="35">
        <v>4.76502E-3</v>
      </c>
      <c r="V218" s="35">
        <v>0</v>
      </c>
    </row>
    <row r="219" spans="1:22">
      <c r="A219" s="7"/>
      <c r="B219" s="8">
        <v>0.21871711292247331</v>
      </c>
      <c r="C219" s="8">
        <v>2.1363371502498802</v>
      </c>
      <c r="D219" s="8">
        <v>8.9790398854103559E-2</v>
      </c>
      <c r="E219" s="7">
        <v>0</v>
      </c>
      <c r="F219" s="7">
        <v>0</v>
      </c>
      <c r="G219" s="7">
        <v>-1.4990516053215155E-2</v>
      </c>
      <c r="H219" s="7">
        <v>0</v>
      </c>
      <c r="I219" s="7">
        <v>0</v>
      </c>
      <c r="J219" s="7">
        <v>0</v>
      </c>
      <c r="K219" s="7">
        <v>0</v>
      </c>
      <c r="L219" s="3">
        <f t="shared" si="28"/>
        <v>-1.1553379735430858E-3</v>
      </c>
      <c r="M219" s="3">
        <v>0.219</v>
      </c>
      <c r="N219" s="3">
        <v>2.137</v>
      </c>
      <c r="O219" s="3">
        <v>0.09</v>
      </c>
      <c r="P219" s="35">
        <v>0</v>
      </c>
      <c r="Q219" s="35">
        <v>0</v>
      </c>
      <c r="R219" s="35">
        <v>-1.49698E-2</v>
      </c>
      <c r="S219" s="35">
        <v>-4.76502E-3</v>
      </c>
      <c r="T219" s="35">
        <v>0</v>
      </c>
      <c r="U219" s="35">
        <v>0</v>
      </c>
      <c r="V219" s="35">
        <v>4.76502E-3</v>
      </c>
    </row>
    <row r="220" spans="1:22">
      <c r="A220" s="7"/>
      <c r="B220" s="8"/>
      <c r="C220" s="8"/>
      <c r="D220" s="8"/>
      <c r="E220" s="7"/>
      <c r="F220" s="7"/>
      <c r="G220" s="7"/>
      <c r="H220" s="7"/>
      <c r="I220" s="7"/>
      <c r="J220" s="7"/>
      <c r="K220" s="7"/>
    </row>
    <row r="221" spans="1:22">
      <c r="A221" s="7"/>
      <c r="B221" s="8">
        <v>2.2957880185781296</v>
      </c>
      <c r="C221" s="8">
        <v>-8.2263663034425338E-3</v>
      </c>
      <c r="D221" s="8">
        <v>3.3137218009327896E-2</v>
      </c>
      <c r="E221" s="7">
        <v>-1.4990516053215155E-2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3">
        <f t="shared" si="31"/>
        <v>-3.0112971598481725E-4</v>
      </c>
      <c r="M221" s="3">
        <v>2.2959999999999998</v>
      </c>
      <c r="N221" s="3">
        <v>-8.0000000000000002E-3</v>
      </c>
      <c r="O221" s="3">
        <v>3.3000000000000002E-2</v>
      </c>
      <c r="P221" s="35">
        <v>-1.49698E-2</v>
      </c>
      <c r="Q221" s="35">
        <v>0</v>
      </c>
      <c r="R221" s="35">
        <v>0</v>
      </c>
      <c r="S221" s="35">
        <v>-4.76502E-3</v>
      </c>
      <c r="T221" s="35">
        <v>4.76502E-3</v>
      </c>
      <c r="U221" s="35">
        <v>0</v>
      </c>
      <c r="V221" s="35">
        <v>0</v>
      </c>
    </row>
    <row r="222" spans="1:22">
      <c r="A222" s="7" t="s">
        <v>71</v>
      </c>
      <c r="B222" s="8">
        <v>2.6959782234951333</v>
      </c>
      <c r="C222" s="8">
        <v>1.0757798809975587</v>
      </c>
      <c r="D222" s="8">
        <v>4.997772423355884E-2</v>
      </c>
      <c r="E222" s="7">
        <v>0</v>
      </c>
      <c r="F222" s="7">
        <v>-1.4990516053215155E-2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3">
        <f t="shared" si="31"/>
        <v>-2.6417127374940563E-4</v>
      </c>
      <c r="M222" s="3">
        <v>2.6960000000000002</v>
      </c>
      <c r="N222" s="3">
        <v>1.0760000000000001</v>
      </c>
      <c r="O222" s="3">
        <v>0.05</v>
      </c>
      <c r="P222" s="35">
        <v>0</v>
      </c>
      <c r="Q222" s="35">
        <v>-1.49698E-2</v>
      </c>
      <c r="R222" s="35">
        <v>0</v>
      </c>
      <c r="S222" s="35">
        <v>-4.76502E-3</v>
      </c>
      <c r="T222" s="35">
        <v>0</v>
      </c>
      <c r="U222" s="35">
        <v>4.76502E-3</v>
      </c>
      <c r="V222" s="35">
        <v>0</v>
      </c>
    </row>
    <row r="223" spans="1:22">
      <c r="A223" s="7"/>
      <c r="B223" s="8">
        <v>1.8375474863113905</v>
      </c>
      <c r="C223" s="8">
        <v>2.1167426559988707</v>
      </c>
      <c r="D223" s="8">
        <v>1.2367606559382516E-2</v>
      </c>
      <c r="E223" s="7">
        <v>0</v>
      </c>
      <c r="F223" s="7">
        <v>0</v>
      </c>
      <c r="G223" s="7">
        <v>-1.4990516053215155E-2</v>
      </c>
      <c r="H223" s="7">
        <v>0</v>
      </c>
      <c r="I223" s="7">
        <v>0</v>
      </c>
      <c r="J223" s="7">
        <v>0</v>
      </c>
      <c r="K223" s="7">
        <v>0</v>
      </c>
      <c r="L223" s="3">
        <f t="shared" si="31"/>
        <v>-3.4225113035634205E-4</v>
      </c>
      <c r="M223" s="3">
        <v>1.8380000000000001</v>
      </c>
      <c r="N223" s="3">
        <v>2.117</v>
      </c>
      <c r="O223" s="3">
        <v>1.2E-2</v>
      </c>
      <c r="P223" s="35">
        <v>0</v>
      </c>
      <c r="Q223" s="35">
        <v>0</v>
      </c>
      <c r="R223" s="35">
        <v>-1.49698E-2</v>
      </c>
      <c r="S223" s="35">
        <v>-4.76502E-3</v>
      </c>
      <c r="T223" s="35">
        <v>0</v>
      </c>
      <c r="U223" s="35">
        <v>0</v>
      </c>
      <c r="V223" s="35">
        <v>4.76502E-3</v>
      </c>
    </row>
    <row r="224" spans="1:22">
      <c r="A224" s="7"/>
      <c r="B224" s="8"/>
      <c r="C224" s="8"/>
      <c r="D224" s="8"/>
      <c r="E224" s="7"/>
      <c r="F224" s="7"/>
      <c r="G224" s="7"/>
      <c r="H224" s="7"/>
      <c r="I224" s="7"/>
      <c r="J224" s="7"/>
      <c r="K224" s="7"/>
    </row>
    <row r="225" spans="1:22">
      <c r="A225" s="7"/>
      <c r="B225" s="8">
        <v>2.2957880185781296</v>
      </c>
      <c r="C225" s="8">
        <v>-8.2263663034425338E-3</v>
      </c>
      <c r="D225" s="8">
        <v>3.3137218009327896E-2</v>
      </c>
      <c r="E225" s="7">
        <v>-1.4990516053215155E-2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3">
        <f t="shared" si="29"/>
        <v>-3.0112971598481725E-4</v>
      </c>
      <c r="M225" s="3">
        <v>2.2959999999999998</v>
      </c>
      <c r="N225" s="3">
        <v>-8.0000000000000002E-3</v>
      </c>
      <c r="O225" s="3">
        <v>3.3000000000000002E-2</v>
      </c>
      <c r="P225" s="35">
        <v>-1.49698E-2</v>
      </c>
      <c r="Q225" s="35">
        <v>0</v>
      </c>
      <c r="R225" s="35">
        <v>0</v>
      </c>
      <c r="S225" s="35">
        <v>-4.76502E-3</v>
      </c>
      <c r="T225" s="35">
        <v>4.76502E-3</v>
      </c>
      <c r="U225" s="35">
        <v>0</v>
      </c>
      <c r="V225" s="35">
        <v>0</v>
      </c>
    </row>
    <row r="226" spans="1:22">
      <c r="A226" s="7" t="s">
        <v>72</v>
      </c>
      <c r="B226" s="8">
        <v>2.6959782234951333</v>
      </c>
      <c r="C226" s="8">
        <v>1.0757798809975587</v>
      </c>
      <c r="D226" s="8">
        <v>4.997772423355884E-2</v>
      </c>
      <c r="E226" s="7">
        <v>0</v>
      </c>
      <c r="F226" s="7">
        <v>-1.4990516053215155E-2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3">
        <f t="shared" si="31"/>
        <v>-2.6417127374940563E-4</v>
      </c>
      <c r="M226" s="3">
        <v>2.6960000000000002</v>
      </c>
      <c r="N226" s="3">
        <v>1.0760000000000001</v>
      </c>
      <c r="O226" s="3">
        <v>0.05</v>
      </c>
      <c r="P226" s="35">
        <v>0</v>
      </c>
      <c r="Q226" s="35">
        <v>-1.49698E-2</v>
      </c>
      <c r="R226" s="35">
        <v>0</v>
      </c>
      <c r="S226" s="35">
        <v>-4.76502E-3</v>
      </c>
      <c r="T226" s="35">
        <v>0</v>
      </c>
      <c r="U226" s="35">
        <v>4.76502E-3</v>
      </c>
      <c r="V226" s="35">
        <v>0</v>
      </c>
    </row>
    <row r="227" spans="1:22">
      <c r="A227" s="7"/>
      <c r="B227" s="8">
        <v>1.2284177840385118</v>
      </c>
      <c r="C227" s="8">
        <v>2.3993580133895418</v>
      </c>
      <c r="D227" s="8">
        <v>-0.6756623603325641</v>
      </c>
      <c r="E227" s="7">
        <v>0</v>
      </c>
      <c r="F227" s="7">
        <v>0</v>
      </c>
      <c r="G227" s="7">
        <v>-1.4990516053215155E-2</v>
      </c>
      <c r="H227" s="7">
        <v>0</v>
      </c>
      <c r="I227" s="7">
        <v>0</v>
      </c>
      <c r="J227" s="7">
        <v>0</v>
      </c>
      <c r="K227" s="7">
        <v>0</v>
      </c>
      <c r="L227" s="3">
        <f t="shared" si="31"/>
        <v>-8.8656290451050168E-4</v>
      </c>
      <c r="M227" s="3">
        <v>1.2290000000000001</v>
      </c>
      <c r="N227" s="3">
        <v>2.4</v>
      </c>
      <c r="O227" s="3">
        <v>-0.67600000000000005</v>
      </c>
      <c r="P227" s="35">
        <v>0</v>
      </c>
      <c r="Q227" s="35">
        <v>0</v>
      </c>
      <c r="R227" s="35">
        <v>-1.49698E-2</v>
      </c>
      <c r="S227" s="35">
        <v>-4.76502E-3</v>
      </c>
      <c r="T227" s="35">
        <v>0</v>
      </c>
      <c r="U227" s="35">
        <v>0</v>
      </c>
      <c r="V227" s="35">
        <v>4.76502E-3</v>
      </c>
    </row>
    <row r="228" spans="1:22">
      <c r="A228" s="7"/>
      <c r="B228" s="8"/>
      <c r="C228" s="8"/>
      <c r="D228" s="8"/>
      <c r="E228" s="7"/>
      <c r="F228" s="7"/>
      <c r="G228" s="7"/>
      <c r="H228" s="7"/>
      <c r="I228" s="7"/>
      <c r="J228" s="7"/>
      <c r="K228" s="7"/>
    </row>
    <row r="229" spans="1:22">
      <c r="A229" s="7"/>
      <c r="B229" s="8">
        <v>2.2957880185781296</v>
      </c>
      <c r="C229" s="8">
        <v>-8.2263663034425338E-3</v>
      </c>
      <c r="D229" s="8">
        <v>3.3137218009327896E-2</v>
      </c>
      <c r="E229" s="7">
        <v>-1.4990516053215155E-2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3">
        <f t="shared" si="30"/>
        <v>-3.0112971598481725E-4</v>
      </c>
      <c r="M229" s="3">
        <v>2.2959999999999998</v>
      </c>
      <c r="N229" s="3">
        <v>-8.0000000000000002E-3</v>
      </c>
      <c r="O229" s="3">
        <v>3.3000000000000002E-2</v>
      </c>
      <c r="P229" s="35">
        <v>-1.49698E-2</v>
      </c>
      <c r="Q229" s="35">
        <v>0</v>
      </c>
      <c r="R229" s="35">
        <v>0</v>
      </c>
      <c r="S229" s="35">
        <v>-4.76502E-3</v>
      </c>
      <c r="T229" s="35">
        <v>4.76502E-3</v>
      </c>
      <c r="U229" s="35">
        <v>0</v>
      </c>
      <c r="V229" s="35">
        <v>0</v>
      </c>
    </row>
    <row r="230" spans="1:22">
      <c r="A230" s="7" t="s">
        <v>73</v>
      </c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-1.4990516053215155E-2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L230" s="3">
        <f t="shared" si="31"/>
        <v>-1.1553379735430858E-3</v>
      </c>
      <c r="M230" s="3">
        <v>0.219</v>
      </c>
      <c r="N230" s="3">
        <v>2.137</v>
      </c>
      <c r="O230" s="3">
        <v>0.09</v>
      </c>
      <c r="P230" s="35">
        <v>0</v>
      </c>
      <c r="Q230" s="35">
        <v>-1.49698E-2</v>
      </c>
      <c r="R230" s="35">
        <v>0</v>
      </c>
      <c r="S230" s="35">
        <v>-4.76502E-3</v>
      </c>
      <c r="T230" s="35">
        <v>0</v>
      </c>
      <c r="U230" s="35">
        <v>4.76502E-3</v>
      </c>
      <c r="V230" s="35">
        <v>0</v>
      </c>
    </row>
    <row r="231" spans="1:22">
      <c r="A231" s="7"/>
      <c r="B231" s="8">
        <v>1.8375474863113905</v>
      </c>
      <c r="C231" s="8">
        <v>2.1167426559988707</v>
      </c>
      <c r="D231" s="8">
        <v>1.2367606559382516E-2</v>
      </c>
      <c r="E231" s="7">
        <v>0</v>
      </c>
      <c r="F231" s="7">
        <v>0</v>
      </c>
      <c r="G231" s="7">
        <v>-1.4990516053215155E-2</v>
      </c>
      <c r="H231" s="7">
        <v>0</v>
      </c>
      <c r="I231" s="7">
        <v>0</v>
      </c>
      <c r="J231" s="7">
        <v>0</v>
      </c>
      <c r="K231" s="7">
        <v>0</v>
      </c>
      <c r="L231" s="3">
        <f t="shared" si="31"/>
        <v>-3.4225113035634205E-4</v>
      </c>
      <c r="M231" s="3">
        <v>1.8380000000000001</v>
      </c>
      <c r="N231" s="3">
        <v>2.117</v>
      </c>
      <c r="O231" s="3">
        <v>1.2E-2</v>
      </c>
      <c r="P231" s="35">
        <v>0</v>
      </c>
      <c r="Q231" s="35">
        <v>0</v>
      </c>
      <c r="R231" s="35">
        <v>-1.49698E-2</v>
      </c>
      <c r="S231" s="35">
        <v>-4.76502E-3</v>
      </c>
      <c r="T231" s="35">
        <v>0</v>
      </c>
      <c r="U231" s="35">
        <v>0</v>
      </c>
      <c r="V231" s="35">
        <v>4.76502E-3</v>
      </c>
    </row>
    <row r="232" spans="1:22">
      <c r="A232" s="7"/>
      <c r="B232" s="8"/>
      <c r="C232" s="8"/>
      <c r="D232" s="8"/>
      <c r="E232" s="7"/>
      <c r="F232" s="7"/>
      <c r="G232" s="7"/>
      <c r="H232" s="7"/>
      <c r="I232" s="7"/>
      <c r="J232" s="7"/>
      <c r="K232" s="7"/>
    </row>
    <row r="233" spans="1:22">
      <c r="A233" s="7"/>
      <c r="B233" s="8">
        <v>2.2957880185781296</v>
      </c>
      <c r="C233" s="8">
        <v>-8.2263663034425338E-3</v>
      </c>
      <c r="D233" s="8">
        <v>3.3137218009327896E-2</v>
      </c>
      <c r="E233" s="7">
        <v>-1.4990516053215155E-2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3">
        <f t="shared" si="31"/>
        <v>-3.0112971598481725E-4</v>
      </c>
      <c r="M233" s="3">
        <v>2.2959999999999998</v>
      </c>
      <c r="N233" s="3">
        <v>-8.0000000000000002E-3</v>
      </c>
      <c r="O233" s="3">
        <v>3.3000000000000002E-2</v>
      </c>
      <c r="P233" s="35">
        <v>-1.49698E-2</v>
      </c>
      <c r="Q233" s="35">
        <v>0</v>
      </c>
      <c r="R233" s="35">
        <v>0</v>
      </c>
      <c r="S233" s="35">
        <v>-4.76502E-3</v>
      </c>
      <c r="T233" s="35">
        <v>4.76502E-3</v>
      </c>
      <c r="U233" s="35">
        <v>0</v>
      </c>
      <c r="V233" s="35">
        <v>0</v>
      </c>
    </row>
    <row r="234" spans="1:22">
      <c r="A234" s="7" t="s">
        <v>74</v>
      </c>
      <c r="B234" s="8">
        <v>0.21871711292247331</v>
      </c>
      <c r="C234" s="8">
        <v>2.1363371502498802</v>
      </c>
      <c r="D234" s="8">
        <v>8.9790398854103559E-2</v>
      </c>
      <c r="E234" s="7">
        <v>0</v>
      </c>
      <c r="F234" s="7">
        <v>-1.4990516053215155E-2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3">
        <f t="shared" si="31"/>
        <v>-1.1553379735430858E-3</v>
      </c>
      <c r="M234" s="3">
        <v>0.219</v>
      </c>
      <c r="N234" s="3">
        <v>2.137</v>
      </c>
      <c r="O234" s="3">
        <v>0.09</v>
      </c>
      <c r="P234" s="35">
        <v>0</v>
      </c>
      <c r="Q234" s="35">
        <v>-1.49698E-2</v>
      </c>
      <c r="R234" s="35">
        <v>0</v>
      </c>
      <c r="S234" s="35">
        <v>-4.76502E-3</v>
      </c>
      <c r="T234" s="35">
        <v>0</v>
      </c>
      <c r="U234" s="35">
        <v>4.76502E-3</v>
      </c>
      <c r="V234" s="35">
        <v>0</v>
      </c>
    </row>
    <row r="235" spans="1:22">
      <c r="A235" s="7"/>
      <c r="B235" s="8">
        <v>1.2284177840385118</v>
      </c>
      <c r="C235" s="8">
        <v>2.3993580133895418</v>
      </c>
      <c r="D235" s="8">
        <v>-0.6756623603325641</v>
      </c>
      <c r="E235" s="7">
        <v>0</v>
      </c>
      <c r="F235" s="7">
        <v>0</v>
      </c>
      <c r="G235" s="7">
        <v>-1.4990516053215155E-2</v>
      </c>
      <c r="H235" s="7">
        <v>0</v>
      </c>
      <c r="I235" s="7">
        <v>0</v>
      </c>
      <c r="J235" s="7">
        <v>0</v>
      </c>
      <c r="K235" s="7">
        <v>0</v>
      </c>
      <c r="L235" s="3">
        <f t="shared" si="31"/>
        <v>-8.8656290451050168E-4</v>
      </c>
      <c r="M235" s="3">
        <v>1.2290000000000001</v>
      </c>
      <c r="N235" s="3">
        <v>2.4</v>
      </c>
      <c r="O235" s="3">
        <v>-0.67600000000000005</v>
      </c>
      <c r="P235" s="35">
        <v>0</v>
      </c>
      <c r="Q235" s="35">
        <v>0</v>
      </c>
      <c r="R235" s="35">
        <v>-1.49698E-2</v>
      </c>
      <c r="S235" s="35">
        <v>-4.76502E-3</v>
      </c>
      <c r="T235" s="35">
        <v>0</v>
      </c>
      <c r="U235" s="35">
        <v>0</v>
      </c>
      <c r="V235" s="35">
        <v>4.76502E-3</v>
      </c>
    </row>
    <row r="236" spans="1:22">
      <c r="A236" s="7"/>
      <c r="B236" s="8"/>
      <c r="C236" s="8"/>
      <c r="D236" s="8"/>
      <c r="E236" s="7"/>
      <c r="F236" s="7"/>
      <c r="G236" s="7"/>
      <c r="H236" s="7"/>
      <c r="I236" s="7"/>
      <c r="J236" s="7"/>
      <c r="K236" s="7"/>
    </row>
    <row r="237" spans="1:22">
      <c r="A237" s="7"/>
      <c r="B237" s="8">
        <v>2.2957880185781296</v>
      </c>
      <c r="C237" s="8">
        <v>-8.2263663034425338E-3</v>
      </c>
      <c r="D237" s="8">
        <v>3.3137218009327896E-2</v>
      </c>
      <c r="E237" s="7">
        <v>-1.4990516053215155E-2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3">
        <f t="shared" si="32"/>
        <v>-3.0112971598481725E-4</v>
      </c>
      <c r="M237" s="3">
        <v>2.2959999999999998</v>
      </c>
      <c r="N237" s="3">
        <v>-8.0000000000000002E-3</v>
      </c>
      <c r="O237" s="3">
        <v>3.3000000000000002E-2</v>
      </c>
      <c r="P237" s="35">
        <v>-1.49698E-2</v>
      </c>
      <c r="Q237" s="35">
        <v>0</v>
      </c>
      <c r="R237" s="35">
        <v>0</v>
      </c>
      <c r="S237" s="35">
        <v>-4.76502E-3</v>
      </c>
      <c r="T237" s="35">
        <v>4.76502E-3</v>
      </c>
      <c r="U237" s="35">
        <v>0</v>
      </c>
      <c r="V237" s="35">
        <v>0</v>
      </c>
    </row>
    <row r="238" spans="1:22">
      <c r="A238" s="7" t="s">
        <v>75</v>
      </c>
      <c r="B238" s="8">
        <v>1.8375474863113905</v>
      </c>
      <c r="C238" s="8">
        <v>2.1167426559988707</v>
      </c>
      <c r="D238" s="8">
        <v>1.2367606559382516E-2</v>
      </c>
      <c r="E238" s="7">
        <v>0</v>
      </c>
      <c r="F238" s="7">
        <v>-1.4990516053215155E-2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3">
        <f t="shared" si="31"/>
        <v>-3.4225113035634205E-4</v>
      </c>
      <c r="M238" s="3">
        <v>1.8380000000000001</v>
      </c>
      <c r="N238" s="3">
        <v>2.117</v>
      </c>
      <c r="O238" s="3">
        <v>1.2E-2</v>
      </c>
      <c r="P238" s="35">
        <v>0</v>
      </c>
      <c r="Q238" s="35">
        <v>-1.49698E-2</v>
      </c>
      <c r="R238" s="35">
        <v>0</v>
      </c>
      <c r="S238" s="35">
        <v>-4.76502E-3</v>
      </c>
      <c r="T238" s="35">
        <v>0</v>
      </c>
      <c r="U238" s="35">
        <v>4.76502E-3</v>
      </c>
      <c r="V238" s="35">
        <v>0</v>
      </c>
    </row>
    <row r="239" spans="1:22">
      <c r="A239" s="7"/>
      <c r="B239" s="8">
        <v>1.2284177840385118</v>
      </c>
      <c r="C239" s="8">
        <v>2.3993580133895418</v>
      </c>
      <c r="D239" s="8">
        <v>-0.6756623603325641</v>
      </c>
      <c r="E239" s="7">
        <v>0</v>
      </c>
      <c r="F239" s="7">
        <v>0</v>
      </c>
      <c r="G239" s="7">
        <v>-1.4990516053215155E-2</v>
      </c>
      <c r="H239" s="7">
        <v>0</v>
      </c>
      <c r="I239" s="7">
        <v>0</v>
      </c>
      <c r="J239" s="7">
        <v>0</v>
      </c>
      <c r="K239" s="7">
        <v>0</v>
      </c>
      <c r="L239" s="3">
        <f t="shared" si="31"/>
        <v>-8.8656290451050168E-4</v>
      </c>
      <c r="M239" s="3">
        <v>1.2290000000000001</v>
      </c>
      <c r="N239" s="3">
        <v>2.4</v>
      </c>
      <c r="O239" s="3">
        <v>-0.67600000000000005</v>
      </c>
      <c r="P239" s="35">
        <v>0</v>
      </c>
      <c r="Q239" s="35">
        <v>0</v>
      </c>
      <c r="R239" s="35">
        <v>-1.49698E-2</v>
      </c>
      <c r="S239" s="35">
        <v>-4.76502E-3</v>
      </c>
      <c r="T239" s="35">
        <v>0</v>
      </c>
      <c r="U239" s="35">
        <v>0</v>
      </c>
      <c r="V239" s="35">
        <v>4.76502E-3</v>
      </c>
    </row>
    <row r="240" spans="1:22">
      <c r="A240" s="7"/>
      <c r="B240" s="8"/>
      <c r="C240" s="8"/>
      <c r="D240" s="8"/>
      <c r="E240" s="7"/>
      <c r="F240" s="7"/>
      <c r="G240" s="7"/>
      <c r="H240" s="7"/>
      <c r="I240" s="7"/>
      <c r="J240" s="7"/>
      <c r="K240" s="7"/>
    </row>
    <row r="241" spans="1:22">
      <c r="A241" s="7"/>
      <c r="B241" s="8">
        <v>-0.14897154656832046</v>
      </c>
      <c r="C241" s="8">
        <v>0.84725762547333594</v>
      </c>
      <c r="D241" s="8">
        <v>-1.9759438806851826E-2</v>
      </c>
      <c r="E241" s="7">
        <v>-1.4990516053215155E-2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3">
        <f t="shared" si="33"/>
        <v>-4.733599018362962E-4</v>
      </c>
      <c r="M241" s="3">
        <v>-0.14899999999999999</v>
      </c>
      <c r="N241" s="3">
        <v>0.84799999999999998</v>
      </c>
      <c r="O241" s="3">
        <v>-0.02</v>
      </c>
      <c r="P241" s="35">
        <v>-1.49698E-2</v>
      </c>
      <c r="Q241" s="35">
        <v>0</v>
      </c>
      <c r="R241" s="35">
        <v>0</v>
      </c>
      <c r="S241" s="35">
        <v>-4.76502E-3</v>
      </c>
      <c r="T241" s="35">
        <v>4.76502E-3</v>
      </c>
      <c r="U241" s="35">
        <v>0</v>
      </c>
      <c r="V241" s="35">
        <v>0</v>
      </c>
    </row>
    <row r="242" spans="1:22">
      <c r="A242" s="7" t="s">
        <v>76</v>
      </c>
      <c r="B242" s="8">
        <v>2.6959782234951333</v>
      </c>
      <c r="C242" s="8">
        <v>1.0757798809975587</v>
      </c>
      <c r="D242" s="8">
        <v>4.997772423355884E-2</v>
      </c>
      <c r="E242" s="7">
        <v>0</v>
      </c>
      <c r="F242" s="7">
        <v>-1.4990516053215155E-2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3">
        <f t="shared" si="31"/>
        <v>-2.6417127374940563E-4</v>
      </c>
      <c r="M242" s="3">
        <v>2.6960000000000002</v>
      </c>
      <c r="N242" s="3">
        <v>1.0760000000000001</v>
      </c>
      <c r="O242" s="3">
        <v>0.05</v>
      </c>
      <c r="P242" s="35">
        <v>0</v>
      </c>
      <c r="Q242" s="35">
        <v>-1.49698E-2</v>
      </c>
      <c r="R242" s="35">
        <v>0</v>
      </c>
      <c r="S242" s="35">
        <v>-4.76502E-3</v>
      </c>
      <c r="T242" s="35">
        <v>0</v>
      </c>
      <c r="U242" s="35">
        <v>4.76502E-3</v>
      </c>
      <c r="V242" s="35">
        <v>0</v>
      </c>
    </row>
    <row r="243" spans="1:22">
      <c r="A243" s="7"/>
      <c r="B243" s="8">
        <v>0.21871711292247331</v>
      </c>
      <c r="C243" s="8">
        <v>2.1363371502498802</v>
      </c>
      <c r="D243" s="8">
        <v>8.9790398854103559E-2</v>
      </c>
      <c r="E243" s="7">
        <v>0</v>
      </c>
      <c r="F243" s="7">
        <v>0</v>
      </c>
      <c r="G243" s="7">
        <v>-1.4990516053215155E-2</v>
      </c>
      <c r="H243" s="7">
        <v>0</v>
      </c>
      <c r="I243" s="7">
        <v>0</v>
      </c>
      <c r="J243" s="7">
        <v>0</v>
      </c>
      <c r="K243" s="7">
        <v>0</v>
      </c>
      <c r="L243" s="3">
        <f t="shared" si="31"/>
        <v>-1.1553379735430858E-3</v>
      </c>
      <c r="M243" s="3">
        <v>0.219</v>
      </c>
      <c r="N243" s="3">
        <v>2.137</v>
      </c>
      <c r="O243" s="3">
        <v>0.09</v>
      </c>
      <c r="P243" s="35">
        <v>0</v>
      </c>
      <c r="Q243" s="35">
        <v>0</v>
      </c>
      <c r="R243" s="35">
        <v>-1.49698E-2</v>
      </c>
      <c r="S243" s="35">
        <v>-4.76502E-3</v>
      </c>
      <c r="T243" s="35">
        <v>0</v>
      </c>
      <c r="U243" s="35">
        <v>0</v>
      </c>
      <c r="V243" s="35">
        <v>4.76502E-3</v>
      </c>
    </row>
    <row r="244" spans="1:22">
      <c r="A244" s="7"/>
      <c r="B244" s="8"/>
      <c r="C244" s="8"/>
      <c r="D244" s="8"/>
      <c r="E244" s="7"/>
      <c r="F244" s="7"/>
      <c r="G244" s="7"/>
      <c r="H244" s="7"/>
      <c r="I244" s="7"/>
      <c r="J244" s="7"/>
      <c r="K244" s="7"/>
    </row>
    <row r="245" spans="1:22">
      <c r="A245" s="7"/>
      <c r="B245" s="8">
        <v>-0.14897154656832046</v>
      </c>
      <c r="C245" s="8">
        <v>0.84725762547333594</v>
      </c>
      <c r="D245" s="8">
        <v>-1.9759438806851826E-2</v>
      </c>
      <c r="E245" s="7">
        <v>-1.4990516053215155E-2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3">
        <f t="shared" si="34"/>
        <v>-4.733599018362962E-4</v>
      </c>
      <c r="M245" s="3">
        <v>-0.14899999999999999</v>
      </c>
      <c r="N245" s="3">
        <v>0.84799999999999998</v>
      </c>
      <c r="O245" s="3">
        <v>-0.02</v>
      </c>
      <c r="P245" s="35">
        <v>-1.49698E-2</v>
      </c>
      <c r="Q245" s="35">
        <v>0</v>
      </c>
      <c r="R245" s="35">
        <v>0</v>
      </c>
      <c r="S245" s="35">
        <v>-4.76502E-3</v>
      </c>
      <c r="T245" s="35">
        <v>4.76502E-3</v>
      </c>
      <c r="U245" s="35">
        <v>0</v>
      </c>
      <c r="V245" s="35">
        <v>0</v>
      </c>
    </row>
    <row r="246" spans="1:22">
      <c r="A246" s="7" t="s">
        <v>77</v>
      </c>
      <c r="B246" s="8">
        <v>2.6959782234951333</v>
      </c>
      <c r="C246" s="8">
        <v>1.0757798809975587</v>
      </c>
      <c r="D246" s="8">
        <v>4.997772423355884E-2</v>
      </c>
      <c r="E246" s="7">
        <v>0</v>
      </c>
      <c r="F246" s="7">
        <v>-1.4990516053215155E-2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3">
        <f t="shared" si="31"/>
        <v>-2.6417127374940563E-4</v>
      </c>
      <c r="M246" s="3">
        <v>2.6960000000000002</v>
      </c>
      <c r="N246" s="3">
        <v>1.0760000000000001</v>
      </c>
      <c r="O246" s="3">
        <v>0.05</v>
      </c>
      <c r="P246" s="35">
        <v>0</v>
      </c>
      <c r="Q246" s="35">
        <v>-1.49698E-2</v>
      </c>
      <c r="R246" s="35">
        <v>0</v>
      </c>
      <c r="S246" s="35">
        <v>-4.76502E-3</v>
      </c>
      <c r="T246" s="35">
        <v>0</v>
      </c>
      <c r="U246" s="35">
        <v>4.76502E-3</v>
      </c>
      <c r="V246" s="35">
        <v>0</v>
      </c>
    </row>
    <row r="247" spans="1:22">
      <c r="A247" s="7"/>
      <c r="B247" s="8">
        <v>1.8375474863113905</v>
      </c>
      <c r="C247" s="8">
        <v>2.1167426559988707</v>
      </c>
      <c r="D247" s="8">
        <v>1.2367606559382516E-2</v>
      </c>
      <c r="E247" s="7">
        <v>0</v>
      </c>
      <c r="F247" s="7">
        <v>0</v>
      </c>
      <c r="G247" s="7">
        <v>-1.4990516053215155E-2</v>
      </c>
      <c r="H247" s="7">
        <v>0</v>
      </c>
      <c r="I247" s="7">
        <v>0</v>
      </c>
      <c r="J247" s="7">
        <v>0</v>
      </c>
      <c r="K247" s="7">
        <v>0</v>
      </c>
      <c r="L247" s="3">
        <f t="shared" si="31"/>
        <v>-3.4225113035634205E-4</v>
      </c>
      <c r="M247" s="3">
        <v>1.8380000000000001</v>
      </c>
      <c r="N247" s="3">
        <v>2.117</v>
      </c>
      <c r="O247" s="3">
        <v>1.2E-2</v>
      </c>
      <c r="P247" s="35">
        <v>0</v>
      </c>
      <c r="Q247" s="35">
        <v>0</v>
      </c>
      <c r="R247" s="35">
        <v>-1.49698E-2</v>
      </c>
      <c r="S247" s="35">
        <v>-4.76502E-3</v>
      </c>
      <c r="T247" s="35">
        <v>0</v>
      </c>
      <c r="U247" s="35">
        <v>0</v>
      </c>
      <c r="V247" s="35">
        <v>4.76502E-3</v>
      </c>
    </row>
    <row r="248" spans="1:22">
      <c r="A248" s="7"/>
      <c r="B248" s="8"/>
      <c r="C248" s="8"/>
      <c r="D248" s="8"/>
      <c r="E248" s="7"/>
      <c r="F248" s="7"/>
      <c r="G248" s="7"/>
      <c r="H248" s="7"/>
      <c r="I248" s="7"/>
      <c r="J248" s="7"/>
      <c r="K248" s="7"/>
    </row>
    <row r="249" spans="1:22">
      <c r="A249" s="7"/>
      <c r="B249" s="8">
        <v>-0.14897154656832046</v>
      </c>
      <c r="C249" s="8">
        <v>0.84725762547333594</v>
      </c>
      <c r="D249" s="8">
        <v>-1.9759438806851826E-2</v>
      </c>
      <c r="E249" s="7">
        <v>-1.4990516053215155E-2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3">
        <f t="shared" si="35"/>
        <v>-4.733599018362962E-4</v>
      </c>
      <c r="M249" s="3">
        <v>-0.14899999999999999</v>
      </c>
      <c r="N249" s="3">
        <v>0.84799999999999998</v>
      </c>
      <c r="O249" s="3">
        <v>-0.02</v>
      </c>
      <c r="P249" s="35">
        <v>-1.49698E-2</v>
      </c>
      <c r="Q249" s="35">
        <v>0</v>
      </c>
      <c r="R249" s="35">
        <v>0</v>
      </c>
      <c r="S249" s="35">
        <v>-4.76502E-3</v>
      </c>
      <c r="T249" s="35">
        <v>4.76502E-3</v>
      </c>
      <c r="U249" s="35">
        <v>0</v>
      </c>
      <c r="V249" s="35">
        <v>0</v>
      </c>
    </row>
    <row r="250" spans="1:22">
      <c r="A250" s="7" t="s">
        <v>78</v>
      </c>
      <c r="B250" s="8">
        <v>2.6959782234951333</v>
      </c>
      <c r="C250" s="8">
        <v>1.0757798809975587</v>
      </c>
      <c r="D250" s="8">
        <v>4.997772423355884E-2</v>
      </c>
      <c r="E250" s="7">
        <v>0</v>
      </c>
      <c r="F250" s="7">
        <v>-1.4990516053215155E-2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3">
        <f t="shared" si="31"/>
        <v>-2.6417127374940563E-4</v>
      </c>
      <c r="M250" s="3">
        <v>2.6960000000000002</v>
      </c>
      <c r="N250" s="3">
        <v>1.0760000000000001</v>
      </c>
      <c r="O250" s="3">
        <v>0.05</v>
      </c>
      <c r="P250" s="35">
        <v>0</v>
      </c>
      <c r="Q250" s="35">
        <v>-1.49698E-2</v>
      </c>
      <c r="R250" s="35">
        <v>0</v>
      </c>
      <c r="S250" s="35">
        <v>-4.76502E-3</v>
      </c>
      <c r="T250" s="35">
        <v>0</v>
      </c>
      <c r="U250" s="35">
        <v>4.76502E-3</v>
      </c>
      <c r="V250" s="35">
        <v>0</v>
      </c>
    </row>
    <row r="251" spans="1:22">
      <c r="A251" s="7"/>
      <c r="B251" s="8">
        <v>1.2284177840385118</v>
      </c>
      <c r="C251" s="8">
        <v>2.3993580133895418</v>
      </c>
      <c r="D251" s="8">
        <v>-0.6756623603325641</v>
      </c>
      <c r="E251" s="7">
        <v>0</v>
      </c>
      <c r="F251" s="7">
        <v>0</v>
      </c>
      <c r="G251" s="7">
        <v>-1.4990516053215155E-2</v>
      </c>
      <c r="H251" s="7">
        <v>0</v>
      </c>
      <c r="I251" s="7">
        <v>0</v>
      </c>
      <c r="J251" s="7">
        <v>0</v>
      </c>
      <c r="K251" s="7">
        <v>0</v>
      </c>
      <c r="L251" s="3">
        <f t="shared" si="31"/>
        <v>-8.8656290451050168E-4</v>
      </c>
      <c r="M251" s="3">
        <v>1.2290000000000001</v>
      </c>
      <c r="N251" s="3">
        <v>2.4</v>
      </c>
      <c r="O251" s="3">
        <v>-0.67600000000000005</v>
      </c>
      <c r="P251" s="35">
        <v>0</v>
      </c>
      <c r="Q251" s="35">
        <v>0</v>
      </c>
      <c r="R251" s="35">
        <v>-1.49698E-2</v>
      </c>
      <c r="S251" s="35">
        <v>-4.76502E-3</v>
      </c>
      <c r="T251" s="35">
        <v>0</v>
      </c>
      <c r="U251" s="35">
        <v>0</v>
      </c>
      <c r="V251" s="35">
        <v>4.76502E-3</v>
      </c>
    </row>
    <row r="252" spans="1:22">
      <c r="A252" s="7"/>
      <c r="B252" s="8"/>
      <c r="C252" s="8"/>
      <c r="D252" s="8"/>
      <c r="E252" s="7"/>
      <c r="F252" s="7"/>
      <c r="G252" s="7"/>
      <c r="H252" s="7"/>
      <c r="I252" s="7"/>
      <c r="J252" s="7"/>
      <c r="K252" s="7"/>
    </row>
    <row r="253" spans="1:22">
      <c r="A253" s="7"/>
      <c r="B253" s="8">
        <v>-0.14897154656832046</v>
      </c>
      <c r="C253" s="8">
        <v>0.84725762547333594</v>
      </c>
      <c r="D253" s="8">
        <v>-1.9759438806851826E-2</v>
      </c>
      <c r="E253" s="7">
        <v>-1.4990516053215155E-2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3">
        <f t="shared" ref="L253:L291" si="37">B253-M253+C253-N253+D253-O253</f>
        <v>-4.733599018362962E-4</v>
      </c>
      <c r="M253" s="3">
        <v>-0.14899999999999999</v>
      </c>
      <c r="N253" s="3">
        <v>0.84799999999999998</v>
      </c>
      <c r="O253" s="3">
        <v>-0.02</v>
      </c>
      <c r="P253" s="35">
        <v>-1.49698E-2</v>
      </c>
      <c r="Q253" s="35">
        <v>0</v>
      </c>
      <c r="R253" s="35">
        <v>0</v>
      </c>
      <c r="S253" s="35">
        <v>-4.76502E-3</v>
      </c>
      <c r="T253" s="35">
        <v>4.76502E-3</v>
      </c>
      <c r="U253" s="35">
        <v>0</v>
      </c>
      <c r="V253" s="35">
        <v>0</v>
      </c>
    </row>
    <row r="254" spans="1:22">
      <c r="A254" s="7" t="s">
        <v>79</v>
      </c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-1.4990516053215155E-2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3">
        <f t="shared" si="37"/>
        <v>-1.1553379735430858E-3</v>
      </c>
      <c r="M254" s="3">
        <v>0.219</v>
      </c>
      <c r="N254" s="3">
        <v>2.137</v>
      </c>
      <c r="O254" s="3">
        <v>0.09</v>
      </c>
      <c r="P254" s="35">
        <v>0</v>
      </c>
      <c r="Q254" s="35">
        <v>-1.49698E-2</v>
      </c>
      <c r="R254" s="35">
        <v>0</v>
      </c>
      <c r="S254" s="35">
        <v>-4.76502E-3</v>
      </c>
      <c r="T254" s="35">
        <v>0</v>
      </c>
      <c r="U254" s="35">
        <v>4.76502E-3</v>
      </c>
      <c r="V254" s="35">
        <v>0</v>
      </c>
    </row>
    <row r="255" spans="1:22">
      <c r="A255" s="7"/>
      <c r="B255" s="8">
        <v>1.8375474863113905</v>
      </c>
      <c r="C255" s="8">
        <v>2.1167426559988707</v>
      </c>
      <c r="D255" s="8">
        <v>1.2367606559382516E-2</v>
      </c>
      <c r="E255" s="7">
        <v>0</v>
      </c>
      <c r="F255" s="7">
        <v>0</v>
      </c>
      <c r="G255" s="7">
        <v>-1.4990516053215155E-2</v>
      </c>
      <c r="H255" s="7">
        <v>0</v>
      </c>
      <c r="I255" s="7">
        <v>0</v>
      </c>
      <c r="J255" s="7">
        <v>0</v>
      </c>
      <c r="K255" s="7">
        <v>0</v>
      </c>
      <c r="L255" s="3">
        <f t="shared" si="37"/>
        <v>-3.4225113035634205E-4</v>
      </c>
      <c r="M255" s="3">
        <v>1.8380000000000001</v>
      </c>
      <c r="N255" s="3">
        <v>2.117</v>
      </c>
      <c r="O255" s="3">
        <v>1.2E-2</v>
      </c>
      <c r="P255" s="35">
        <v>0</v>
      </c>
      <c r="Q255" s="35">
        <v>0</v>
      </c>
      <c r="R255" s="35">
        <v>-1.49698E-2</v>
      </c>
      <c r="S255" s="35">
        <v>-4.76502E-3</v>
      </c>
      <c r="T255" s="35">
        <v>0</v>
      </c>
      <c r="U255" s="35">
        <v>0</v>
      </c>
      <c r="V255" s="35">
        <v>4.76502E-3</v>
      </c>
    </row>
    <row r="256" spans="1:22">
      <c r="A256" s="7"/>
      <c r="B256" s="8"/>
      <c r="C256" s="8"/>
      <c r="D256" s="8"/>
      <c r="E256" s="7"/>
      <c r="F256" s="7"/>
      <c r="G256" s="7"/>
      <c r="H256" s="7"/>
      <c r="I256" s="7"/>
      <c r="J256" s="7"/>
      <c r="K256" s="7"/>
    </row>
    <row r="257" spans="1:22">
      <c r="A257" s="7"/>
      <c r="B257" s="8">
        <v>-0.14897154656832046</v>
      </c>
      <c r="C257" s="8">
        <v>0.84725762547333594</v>
      </c>
      <c r="D257" s="8">
        <v>-1.9759438806851826E-2</v>
      </c>
      <c r="E257" s="7">
        <v>-1.4990516053215155E-2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3">
        <f t="shared" si="31"/>
        <v>-4.733599018362962E-4</v>
      </c>
      <c r="M257" s="3">
        <v>-0.14899999999999999</v>
      </c>
      <c r="N257" s="3">
        <v>0.84799999999999998</v>
      </c>
      <c r="O257" s="3">
        <v>-0.02</v>
      </c>
      <c r="P257" s="35">
        <v>-1.49698E-2</v>
      </c>
      <c r="Q257" s="35">
        <v>0</v>
      </c>
      <c r="R257" s="35">
        <v>0</v>
      </c>
      <c r="S257" s="35">
        <v>-4.76502E-3</v>
      </c>
      <c r="T257" s="35">
        <v>4.76502E-3</v>
      </c>
      <c r="U257" s="35">
        <v>0</v>
      </c>
      <c r="V257" s="35">
        <v>0</v>
      </c>
    </row>
    <row r="258" spans="1:22">
      <c r="A258" s="7" t="s">
        <v>80</v>
      </c>
      <c r="B258" s="8">
        <v>0.21871711292247331</v>
      </c>
      <c r="C258" s="8">
        <v>2.1363371502498802</v>
      </c>
      <c r="D258" s="8">
        <v>8.9790398854103559E-2</v>
      </c>
      <c r="E258" s="7">
        <v>0</v>
      </c>
      <c r="F258" s="7">
        <v>-1.4990516053215155E-2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3">
        <f t="shared" si="31"/>
        <v>-1.1553379735430858E-3</v>
      </c>
      <c r="M258" s="3">
        <v>0.219</v>
      </c>
      <c r="N258" s="3">
        <v>2.137</v>
      </c>
      <c r="O258" s="3">
        <v>0.09</v>
      </c>
      <c r="P258" s="35">
        <v>0</v>
      </c>
      <c r="Q258" s="35">
        <v>-1.49698E-2</v>
      </c>
      <c r="R258" s="35">
        <v>0</v>
      </c>
      <c r="S258" s="35">
        <v>-4.76502E-3</v>
      </c>
      <c r="T258" s="35">
        <v>0</v>
      </c>
      <c r="U258" s="35">
        <v>4.76502E-3</v>
      </c>
      <c r="V258" s="35">
        <v>0</v>
      </c>
    </row>
    <row r="259" spans="1:22">
      <c r="A259" s="7"/>
      <c r="B259" s="8">
        <v>1.2284177840385118</v>
      </c>
      <c r="C259" s="8">
        <v>2.3993580133895418</v>
      </c>
      <c r="D259" s="8">
        <v>-0.6756623603325641</v>
      </c>
      <c r="E259" s="7">
        <v>0</v>
      </c>
      <c r="F259" s="7">
        <v>0</v>
      </c>
      <c r="G259" s="7">
        <v>-1.4990516053215155E-2</v>
      </c>
      <c r="H259" s="7">
        <v>0</v>
      </c>
      <c r="I259" s="7">
        <v>0</v>
      </c>
      <c r="J259" s="7">
        <v>0</v>
      </c>
      <c r="K259" s="7">
        <v>0</v>
      </c>
      <c r="L259" s="3">
        <f t="shared" si="31"/>
        <v>-8.8656290451050168E-4</v>
      </c>
      <c r="M259" s="3">
        <v>1.2290000000000001</v>
      </c>
      <c r="N259" s="3">
        <v>2.4</v>
      </c>
      <c r="O259" s="3">
        <v>-0.67600000000000005</v>
      </c>
      <c r="P259" s="35">
        <v>0</v>
      </c>
      <c r="Q259" s="35">
        <v>0</v>
      </c>
      <c r="R259" s="35">
        <v>-1.49698E-2</v>
      </c>
      <c r="S259" s="35">
        <v>-4.76502E-3</v>
      </c>
      <c r="T259" s="35">
        <v>0</v>
      </c>
      <c r="U259" s="35">
        <v>0</v>
      </c>
      <c r="V259" s="35">
        <v>4.76502E-3</v>
      </c>
    </row>
    <row r="260" spans="1:22">
      <c r="A260" s="7"/>
      <c r="B260" s="8"/>
      <c r="C260" s="8"/>
      <c r="D260" s="8"/>
      <c r="E260" s="7"/>
      <c r="F260" s="7"/>
      <c r="G260" s="7"/>
      <c r="H260" s="7"/>
      <c r="I260" s="7"/>
      <c r="J260" s="7"/>
      <c r="K260" s="7"/>
    </row>
    <row r="261" spans="1:22">
      <c r="A261" s="7"/>
      <c r="B261" s="8">
        <v>-0.14897154656832046</v>
      </c>
      <c r="C261" s="8">
        <v>0.84725762547333594</v>
      </c>
      <c r="D261" s="8">
        <v>-1.9759438806851826E-2</v>
      </c>
      <c r="E261" s="7">
        <v>-1.4990516053215155E-2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3">
        <f t="shared" ref="L261:L323" si="38">B261-M261+C261-N261+D261-O261</f>
        <v>-4.733599018362962E-4</v>
      </c>
      <c r="M261" s="3">
        <v>-0.14899999999999999</v>
      </c>
      <c r="N261" s="3">
        <v>0.84799999999999998</v>
      </c>
      <c r="O261" s="3">
        <v>-0.02</v>
      </c>
      <c r="P261" s="35">
        <v>-1.49698E-2</v>
      </c>
      <c r="Q261" s="35">
        <v>0</v>
      </c>
      <c r="R261" s="35">
        <v>0</v>
      </c>
      <c r="S261" s="35">
        <v>-4.76502E-3</v>
      </c>
      <c r="T261" s="35">
        <v>4.76502E-3</v>
      </c>
      <c r="U261" s="35">
        <v>0</v>
      </c>
      <c r="V261" s="35">
        <v>0</v>
      </c>
    </row>
    <row r="262" spans="1:22">
      <c r="A262" s="7" t="s">
        <v>81</v>
      </c>
      <c r="B262" s="8">
        <v>1.8375474863113905</v>
      </c>
      <c r="C262" s="8">
        <v>2.1167426559988707</v>
      </c>
      <c r="D262" s="8">
        <v>1.2367606559382516E-2</v>
      </c>
      <c r="E262" s="7">
        <v>0</v>
      </c>
      <c r="F262" s="7">
        <v>-1.4990516053215155E-2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3">
        <f t="shared" si="38"/>
        <v>-3.4225113035634205E-4</v>
      </c>
      <c r="M262" s="3">
        <v>1.8380000000000001</v>
      </c>
      <c r="N262" s="3">
        <v>2.117</v>
      </c>
      <c r="O262" s="3">
        <v>1.2E-2</v>
      </c>
      <c r="P262" s="35">
        <v>0</v>
      </c>
      <c r="Q262" s="35">
        <v>-1.49698E-2</v>
      </c>
      <c r="R262" s="35">
        <v>0</v>
      </c>
      <c r="S262" s="35">
        <v>-4.76502E-3</v>
      </c>
      <c r="T262" s="35">
        <v>0</v>
      </c>
      <c r="U262" s="35">
        <v>4.76502E-3</v>
      </c>
      <c r="V262" s="35">
        <v>0</v>
      </c>
    </row>
    <row r="263" spans="1:22">
      <c r="A263" s="7"/>
      <c r="B263" s="8">
        <v>1.2284177840385118</v>
      </c>
      <c r="C263" s="8">
        <v>2.3993580133895418</v>
      </c>
      <c r="D263" s="8">
        <v>-0.6756623603325641</v>
      </c>
      <c r="E263" s="7">
        <v>0</v>
      </c>
      <c r="F263" s="7">
        <v>0</v>
      </c>
      <c r="G263" s="7">
        <v>-1.4990516053215155E-2</v>
      </c>
      <c r="H263" s="7">
        <v>0</v>
      </c>
      <c r="I263" s="7">
        <v>0</v>
      </c>
      <c r="J263" s="7">
        <v>0</v>
      </c>
      <c r="K263" s="7">
        <v>0</v>
      </c>
      <c r="L263" s="3">
        <f t="shared" si="38"/>
        <v>-8.8656290451050168E-4</v>
      </c>
      <c r="M263" s="3">
        <v>1.2290000000000001</v>
      </c>
      <c r="N263" s="3">
        <v>2.4</v>
      </c>
      <c r="O263" s="3">
        <v>-0.67600000000000005</v>
      </c>
      <c r="P263" s="35">
        <v>0</v>
      </c>
      <c r="Q263" s="35">
        <v>0</v>
      </c>
      <c r="R263" s="35">
        <v>-1.49698E-2</v>
      </c>
      <c r="S263" s="35">
        <v>-4.76502E-3</v>
      </c>
      <c r="T263" s="35">
        <v>0</v>
      </c>
      <c r="U263" s="35">
        <v>0</v>
      </c>
      <c r="V263" s="35">
        <v>4.76502E-3</v>
      </c>
    </row>
    <row r="264" spans="1:22">
      <c r="A264" s="7"/>
      <c r="B264" s="8"/>
      <c r="C264" s="8"/>
      <c r="D264" s="8"/>
      <c r="E264" s="7"/>
      <c r="F264" s="7"/>
      <c r="G264" s="7"/>
      <c r="H264" s="7"/>
      <c r="I264" s="7"/>
      <c r="J264" s="7"/>
      <c r="K264" s="7"/>
    </row>
    <row r="265" spans="1:22">
      <c r="A265" s="7"/>
      <c r="B265" s="8">
        <v>2.6959782234951333</v>
      </c>
      <c r="C265" s="8">
        <v>1.0757798809975587</v>
      </c>
      <c r="D265" s="8">
        <v>4.997772423355884E-2</v>
      </c>
      <c r="E265" s="7">
        <v>-1.4990516053215155E-2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3">
        <f t="shared" ref="L265:L301" si="39">B265-M265+C265-N265+D265-O265</f>
        <v>-2.6417127374940563E-4</v>
      </c>
      <c r="M265" s="3">
        <v>2.6960000000000002</v>
      </c>
      <c r="N265" s="3">
        <v>1.0760000000000001</v>
      </c>
      <c r="O265" s="3">
        <v>0.05</v>
      </c>
      <c r="P265" s="35">
        <v>-1.49698E-2</v>
      </c>
      <c r="Q265" s="35">
        <v>0</v>
      </c>
      <c r="R265" s="35">
        <v>0</v>
      </c>
      <c r="S265" s="35">
        <v>-4.76502E-3</v>
      </c>
      <c r="T265" s="35">
        <v>4.76502E-3</v>
      </c>
      <c r="U265" s="35">
        <v>0</v>
      </c>
      <c r="V265" s="35">
        <v>0</v>
      </c>
    </row>
    <row r="266" spans="1:22">
      <c r="A266" s="7" t="s">
        <v>82</v>
      </c>
      <c r="B266" s="8">
        <v>0.21871711292247331</v>
      </c>
      <c r="C266" s="8">
        <v>2.1363371502498802</v>
      </c>
      <c r="D266" s="8">
        <v>8.9790398854103559E-2</v>
      </c>
      <c r="E266" s="7">
        <v>0</v>
      </c>
      <c r="F266" s="7">
        <v>-1.4990516053215155E-2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3">
        <f t="shared" si="38"/>
        <v>-1.1553379735430858E-3</v>
      </c>
      <c r="M266" s="3">
        <v>0.219</v>
      </c>
      <c r="N266" s="3">
        <v>2.137</v>
      </c>
      <c r="O266" s="3">
        <v>0.09</v>
      </c>
      <c r="P266" s="35">
        <v>0</v>
      </c>
      <c r="Q266" s="35">
        <v>-1.49698E-2</v>
      </c>
      <c r="R266" s="35">
        <v>0</v>
      </c>
      <c r="S266" s="35">
        <v>-4.76502E-3</v>
      </c>
      <c r="T266" s="35">
        <v>0</v>
      </c>
      <c r="U266" s="35">
        <v>4.76502E-3</v>
      </c>
      <c r="V266" s="35">
        <v>0</v>
      </c>
    </row>
    <row r="267" spans="1:22">
      <c r="A267" s="7"/>
      <c r="B267" s="8">
        <v>1.8375474863113905</v>
      </c>
      <c r="C267" s="8">
        <v>2.1167426559988707</v>
      </c>
      <c r="D267" s="8">
        <v>1.2367606559382516E-2</v>
      </c>
      <c r="E267" s="7">
        <v>0</v>
      </c>
      <c r="F267" s="7">
        <v>0</v>
      </c>
      <c r="G267" s="7">
        <v>-1.4990516053215155E-2</v>
      </c>
      <c r="H267" s="7">
        <v>0</v>
      </c>
      <c r="I267" s="7">
        <v>0</v>
      </c>
      <c r="J267" s="7">
        <v>0</v>
      </c>
      <c r="K267" s="7">
        <v>0</v>
      </c>
      <c r="L267" s="3">
        <f t="shared" si="38"/>
        <v>-3.4225113035634205E-4</v>
      </c>
      <c r="M267" s="3">
        <v>1.8380000000000001</v>
      </c>
      <c r="N267" s="3">
        <v>2.117</v>
      </c>
      <c r="O267" s="3">
        <v>1.2E-2</v>
      </c>
      <c r="P267" s="35">
        <v>0</v>
      </c>
      <c r="Q267" s="35">
        <v>0</v>
      </c>
      <c r="R267" s="35">
        <v>-1.49698E-2</v>
      </c>
      <c r="S267" s="35">
        <v>-4.76502E-3</v>
      </c>
      <c r="T267" s="35">
        <v>0</v>
      </c>
      <c r="U267" s="35">
        <v>0</v>
      </c>
      <c r="V267" s="35">
        <v>4.76502E-3</v>
      </c>
    </row>
    <row r="268" spans="1:22">
      <c r="A268" s="7"/>
      <c r="B268" s="8"/>
      <c r="C268" s="8"/>
      <c r="D268" s="8"/>
      <c r="E268" s="7"/>
      <c r="F268" s="7"/>
      <c r="G268" s="7"/>
      <c r="H268" s="7"/>
      <c r="I268" s="7"/>
      <c r="J268" s="7"/>
      <c r="K268" s="7"/>
    </row>
    <row r="269" spans="1:22">
      <c r="A269" s="7"/>
      <c r="B269" s="8">
        <v>2.6959782234951333</v>
      </c>
      <c r="C269" s="8">
        <v>1.0757798809975587</v>
      </c>
      <c r="D269" s="8">
        <v>4.997772423355884E-2</v>
      </c>
      <c r="E269" s="7">
        <v>-1.4990516053215155E-2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3">
        <f t="shared" ref="L269:L305" si="40">B269-M269+C269-N269+D269-O269</f>
        <v>-2.6417127374940563E-4</v>
      </c>
      <c r="M269" s="3">
        <v>2.6960000000000002</v>
      </c>
      <c r="N269" s="3">
        <v>1.0760000000000001</v>
      </c>
      <c r="O269" s="3">
        <v>0.05</v>
      </c>
      <c r="P269" s="35">
        <v>-1.49698E-2</v>
      </c>
      <c r="Q269" s="35">
        <v>0</v>
      </c>
      <c r="R269" s="35">
        <v>0</v>
      </c>
      <c r="S269" s="35">
        <v>-4.76502E-3</v>
      </c>
      <c r="T269" s="35">
        <v>4.76502E-3</v>
      </c>
      <c r="U269" s="35">
        <v>0</v>
      </c>
      <c r="V269" s="35">
        <v>0</v>
      </c>
    </row>
    <row r="270" spans="1:22">
      <c r="A270" s="7" t="s">
        <v>83</v>
      </c>
      <c r="B270" s="8">
        <v>0.21871711292247331</v>
      </c>
      <c r="C270" s="8">
        <v>2.1363371502498802</v>
      </c>
      <c r="D270" s="8">
        <v>8.9790398854103559E-2</v>
      </c>
      <c r="E270" s="7">
        <v>0</v>
      </c>
      <c r="F270" s="7">
        <v>-1.4990516053215155E-2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3">
        <f t="shared" si="38"/>
        <v>-1.1553379735430858E-3</v>
      </c>
      <c r="M270" s="3">
        <v>0.219</v>
      </c>
      <c r="N270" s="3">
        <v>2.137</v>
      </c>
      <c r="O270" s="3">
        <v>0.09</v>
      </c>
      <c r="P270" s="35">
        <v>0</v>
      </c>
      <c r="Q270" s="35">
        <v>-1.49698E-2</v>
      </c>
      <c r="R270" s="35">
        <v>0</v>
      </c>
      <c r="S270" s="35">
        <v>-4.76502E-3</v>
      </c>
      <c r="T270" s="35">
        <v>0</v>
      </c>
      <c r="U270" s="35">
        <v>4.76502E-3</v>
      </c>
      <c r="V270" s="35">
        <v>0</v>
      </c>
    </row>
    <row r="271" spans="1:22">
      <c r="A271" s="7"/>
      <c r="B271" s="8">
        <v>1.2284177840385118</v>
      </c>
      <c r="C271" s="8">
        <v>2.3993580133895418</v>
      </c>
      <c r="D271" s="8">
        <v>-0.6756623603325641</v>
      </c>
      <c r="E271" s="7">
        <v>0</v>
      </c>
      <c r="F271" s="7">
        <v>0</v>
      </c>
      <c r="G271" s="7">
        <v>-1.4990516053215155E-2</v>
      </c>
      <c r="H271" s="7">
        <v>0</v>
      </c>
      <c r="I271" s="7">
        <v>0</v>
      </c>
      <c r="J271" s="7">
        <v>0</v>
      </c>
      <c r="K271" s="7">
        <v>0</v>
      </c>
      <c r="L271" s="3">
        <f t="shared" si="38"/>
        <v>-8.8656290451050168E-4</v>
      </c>
      <c r="M271" s="3">
        <v>1.2290000000000001</v>
      </c>
      <c r="N271" s="3">
        <v>2.4</v>
      </c>
      <c r="O271" s="3">
        <v>-0.67600000000000005</v>
      </c>
      <c r="P271" s="35">
        <v>0</v>
      </c>
      <c r="Q271" s="35">
        <v>0</v>
      </c>
      <c r="R271" s="35">
        <v>-1.49698E-2</v>
      </c>
      <c r="S271" s="35">
        <v>-4.76502E-3</v>
      </c>
      <c r="T271" s="35">
        <v>0</v>
      </c>
      <c r="U271" s="35">
        <v>0</v>
      </c>
      <c r="V271" s="35">
        <v>4.76502E-3</v>
      </c>
    </row>
    <row r="272" spans="1:22">
      <c r="A272" s="7"/>
      <c r="B272" s="8"/>
      <c r="C272" s="8"/>
      <c r="D272" s="8"/>
      <c r="E272" s="7"/>
      <c r="F272" s="7"/>
      <c r="G272" s="7"/>
      <c r="H272" s="7"/>
      <c r="I272" s="7"/>
      <c r="J272" s="7"/>
      <c r="K272" s="7"/>
    </row>
    <row r="273" spans="1:22">
      <c r="A273" s="7"/>
      <c r="B273" s="8">
        <v>2.6959782234951333</v>
      </c>
      <c r="C273" s="8">
        <v>1.0757798809975587</v>
      </c>
      <c r="D273" s="8">
        <v>4.997772423355884E-2</v>
      </c>
      <c r="E273" s="7">
        <v>-1.4990516053215155E-2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3">
        <f t="shared" ref="L273:L309" si="41">B273-M273+C273-N273+D273-O273</f>
        <v>-2.6417127374940563E-4</v>
      </c>
      <c r="M273" s="3">
        <v>2.6960000000000002</v>
      </c>
      <c r="N273" s="3">
        <v>1.0760000000000001</v>
      </c>
      <c r="O273" s="3">
        <v>0.05</v>
      </c>
      <c r="P273" s="35">
        <v>-1.49698E-2</v>
      </c>
      <c r="Q273" s="35">
        <v>0</v>
      </c>
      <c r="R273" s="35">
        <v>0</v>
      </c>
      <c r="S273" s="35">
        <v>-4.76502E-3</v>
      </c>
      <c r="T273" s="35">
        <v>4.76502E-3</v>
      </c>
      <c r="U273" s="35">
        <v>0</v>
      </c>
      <c r="V273" s="35">
        <v>0</v>
      </c>
    </row>
    <row r="274" spans="1:22">
      <c r="A274" s="7" t="s">
        <v>84</v>
      </c>
      <c r="B274" s="8">
        <v>1.8375474863113905</v>
      </c>
      <c r="C274" s="8">
        <v>2.1167426559988707</v>
      </c>
      <c r="D274" s="8">
        <v>1.2367606559382516E-2</v>
      </c>
      <c r="E274" s="7">
        <v>0</v>
      </c>
      <c r="F274" s="7">
        <v>-1.4990516053215155E-2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3">
        <f t="shared" si="38"/>
        <v>-3.4225113035634205E-4</v>
      </c>
      <c r="M274" s="3">
        <v>1.8380000000000001</v>
      </c>
      <c r="N274" s="3">
        <v>2.117</v>
      </c>
      <c r="O274" s="3">
        <v>1.2E-2</v>
      </c>
      <c r="P274" s="35">
        <v>0</v>
      </c>
      <c r="Q274" s="35">
        <v>-1.49698E-2</v>
      </c>
      <c r="R274" s="35">
        <v>0</v>
      </c>
      <c r="S274" s="35">
        <v>-4.76502E-3</v>
      </c>
      <c r="T274" s="35">
        <v>0</v>
      </c>
      <c r="U274" s="35">
        <v>4.76502E-3</v>
      </c>
      <c r="V274" s="35">
        <v>0</v>
      </c>
    </row>
    <row r="275" spans="1:22">
      <c r="A275" s="7"/>
      <c r="B275" s="8">
        <v>1.2284177840385118</v>
      </c>
      <c r="C275" s="8">
        <v>2.3993580133895418</v>
      </c>
      <c r="D275" s="8">
        <v>-0.6756623603325641</v>
      </c>
      <c r="E275" s="7">
        <v>0</v>
      </c>
      <c r="F275" s="7">
        <v>0</v>
      </c>
      <c r="G275" s="7">
        <v>-1.4990516053215155E-2</v>
      </c>
      <c r="H275" s="7">
        <v>0</v>
      </c>
      <c r="I275" s="7">
        <v>0</v>
      </c>
      <c r="J275" s="7">
        <v>0</v>
      </c>
      <c r="K275" s="7">
        <v>0</v>
      </c>
      <c r="L275" s="3">
        <f t="shared" si="38"/>
        <v>-8.8656290451050168E-4</v>
      </c>
      <c r="M275" s="3">
        <v>1.2290000000000001</v>
      </c>
      <c r="N275" s="3">
        <v>2.4</v>
      </c>
      <c r="O275" s="3">
        <v>-0.67600000000000005</v>
      </c>
      <c r="P275" s="35">
        <v>0</v>
      </c>
      <c r="Q275" s="35">
        <v>0</v>
      </c>
      <c r="R275" s="35">
        <v>-1.49698E-2</v>
      </c>
      <c r="S275" s="35">
        <v>-4.76502E-3</v>
      </c>
      <c r="T275" s="35">
        <v>0</v>
      </c>
      <c r="U275" s="35">
        <v>0</v>
      </c>
      <c r="V275" s="35">
        <v>4.76502E-3</v>
      </c>
    </row>
    <row r="276" spans="1:22">
      <c r="A276" s="7"/>
      <c r="B276" s="8"/>
      <c r="C276" s="8"/>
      <c r="D276" s="8"/>
      <c r="E276" s="7"/>
      <c r="F276" s="7"/>
      <c r="G276" s="7"/>
      <c r="H276" s="7"/>
      <c r="I276" s="7"/>
      <c r="J276" s="7"/>
      <c r="K276" s="7"/>
    </row>
    <row r="277" spans="1:22">
      <c r="A277" s="7"/>
      <c r="B277" s="8">
        <v>0.21871711292247331</v>
      </c>
      <c r="C277" s="8">
        <v>2.1363371502498802</v>
      </c>
      <c r="D277" s="8">
        <v>8.9790398854103559E-2</v>
      </c>
      <c r="E277" s="7">
        <v>-1.4990516053215155E-2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3">
        <f t="shared" ref="L277:L313" si="42">B277-M277+C277-N277+D277-O277</f>
        <v>-1.1553379735430858E-3</v>
      </c>
      <c r="M277" s="3">
        <v>0.219</v>
      </c>
      <c r="N277" s="3">
        <v>2.137</v>
      </c>
      <c r="O277" s="3">
        <v>0.09</v>
      </c>
      <c r="P277" s="35">
        <v>-1.49698E-2</v>
      </c>
      <c r="Q277" s="35">
        <v>0</v>
      </c>
      <c r="R277" s="35">
        <v>0</v>
      </c>
      <c r="S277" s="35">
        <v>-4.76502E-3</v>
      </c>
      <c r="T277" s="35">
        <v>4.76502E-3</v>
      </c>
      <c r="U277" s="35">
        <v>0</v>
      </c>
      <c r="V277" s="35">
        <v>0</v>
      </c>
    </row>
    <row r="278" spans="1:22">
      <c r="A278" s="7" t="s">
        <v>85</v>
      </c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-1.4990516053215155E-2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3">
        <f t="shared" si="38"/>
        <v>-3.4225113035634205E-4</v>
      </c>
      <c r="M278" s="3">
        <v>1.8380000000000001</v>
      </c>
      <c r="N278" s="3">
        <v>2.117</v>
      </c>
      <c r="O278" s="3">
        <v>1.2E-2</v>
      </c>
      <c r="P278" s="35">
        <v>0</v>
      </c>
      <c r="Q278" s="35">
        <v>-1.49698E-2</v>
      </c>
      <c r="R278" s="35">
        <v>0</v>
      </c>
      <c r="S278" s="35">
        <v>-4.76502E-3</v>
      </c>
      <c r="T278" s="35">
        <v>0</v>
      </c>
      <c r="U278" s="35">
        <v>4.76502E-3</v>
      </c>
      <c r="V278" s="35">
        <v>0</v>
      </c>
    </row>
    <row r="279" spans="1:22">
      <c r="A279" s="7"/>
      <c r="B279" s="8">
        <v>1.2284177840385118</v>
      </c>
      <c r="C279" s="8">
        <v>2.3993580133895418</v>
      </c>
      <c r="D279" s="8">
        <v>-0.6756623603325641</v>
      </c>
      <c r="E279" s="7">
        <v>0</v>
      </c>
      <c r="F279" s="7">
        <v>0</v>
      </c>
      <c r="G279" s="7">
        <v>-1.4990516053215155E-2</v>
      </c>
      <c r="H279" s="7">
        <v>0</v>
      </c>
      <c r="I279" s="7">
        <v>0</v>
      </c>
      <c r="J279" s="7">
        <v>0</v>
      </c>
      <c r="K279" s="7">
        <v>0</v>
      </c>
      <c r="L279" s="3">
        <f t="shared" si="38"/>
        <v>-8.8656290451050168E-4</v>
      </c>
      <c r="M279" s="3">
        <v>1.2290000000000001</v>
      </c>
      <c r="N279" s="3">
        <v>2.4</v>
      </c>
      <c r="O279" s="3">
        <v>-0.67600000000000005</v>
      </c>
      <c r="P279" s="35">
        <v>0</v>
      </c>
      <c r="Q279" s="35">
        <v>0</v>
      </c>
      <c r="R279" s="35">
        <v>-1.49698E-2</v>
      </c>
      <c r="S279" s="35">
        <v>-4.76502E-3</v>
      </c>
      <c r="T279" s="35">
        <v>0</v>
      </c>
      <c r="U279" s="35">
        <v>0</v>
      </c>
      <c r="V279" s="35">
        <v>4.76502E-3</v>
      </c>
    </row>
    <row r="280" spans="1:22">
      <c r="A280" s="7"/>
      <c r="B280" s="8"/>
      <c r="C280" s="8"/>
      <c r="D280" s="8"/>
      <c r="E280" s="7"/>
      <c r="F280" s="7"/>
      <c r="G280" s="7"/>
      <c r="H280" s="7"/>
      <c r="I280" s="7"/>
      <c r="J280" s="7"/>
      <c r="K280" s="7"/>
    </row>
    <row r="281" spans="1:22">
      <c r="A281" s="7"/>
      <c r="B281" s="8">
        <v>-1.0419123890112216</v>
      </c>
      <c r="C281" s="8">
        <v>4.0818532431212473E-2</v>
      </c>
      <c r="D281" s="8">
        <v>-0.77248383184656022</v>
      </c>
      <c r="E281" s="7">
        <v>-1.4990516053215155E-2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3">
        <f t="shared" ref="L281:L317" si="43">B281-M281+C281-N281+D281-O281</f>
        <v>-5.7768842656935604E-4</v>
      </c>
      <c r="M281" s="3">
        <v>-1.042</v>
      </c>
      <c r="N281" s="3">
        <v>4.1000000000000002E-2</v>
      </c>
      <c r="O281" s="3">
        <v>-0.77200000000000002</v>
      </c>
      <c r="P281" s="35">
        <v>-1.49698E-2</v>
      </c>
      <c r="Q281" s="35">
        <v>0</v>
      </c>
      <c r="R281" s="35">
        <v>0</v>
      </c>
      <c r="S281" s="35">
        <v>-4.76502E-3</v>
      </c>
      <c r="T281" s="35">
        <v>4.76502E-3</v>
      </c>
      <c r="U281" s="35">
        <v>0</v>
      </c>
      <c r="V281" s="35">
        <v>0</v>
      </c>
    </row>
    <row r="282" spans="1:22">
      <c r="A282" s="7" t="s">
        <v>86</v>
      </c>
      <c r="B282" s="8">
        <v>-2.2957880185781296</v>
      </c>
      <c r="C282" s="8">
        <v>8.2263663034425338E-3</v>
      </c>
      <c r="D282" s="8">
        <v>-3.3137218009327896E-2</v>
      </c>
      <c r="E282" s="7">
        <v>0</v>
      </c>
      <c r="F282" s="7">
        <v>-1.4990516053215155E-2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3">
        <f t="shared" si="38"/>
        <v>3.0112971598481725E-4</v>
      </c>
      <c r="M282" s="3">
        <v>-2.2959999999999998</v>
      </c>
      <c r="N282" s="3">
        <v>8.0000000000000002E-3</v>
      </c>
      <c r="O282" s="3">
        <v>-3.3000000000000002E-2</v>
      </c>
      <c r="P282" s="35">
        <v>0</v>
      </c>
      <c r="Q282" s="35">
        <v>-1.49698E-2</v>
      </c>
      <c r="R282" s="35">
        <v>0</v>
      </c>
      <c r="S282" s="35">
        <v>-4.76502E-3</v>
      </c>
      <c r="T282" s="35">
        <v>0</v>
      </c>
      <c r="U282" s="35">
        <v>4.76502E-3</v>
      </c>
      <c r="V282" s="35">
        <v>0</v>
      </c>
    </row>
    <row r="283" spans="1:22">
      <c r="A283" s="7"/>
      <c r="B283" s="8">
        <v>-2.44475956514645</v>
      </c>
      <c r="C283" s="8">
        <v>0.85548399177677847</v>
      </c>
      <c r="D283" s="8">
        <v>-5.2896656816179721E-2</v>
      </c>
      <c r="E283" s="7">
        <v>0</v>
      </c>
      <c r="F283" s="7">
        <v>0</v>
      </c>
      <c r="G283" s="7">
        <v>-1.4990516053215155E-2</v>
      </c>
      <c r="H283" s="7">
        <v>0</v>
      </c>
      <c r="I283" s="7">
        <v>0</v>
      </c>
      <c r="J283" s="7">
        <v>0</v>
      </c>
      <c r="K283" s="7">
        <v>0</v>
      </c>
      <c r="L283" s="3">
        <f t="shared" si="38"/>
        <v>-1.7223018585137834E-4</v>
      </c>
      <c r="M283" s="3">
        <v>-2.4449999999999998</v>
      </c>
      <c r="N283" s="3">
        <v>0.85599999999999998</v>
      </c>
      <c r="O283" s="3">
        <v>-5.2999999999999999E-2</v>
      </c>
      <c r="P283" s="35">
        <v>0</v>
      </c>
      <c r="Q283" s="35">
        <v>0</v>
      </c>
      <c r="R283" s="35">
        <v>-1.49698E-2</v>
      </c>
      <c r="S283" s="35">
        <v>-4.76502E-3</v>
      </c>
      <c r="T283" s="35">
        <v>0</v>
      </c>
      <c r="U283" s="35">
        <v>0</v>
      </c>
      <c r="V283" s="35">
        <v>4.76502E-3</v>
      </c>
    </row>
    <row r="284" spans="1:22">
      <c r="A284" s="7"/>
      <c r="B284" s="8"/>
      <c r="C284" s="8"/>
      <c r="D284" s="8"/>
      <c r="E284" s="7"/>
      <c r="F284" s="7"/>
      <c r="G284" s="7"/>
      <c r="H284" s="7"/>
      <c r="I284" s="7"/>
      <c r="J284" s="7"/>
      <c r="K284" s="7"/>
    </row>
    <row r="285" spans="1:22">
      <c r="A285" s="7"/>
      <c r="B285" s="8">
        <v>-1.0419123890112216</v>
      </c>
      <c r="C285" s="8">
        <v>4.0818532431212473E-2</v>
      </c>
      <c r="D285" s="8">
        <v>-0.77248383184656022</v>
      </c>
      <c r="E285" s="7">
        <v>-1.4990516053215155E-2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3">
        <f t="shared" ref="L285:L321" si="44">B285-M285+C285-N285+D285-O285</f>
        <v>-5.7768842656935604E-4</v>
      </c>
      <c r="M285" s="3">
        <v>-1.042</v>
      </c>
      <c r="N285" s="3">
        <v>4.1000000000000002E-2</v>
      </c>
      <c r="O285" s="3">
        <v>-0.77200000000000002</v>
      </c>
      <c r="P285" s="35">
        <v>-1.49698E-2</v>
      </c>
      <c r="Q285" s="35">
        <v>0</v>
      </c>
      <c r="R285" s="35">
        <v>0</v>
      </c>
      <c r="S285" s="35">
        <v>-4.76502E-3</v>
      </c>
      <c r="T285" s="35">
        <v>4.76502E-3</v>
      </c>
      <c r="U285" s="35">
        <v>0</v>
      </c>
      <c r="V285" s="35">
        <v>0</v>
      </c>
    </row>
    <row r="286" spans="1:22">
      <c r="A286" s="7" t="s">
        <v>87</v>
      </c>
      <c r="B286" s="8">
        <v>-2.2957880185781296</v>
      </c>
      <c r="C286" s="8">
        <v>8.2263663034425338E-3</v>
      </c>
      <c r="D286" s="8">
        <v>-3.3137218009327896E-2</v>
      </c>
      <c r="E286" s="7">
        <v>0</v>
      </c>
      <c r="F286" s="7">
        <v>-1.4990516053215155E-2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3">
        <f t="shared" si="38"/>
        <v>3.0112971598481725E-4</v>
      </c>
      <c r="M286" s="3">
        <v>-2.2959999999999998</v>
      </c>
      <c r="N286" s="3">
        <v>8.0000000000000002E-3</v>
      </c>
      <c r="O286" s="3">
        <v>-3.3000000000000002E-2</v>
      </c>
      <c r="P286" s="35">
        <v>0</v>
      </c>
      <c r="Q286" s="35">
        <v>-1.49698E-2</v>
      </c>
      <c r="R286" s="35">
        <v>0</v>
      </c>
      <c r="S286" s="35">
        <v>-4.76502E-3</v>
      </c>
      <c r="T286" s="35">
        <v>0</v>
      </c>
      <c r="U286" s="35">
        <v>4.76502E-3</v>
      </c>
      <c r="V286" s="35">
        <v>0</v>
      </c>
    </row>
    <row r="287" spans="1:22">
      <c r="A287" s="7"/>
      <c r="B287" s="8">
        <v>0.40019020491700363</v>
      </c>
      <c r="C287" s="8">
        <v>1.0840062473010013</v>
      </c>
      <c r="D287" s="8">
        <v>1.6840506224230944E-2</v>
      </c>
      <c r="E287" s="7">
        <v>0</v>
      </c>
      <c r="F287" s="7">
        <v>0</v>
      </c>
      <c r="G287" s="7">
        <v>-1.4990516053215155E-2</v>
      </c>
      <c r="H287" s="7">
        <v>0</v>
      </c>
      <c r="I287" s="7">
        <v>0</v>
      </c>
      <c r="J287" s="7">
        <v>0</v>
      </c>
      <c r="K287" s="7">
        <v>0</v>
      </c>
      <c r="L287" s="3">
        <f t="shared" si="38"/>
        <v>3.6958442235626721E-5</v>
      </c>
      <c r="M287" s="3">
        <v>0.4</v>
      </c>
      <c r="N287" s="3">
        <v>1.0840000000000001</v>
      </c>
      <c r="O287" s="3">
        <v>1.7000000000000001E-2</v>
      </c>
      <c r="P287" s="35">
        <v>0</v>
      </c>
      <c r="Q287" s="35">
        <v>0</v>
      </c>
      <c r="R287" s="35">
        <v>-1.49698E-2</v>
      </c>
      <c r="S287" s="35">
        <v>-4.76502E-3</v>
      </c>
      <c r="T287" s="35">
        <v>0</v>
      </c>
      <c r="U287" s="35">
        <v>0</v>
      </c>
      <c r="V287" s="35">
        <v>4.76502E-3</v>
      </c>
    </row>
    <row r="288" spans="1:22">
      <c r="A288" s="7"/>
      <c r="B288" s="8"/>
      <c r="C288" s="8"/>
      <c r="D288" s="8"/>
      <c r="E288" s="7"/>
      <c r="F288" s="7"/>
      <c r="G288" s="7"/>
      <c r="H288" s="7"/>
      <c r="I288" s="7"/>
      <c r="J288" s="7"/>
      <c r="K288" s="7"/>
    </row>
    <row r="289" spans="1:22">
      <c r="A289" s="7"/>
      <c r="B289" s="8">
        <v>-1.0419123890112216</v>
      </c>
      <c r="C289" s="8">
        <v>4.0818532431212473E-2</v>
      </c>
      <c r="D289" s="8">
        <v>-0.77248383184656022</v>
      </c>
      <c r="E289" s="7">
        <v>-1.4990516053215155E-2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3">
        <f t="shared" ref="L289" si="45">B289-M289+C289-N289+D289-O289</f>
        <v>-5.7768842656935604E-4</v>
      </c>
      <c r="M289" s="3">
        <v>-1.042</v>
      </c>
      <c r="N289" s="3">
        <v>4.1000000000000002E-2</v>
      </c>
      <c r="O289" s="3">
        <v>-0.77200000000000002</v>
      </c>
      <c r="P289" s="35">
        <v>-1.49698E-2</v>
      </c>
      <c r="Q289" s="35">
        <v>0</v>
      </c>
      <c r="R289" s="35">
        <v>0</v>
      </c>
      <c r="S289" s="35">
        <v>-4.76502E-3</v>
      </c>
      <c r="T289" s="35">
        <v>4.76502E-3</v>
      </c>
      <c r="U289" s="35">
        <v>0</v>
      </c>
      <c r="V289" s="35">
        <v>0</v>
      </c>
    </row>
    <row r="290" spans="1:22">
      <c r="A290" s="7" t="s">
        <v>88</v>
      </c>
      <c r="B290" s="8">
        <v>-2.2957880185781296</v>
      </c>
      <c r="C290" s="8">
        <v>8.2263663034425338E-3</v>
      </c>
      <c r="D290" s="8">
        <v>-3.3137218009327896E-2</v>
      </c>
      <c r="E290" s="7">
        <v>0</v>
      </c>
      <c r="F290" s="7">
        <v>-1.4990516053215155E-2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3">
        <f t="shared" si="37"/>
        <v>3.0112971598481725E-4</v>
      </c>
      <c r="M290" s="3">
        <v>-2.2959999999999998</v>
      </c>
      <c r="N290" s="3">
        <v>8.0000000000000002E-3</v>
      </c>
      <c r="O290" s="3">
        <v>-3.3000000000000002E-2</v>
      </c>
      <c r="P290" s="35">
        <v>0</v>
      </c>
      <c r="Q290" s="35">
        <v>-1.49698E-2</v>
      </c>
      <c r="R290" s="35">
        <v>0</v>
      </c>
      <c r="S290" s="35">
        <v>-4.76502E-3</v>
      </c>
      <c r="T290" s="35">
        <v>0</v>
      </c>
      <c r="U290" s="35">
        <v>4.76502E-3</v>
      </c>
      <c r="V290" s="35">
        <v>0</v>
      </c>
    </row>
    <row r="291" spans="1:22">
      <c r="A291" s="7"/>
      <c r="B291" s="8">
        <v>-2.0770709056556562</v>
      </c>
      <c r="C291" s="8">
        <v>2.1445635165533226</v>
      </c>
      <c r="D291" s="8">
        <v>5.6653180844775664E-2</v>
      </c>
      <c r="E291" s="7">
        <v>0</v>
      </c>
      <c r="F291" s="7">
        <v>0</v>
      </c>
      <c r="G291" s="7">
        <v>-1.4990516053215155E-2</v>
      </c>
      <c r="H291" s="7">
        <v>0</v>
      </c>
      <c r="I291" s="7">
        <v>0</v>
      </c>
      <c r="J291" s="7">
        <v>0</v>
      </c>
      <c r="K291" s="7">
        <v>0</v>
      </c>
      <c r="L291" s="3">
        <f t="shared" si="37"/>
        <v>-8.5420825755806035E-4</v>
      </c>
      <c r="M291" s="3">
        <v>-2.077</v>
      </c>
      <c r="N291" s="3">
        <v>2.145</v>
      </c>
      <c r="O291" s="3">
        <v>5.7000000000000002E-2</v>
      </c>
      <c r="P291" s="35">
        <v>0</v>
      </c>
      <c r="Q291" s="35">
        <v>0</v>
      </c>
      <c r="R291" s="35">
        <v>-1.49698E-2</v>
      </c>
      <c r="S291" s="35">
        <v>-4.76502E-3</v>
      </c>
      <c r="T291" s="35">
        <v>0</v>
      </c>
      <c r="U291" s="35">
        <v>0</v>
      </c>
      <c r="V291" s="35">
        <v>4.76502E-3</v>
      </c>
    </row>
    <row r="292" spans="1:22">
      <c r="A292" s="7"/>
      <c r="B292" s="8"/>
      <c r="C292" s="8"/>
      <c r="D292" s="8"/>
      <c r="E292" s="7"/>
      <c r="F292" s="7"/>
      <c r="G292" s="7"/>
      <c r="H292" s="7"/>
      <c r="I292" s="7"/>
      <c r="J292" s="7"/>
      <c r="K292" s="7"/>
    </row>
    <row r="293" spans="1:22">
      <c r="A293" s="7"/>
      <c r="B293" s="8">
        <v>-1.0419123890112216</v>
      </c>
      <c r="C293" s="8">
        <v>4.0818532431212473E-2</v>
      </c>
      <c r="D293" s="8">
        <v>-0.77248383184656022</v>
      </c>
      <c r="E293" s="7">
        <v>-1.4990516053215155E-2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3">
        <f t="shared" si="38"/>
        <v>-5.7768842656935604E-4</v>
      </c>
      <c r="M293" s="3">
        <v>-1.042</v>
      </c>
      <c r="N293" s="3">
        <v>4.1000000000000002E-2</v>
      </c>
      <c r="O293" s="3">
        <v>-0.77200000000000002</v>
      </c>
      <c r="P293" s="35">
        <v>-1.49698E-2</v>
      </c>
      <c r="Q293" s="35">
        <v>0</v>
      </c>
      <c r="R293" s="35">
        <v>0</v>
      </c>
      <c r="S293" s="35">
        <v>-4.76502E-3</v>
      </c>
      <c r="T293" s="35">
        <v>4.76502E-3</v>
      </c>
      <c r="U293" s="35">
        <v>0</v>
      </c>
      <c r="V293" s="35">
        <v>0</v>
      </c>
    </row>
    <row r="294" spans="1:22">
      <c r="A294" s="7" t="s">
        <v>89</v>
      </c>
      <c r="B294" s="8">
        <v>-2.2957880185781296</v>
      </c>
      <c r="C294" s="8">
        <v>8.2263663034425338E-3</v>
      </c>
      <c r="D294" s="8">
        <v>-3.3137218009327896E-2</v>
      </c>
      <c r="E294" s="7">
        <v>0</v>
      </c>
      <c r="F294" s="7">
        <v>-1.4990516053215155E-2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3">
        <f t="shared" si="38"/>
        <v>3.0112971598481725E-4</v>
      </c>
      <c r="M294" s="3">
        <v>-2.2959999999999998</v>
      </c>
      <c r="N294" s="3">
        <v>8.0000000000000002E-3</v>
      </c>
      <c r="O294" s="3">
        <v>-3.3000000000000002E-2</v>
      </c>
      <c r="P294" s="35">
        <v>0</v>
      </c>
      <c r="Q294" s="35">
        <v>-1.49698E-2</v>
      </c>
      <c r="R294" s="35">
        <v>0</v>
      </c>
      <c r="S294" s="35">
        <v>-4.76502E-3</v>
      </c>
      <c r="T294" s="35">
        <v>0</v>
      </c>
      <c r="U294" s="35">
        <v>4.76502E-3</v>
      </c>
      <c r="V294" s="35">
        <v>0</v>
      </c>
    </row>
    <row r="295" spans="1:22">
      <c r="A295" s="7"/>
      <c r="B295" s="8">
        <v>-0.45824053226673911</v>
      </c>
      <c r="C295" s="8">
        <v>2.124969022302313</v>
      </c>
      <c r="D295" s="8">
        <v>-2.076961144994538E-2</v>
      </c>
      <c r="E295" s="7">
        <v>0</v>
      </c>
      <c r="F295" s="7">
        <v>0</v>
      </c>
      <c r="G295" s="7">
        <v>-1.4990516053215155E-2</v>
      </c>
      <c r="H295" s="7">
        <v>0</v>
      </c>
      <c r="I295" s="7">
        <v>0</v>
      </c>
      <c r="J295" s="7">
        <v>0</v>
      </c>
      <c r="K295" s="7">
        <v>0</v>
      </c>
      <c r="L295" s="3">
        <f t="shared" si="38"/>
        <v>-4.11214143713097E-5</v>
      </c>
      <c r="M295" s="3">
        <v>-0.45800000000000002</v>
      </c>
      <c r="N295" s="3">
        <v>2.125</v>
      </c>
      <c r="O295" s="3">
        <v>-2.1000000000000001E-2</v>
      </c>
      <c r="P295" s="35">
        <v>0</v>
      </c>
      <c r="Q295" s="35">
        <v>0</v>
      </c>
      <c r="R295" s="35">
        <v>-1.49698E-2</v>
      </c>
      <c r="S295" s="35">
        <v>-4.76502E-3</v>
      </c>
      <c r="T295" s="35">
        <v>0</v>
      </c>
      <c r="U295" s="35">
        <v>0</v>
      </c>
      <c r="V295" s="35">
        <v>4.76502E-3</v>
      </c>
    </row>
    <row r="296" spans="1:22">
      <c r="A296" s="7"/>
      <c r="B296" s="8"/>
      <c r="C296" s="8"/>
      <c r="D296" s="8"/>
      <c r="E296" s="7"/>
      <c r="F296" s="7"/>
      <c r="G296" s="7"/>
      <c r="H296" s="7"/>
      <c r="I296" s="7"/>
      <c r="J296" s="7"/>
      <c r="K296" s="7"/>
    </row>
    <row r="297" spans="1:22">
      <c r="A297" s="7"/>
      <c r="B297" s="8">
        <v>-1.0419123890112216</v>
      </c>
      <c r="C297" s="8">
        <v>4.0818532431212473E-2</v>
      </c>
      <c r="D297" s="8">
        <v>-0.77248383184656022</v>
      </c>
      <c r="E297" s="7">
        <v>-1.4990516053215155E-2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3">
        <f t="shared" si="38"/>
        <v>-5.7768842656935604E-4</v>
      </c>
      <c r="M297" s="3">
        <v>-1.042</v>
      </c>
      <c r="N297" s="3">
        <v>4.1000000000000002E-2</v>
      </c>
      <c r="O297" s="3">
        <v>-0.77200000000000002</v>
      </c>
      <c r="P297" s="35">
        <v>-1.49698E-2</v>
      </c>
      <c r="Q297" s="35">
        <v>0</v>
      </c>
      <c r="R297" s="35">
        <v>0</v>
      </c>
      <c r="S297" s="35">
        <v>-4.76502E-3</v>
      </c>
      <c r="T297" s="35">
        <v>4.76502E-3</v>
      </c>
      <c r="U297" s="35">
        <v>0</v>
      </c>
      <c r="V297" s="35">
        <v>0</v>
      </c>
    </row>
    <row r="298" spans="1:22">
      <c r="A298" s="7" t="s">
        <v>90</v>
      </c>
      <c r="B298" s="8">
        <v>-2.2957880185781296</v>
      </c>
      <c r="C298" s="8">
        <v>8.2263663034425338E-3</v>
      </c>
      <c r="D298" s="8">
        <v>-3.3137218009327896E-2</v>
      </c>
      <c r="E298" s="7">
        <v>0</v>
      </c>
      <c r="F298" s="7">
        <v>-1.4990516053215155E-2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L298" s="3">
        <f t="shared" si="38"/>
        <v>3.0112971598481725E-4</v>
      </c>
      <c r="M298" s="3">
        <v>-2.2959999999999998</v>
      </c>
      <c r="N298" s="3">
        <v>8.0000000000000002E-3</v>
      </c>
      <c r="O298" s="3">
        <v>-3.3000000000000002E-2</v>
      </c>
      <c r="P298" s="35">
        <v>0</v>
      </c>
      <c r="Q298" s="35">
        <v>-1.49698E-2</v>
      </c>
      <c r="R298" s="35">
        <v>0</v>
      </c>
      <c r="S298" s="35">
        <v>-4.76502E-3</v>
      </c>
      <c r="T298" s="35">
        <v>0</v>
      </c>
      <c r="U298" s="35">
        <v>4.76502E-3</v>
      </c>
      <c r="V298" s="35">
        <v>0</v>
      </c>
    </row>
    <row r="299" spans="1:22">
      <c r="A299" s="7"/>
      <c r="B299" s="8">
        <v>-1.0673702345396179</v>
      </c>
      <c r="C299" s="8">
        <v>2.4075843796929846</v>
      </c>
      <c r="D299" s="8">
        <v>-0.708799578341892</v>
      </c>
      <c r="E299" s="7">
        <v>0</v>
      </c>
      <c r="F299" s="7">
        <v>0</v>
      </c>
      <c r="G299" s="7">
        <v>-1.4990516053215155E-2</v>
      </c>
      <c r="H299" s="7">
        <v>0</v>
      </c>
      <c r="I299" s="7">
        <v>0</v>
      </c>
      <c r="J299" s="7">
        <v>0</v>
      </c>
      <c r="K299" s="7">
        <v>0</v>
      </c>
      <c r="L299" s="3">
        <f t="shared" si="38"/>
        <v>-5.8543318852555259E-4</v>
      </c>
      <c r="M299" s="3">
        <v>-1.0669999999999999</v>
      </c>
      <c r="N299" s="3">
        <v>2.4079999999999999</v>
      </c>
      <c r="O299" s="3">
        <v>-0.70899999999999996</v>
      </c>
      <c r="P299" s="35">
        <v>0</v>
      </c>
      <c r="Q299" s="35">
        <v>0</v>
      </c>
      <c r="R299" s="35">
        <v>-1.49698E-2</v>
      </c>
      <c r="S299" s="35">
        <v>-4.76502E-3</v>
      </c>
      <c r="T299" s="35">
        <v>0</v>
      </c>
      <c r="U299" s="35">
        <v>0</v>
      </c>
      <c r="V299" s="35">
        <v>4.76502E-3</v>
      </c>
    </row>
    <row r="300" spans="1:22">
      <c r="A300" s="7"/>
      <c r="B300" s="8"/>
      <c r="C300" s="8"/>
      <c r="D300" s="8"/>
      <c r="E300" s="7"/>
      <c r="F300" s="7"/>
      <c r="G300" s="7"/>
      <c r="H300" s="7"/>
      <c r="I300" s="7"/>
      <c r="J300" s="7"/>
      <c r="K300" s="7"/>
    </row>
    <row r="301" spans="1:22">
      <c r="A301" s="7"/>
      <c r="B301" s="8">
        <v>-1.0419123890112216</v>
      </c>
      <c r="C301" s="8">
        <v>4.0818532431212473E-2</v>
      </c>
      <c r="D301" s="8">
        <v>-0.77248383184656022</v>
      </c>
      <c r="E301" s="7">
        <v>-1.4990516053215155E-2</v>
      </c>
      <c r="F301" s="7">
        <v>0</v>
      </c>
      <c r="G301" s="7">
        <v>0</v>
      </c>
      <c r="H301" s="7">
        <v>-2.2872089329671663E-2</v>
      </c>
      <c r="I301" s="7">
        <v>2.1796664656245589E-2</v>
      </c>
      <c r="J301" s="7">
        <v>0</v>
      </c>
      <c r="K301" s="7">
        <v>0</v>
      </c>
      <c r="L301" s="3">
        <f t="shared" si="39"/>
        <v>-5.7768842656935604E-4</v>
      </c>
      <c r="M301" s="3">
        <v>-1.042</v>
      </c>
      <c r="N301" s="3">
        <v>4.1000000000000002E-2</v>
      </c>
      <c r="O301" s="3">
        <v>-0.77200000000000002</v>
      </c>
      <c r="P301" s="35">
        <v>-1.49698E-2</v>
      </c>
      <c r="Q301" s="35">
        <v>0</v>
      </c>
      <c r="R301" s="35">
        <v>0</v>
      </c>
      <c r="S301" s="35">
        <v>-4.76502E-3</v>
      </c>
      <c r="T301" s="35">
        <v>4.76502E-3</v>
      </c>
      <c r="U301" s="35">
        <v>0</v>
      </c>
      <c r="V301" s="35">
        <v>0</v>
      </c>
    </row>
    <row r="302" spans="1:22">
      <c r="A302" s="7" t="s">
        <v>91</v>
      </c>
      <c r="B302" s="8">
        <v>-2.44475956514645</v>
      </c>
      <c r="C302" s="8">
        <v>0.85548399177677847</v>
      </c>
      <c r="D302" s="8">
        <v>-5.2896656816179721E-2</v>
      </c>
      <c r="E302" s="7">
        <v>0</v>
      </c>
      <c r="F302" s="7">
        <v>-1.4990516053215155E-2</v>
      </c>
      <c r="G302" s="7">
        <v>0</v>
      </c>
      <c r="H302" s="7">
        <v>-2.2872089329671663E-2</v>
      </c>
      <c r="I302" s="7">
        <v>0</v>
      </c>
      <c r="J302" s="7">
        <v>2.2385887789414392E-2</v>
      </c>
      <c r="K302" s="7">
        <v>0</v>
      </c>
      <c r="L302" s="3">
        <f t="shared" si="38"/>
        <v>-1.7223018585137834E-4</v>
      </c>
      <c r="M302" s="3">
        <v>-2.4449999999999998</v>
      </c>
      <c r="N302" s="3">
        <v>0.85599999999999998</v>
      </c>
      <c r="O302" s="3">
        <v>-5.2999999999999999E-2</v>
      </c>
      <c r="P302" s="35">
        <v>0</v>
      </c>
      <c r="Q302" s="35">
        <v>-1.49698E-2</v>
      </c>
      <c r="R302" s="35">
        <v>0</v>
      </c>
      <c r="S302" s="35">
        <v>-4.76502E-3</v>
      </c>
      <c r="T302" s="35">
        <v>0</v>
      </c>
      <c r="U302" s="35">
        <v>4.76502E-3</v>
      </c>
      <c r="V302" s="35">
        <v>0</v>
      </c>
    </row>
    <row r="303" spans="1:22">
      <c r="A303" s="7"/>
      <c r="B303" s="8">
        <v>0.40019020491700363</v>
      </c>
      <c r="C303" s="8">
        <v>1.0840062473010013</v>
      </c>
      <c r="D303" s="8">
        <v>1.6840506224230944E-2</v>
      </c>
      <c r="E303" s="7">
        <v>0</v>
      </c>
      <c r="F303" s="7">
        <v>0</v>
      </c>
      <c r="G303" s="7">
        <v>-1.4990516053215155E-2</v>
      </c>
      <c r="H303" s="7">
        <v>-2.2872089329671663E-2</v>
      </c>
      <c r="I303" s="7">
        <v>0</v>
      </c>
      <c r="J303" s="7">
        <v>0</v>
      </c>
      <c r="K303" s="7">
        <v>1.6236379226863738E-2</v>
      </c>
      <c r="L303" s="3">
        <f t="shared" si="38"/>
        <v>3.6958442235626721E-5</v>
      </c>
      <c r="M303" s="3">
        <v>0.4</v>
      </c>
      <c r="N303" s="3">
        <v>1.0840000000000001</v>
      </c>
      <c r="O303" s="3">
        <v>1.7000000000000001E-2</v>
      </c>
      <c r="P303" s="35">
        <v>0</v>
      </c>
      <c r="Q303" s="35">
        <v>0</v>
      </c>
      <c r="R303" s="35">
        <v>-1.49698E-2</v>
      </c>
      <c r="S303" s="35">
        <v>-4.76502E-3</v>
      </c>
      <c r="T303" s="35">
        <v>0</v>
      </c>
      <c r="U303" s="35">
        <v>0</v>
      </c>
      <c r="V303" s="35">
        <v>4.76502E-3</v>
      </c>
    </row>
    <row r="304" spans="1:22">
      <c r="A304" s="7"/>
      <c r="B304" s="8"/>
      <c r="C304" s="8"/>
      <c r="D304" s="8"/>
      <c r="E304" s="7"/>
      <c r="F304" s="7"/>
      <c r="G304" s="7"/>
      <c r="H304" s="7"/>
      <c r="I304" s="7"/>
      <c r="J304" s="7"/>
      <c r="K304" s="7"/>
    </row>
    <row r="305" spans="1:22">
      <c r="A305" s="7"/>
      <c r="B305" s="8">
        <v>-1.0419123890112216</v>
      </c>
      <c r="C305" s="8">
        <v>4.0818532431212473E-2</v>
      </c>
      <c r="D305" s="8">
        <v>-0.77248383184656022</v>
      </c>
      <c r="E305" s="7">
        <v>-1.4990516053215155E-2</v>
      </c>
      <c r="F305" s="7">
        <v>0</v>
      </c>
      <c r="G305" s="7">
        <v>0</v>
      </c>
      <c r="H305" s="7">
        <v>-2.2872089329671663E-2</v>
      </c>
      <c r="I305" s="7">
        <v>2.1796664656245589E-2</v>
      </c>
      <c r="J305" s="7">
        <v>0</v>
      </c>
      <c r="K305" s="7">
        <v>0</v>
      </c>
      <c r="L305" s="3">
        <f t="shared" si="40"/>
        <v>-5.7768842656935604E-4</v>
      </c>
      <c r="M305" s="3">
        <v>-1.042</v>
      </c>
      <c r="N305" s="3">
        <v>4.1000000000000002E-2</v>
      </c>
      <c r="O305" s="3">
        <v>-0.77200000000000002</v>
      </c>
      <c r="P305" s="35">
        <v>-1.49698E-2</v>
      </c>
      <c r="Q305" s="35">
        <v>0</v>
      </c>
      <c r="R305" s="35">
        <v>0</v>
      </c>
      <c r="S305" s="35">
        <v>-4.76502E-3</v>
      </c>
      <c r="T305" s="35">
        <v>4.76502E-3</v>
      </c>
      <c r="U305" s="35">
        <v>0</v>
      </c>
      <c r="V305" s="35">
        <v>0</v>
      </c>
    </row>
    <row r="306" spans="1:22">
      <c r="A306" s="7" t="s">
        <v>92</v>
      </c>
      <c r="B306" s="8">
        <v>-2.44475956514645</v>
      </c>
      <c r="C306" s="8">
        <v>0.85548399177677847</v>
      </c>
      <c r="D306" s="8">
        <v>-5.2896656816179721E-2</v>
      </c>
      <c r="E306" s="7">
        <v>0</v>
      </c>
      <c r="F306" s="7">
        <v>-1.4990516053215155E-2</v>
      </c>
      <c r="G306" s="7">
        <v>0</v>
      </c>
      <c r="H306" s="7">
        <v>-2.2872089329671663E-2</v>
      </c>
      <c r="I306" s="7">
        <v>0</v>
      </c>
      <c r="J306" s="7">
        <v>2.2385887789414392E-2</v>
      </c>
      <c r="K306" s="7">
        <v>0</v>
      </c>
      <c r="L306" s="3">
        <f t="shared" si="38"/>
        <v>-1.7223018585137834E-4</v>
      </c>
      <c r="M306" s="3">
        <v>-2.4449999999999998</v>
      </c>
      <c r="N306" s="3">
        <v>0.85599999999999998</v>
      </c>
      <c r="O306" s="3">
        <v>-5.2999999999999999E-2</v>
      </c>
      <c r="P306" s="35">
        <v>0</v>
      </c>
      <c r="Q306" s="35">
        <v>-1.49698E-2</v>
      </c>
      <c r="R306" s="35">
        <v>0</v>
      </c>
      <c r="S306" s="35">
        <v>-4.76502E-3</v>
      </c>
      <c r="T306" s="35">
        <v>0</v>
      </c>
      <c r="U306" s="35">
        <v>4.76502E-3</v>
      </c>
      <c r="V306" s="35">
        <v>0</v>
      </c>
    </row>
    <row r="307" spans="1:22">
      <c r="A307" s="7"/>
      <c r="B307" s="8">
        <v>-2.0770709056556562</v>
      </c>
      <c r="C307" s="8">
        <v>2.1445635165533226</v>
      </c>
      <c r="D307" s="8">
        <v>5.6653180844775664E-2</v>
      </c>
      <c r="E307" s="7">
        <v>0</v>
      </c>
      <c r="F307" s="7">
        <v>0</v>
      </c>
      <c r="G307" s="7">
        <v>-1.4990516053215155E-2</v>
      </c>
      <c r="H307" s="7">
        <v>-2.2872089329671663E-2</v>
      </c>
      <c r="I307" s="7">
        <v>0</v>
      </c>
      <c r="J307" s="7">
        <v>0</v>
      </c>
      <c r="K307" s="7">
        <v>1.5970575730977998E-2</v>
      </c>
      <c r="L307" s="3">
        <f t="shared" si="38"/>
        <v>-8.5420825755806035E-4</v>
      </c>
      <c r="M307" s="3">
        <v>-2.077</v>
      </c>
      <c r="N307" s="3">
        <v>2.145</v>
      </c>
      <c r="O307" s="3">
        <v>5.7000000000000002E-2</v>
      </c>
      <c r="P307" s="35">
        <v>0</v>
      </c>
      <c r="Q307" s="35">
        <v>0</v>
      </c>
      <c r="R307" s="35">
        <v>-1.49698E-2</v>
      </c>
      <c r="S307" s="35">
        <v>-4.76502E-3</v>
      </c>
      <c r="T307" s="35">
        <v>0</v>
      </c>
      <c r="U307" s="35">
        <v>0</v>
      </c>
      <c r="V307" s="35">
        <v>4.76502E-3</v>
      </c>
    </row>
    <row r="308" spans="1:22">
      <c r="A308" s="7"/>
      <c r="B308" s="8"/>
      <c r="C308" s="8"/>
      <c r="D308" s="8"/>
      <c r="E308" s="7"/>
      <c r="F308" s="7"/>
      <c r="G308" s="7"/>
      <c r="H308" s="7"/>
      <c r="I308" s="7"/>
      <c r="J308" s="7"/>
      <c r="K308" s="7"/>
    </row>
    <row r="309" spans="1:22">
      <c r="A309" s="7"/>
      <c r="B309" s="8">
        <v>-1.0419123890112216</v>
      </c>
      <c r="C309" s="8">
        <v>4.0818532431212473E-2</v>
      </c>
      <c r="D309" s="8">
        <v>-0.77248383184656022</v>
      </c>
      <c r="E309" s="7">
        <v>-1.4990516053215155E-2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3">
        <f t="shared" si="41"/>
        <v>-5.7768842656935604E-4</v>
      </c>
      <c r="M309" s="3">
        <v>-1.042</v>
      </c>
      <c r="N309" s="3">
        <v>4.1000000000000002E-2</v>
      </c>
      <c r="O309" s="3">
        <v>-0.77200000000000002</v>
      </c>
      <c r="P309" s="35">
        <v>-1.49698E-2</v>
      </c>
      <c r="Q309" s="35">
        <v>0</v>
      </c>
      <c r="R309" s="35">
        <v>0</v>
      </c>
      <c r="S309" s="35">
        <v>-4.76502E-3</v>
      </c>
      <c r="T309" s="35">
        <v>4.76502E-3</v>
      </c>
      <c r="U309" s="35">
        <v>0</v>
      </c>
      <c r="V309" s="35">
        <v>0</v>
      </c>
    </row>
    <row r="310" spans="1:22">
      <c r="A310" s="7" t="s">
        <v>93</v>
      </c>
      <c r="B310" s="8">
        <v>-2.44475956514645</v>
      </c>
      <c r="C310" s="8">
        <v>0.85548399177677847</v>
      </c>
      <c r="D310" s="8">
        <v>-5.2896656816179721E-2</v>
      </c>
      <c r="E310" s="7">
        <v>0</v>
      </c>
      <c r="F310" s="7">
        <v>-1.4990516053215155E-2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3">
        <f t="shared" si="38"/>
        <v>-1.7223018585137834E-4</v>
      </c>
      <c r="M310" s="3">
        <v>-2.4449999999999998</v>
      </c>
      <c r="N310" s="3">
        <v>0.85599999999999998</v>
      </c>
      <c r="O310" s="3">
        <v>-5.2999999999999999E-2</v>
      </c>
      <c r="P310" s="35">
        <v>0</v>
      </c>
      <c r="Q310" s="35">
        <v>-1.49698E-2</v>
      </c>
      <c r="R310" s="35">
        <v>0</v>
      </c>
      <c r="S310" s="35">
        <v>-4.76502E-3</v>
      </c>
      <c r="T310" s="35">
        <v>0</v>
      </c>
      <c r="U310" s="35">
        <v>4.76502E-3</v>
      </c>
      <c r="V310" s="35">
        <v>0</v>
      </c>
    </row>
    <row r="311" spans="1:22">
      <c r="A311" s="7"/>
      <c r="B311" s="8">
        <v>-0.45824053226673911</v>
      </c>
      <c r="C311" s="8">
        <v>2.124969022302313</v>
      </c>
      <c r="D311" s="8">
        <v>-2.076961144994538E-2</v>
      </c>
      <c r="E311" s="7">
        <v>0</v>
      </c>
      <c r="F311" s="7">
        <v>0</v>
      </c>
      <c r="G311" s="7">
        <v>-1.4990516053215155E-2</v>
      </c>
      <c r="H311" s="7">
        <v>0</v>
      </c>
      <c r="I311" s="7">
        <v>0</v>
      </c>
      <c r="J311" s="7">
        <v>0</v>
      </c>
      <c r="K311" s="7">
        <v>0</v>
      </c>
      <c r="L311" s="3">
        <f t="shared" si="38"/>
        <v>-4.11214143713097E-5</v>
      </c>
      <c r="M311" s="3">
        <v>-0.45800000000000002</v>
      </c>
      <c r="N311" s="3">
        <v>2.125</v>
      </c>
      <c r="O311" s="3">
        <v>-2.1000000000000001E-2</v>
      </c>
      <c r="P311" s="35">
        <v>0</v>
      </c>
      <c r="Q311" s="35">
        <v>0</v>
      </c>
      <c r="R311" s="35">
        <v>-1.49698E-2</v>
      </c>
      <c r="S311" s="35">
        <v>-4.76502E-3</v>
      </c>
      <c r="T311" s="35">
        <v>0</v>
      </c>
      <c r="U311" s="35">
        <v>0</v>
      </c>
      <c r="V311" s="35">
        <v>4.76502E-3</v>
      </c>
    </row>
    <row r="312" spans="1:22">
      <c r="A312" s="7"/>
      <c r="B312" s="8"/>
      <c r="C312" s="8"/>
      <c r="D312" s="8"/>
      <c r="E312" s="7"/>
      <c r="F312" s="7"/>
      <c r="G312" s="7"/>
      <c r="H312" s="7"/>
      <c r="I312" s="7"/>
      <c r="J312" s="7"/>
      <c r="K312" s="7"/>
    </row>
    <row r="313" spans="1:22">
      <c r="A313" s="7"/>
      <c r="B313" s="8">
        <v>-1.0419123890112216</v>
      </c>
      <c r="C313" s="8">
        <v>4.0818532431212473E-2</v>
      </c>
      <c r="D313" s="8">
        <v>-0.77248383184656022</v>
      </c>
      <c r="E313" s="7">
        <v>-1.4990516053215155E-2</v>
      </c>
      <c r="F313" s="7">
        <v>0</v>
      </c>
      <c r="G313" s="7">
        <v>0</v>
      </c>
      <c r="H313" s="7">
        <v>-2.2872089329671663E-2</v>
      </c>
      <c r="I313" s="7">
        <v>2.1796664656245589E-2</v>
      </c>
      <c r="J313" s="7">
        <v>0</v>
      </c>
      <c r="K313" s="7">
        <v>0</v>
      </c>
      <c r="L313" s="3">
        <f t="shared" si="42"/>
        <v>-5.7768842656935604E-4</v>
      </c>
      <c r="M313" s="3">
        <v>-1.042</v>
      </c>
      <c r="N313" s="3">
        <v>4.1000000000000002E-2</v>
      </c>
      <c r="O313" s="3">
        <v>-0.77200000000000002</v>
      </c>
      <c r="P313" s="35">
        <v>-1.49698E-2</v>
      </c>
      <c r="Q313" s="35">
        <v>0</v>
      </c>
      <c r="R313" s="35">
        <v>0</v>
      </c>
      <c r="S313" s="35">
        <v>-4.76502E-3</v>
      </c>
      <c r="T313" s="35">
        <v>4.76502E-3</v>
      </c>
      <c r="U313" s="35">
        <v>0</v>
      </c>
      <c r="V313" s="35">
        <v>0</v>
      </c>
    </row>
    <row r="314" spans="1:22">
      <c r="A314" s="7" t="s">
        <v>94</v>
      </c>
      <c r="B314" s="8">
        <v>-2.44475956514645</v>
      </c>
      <c r="C314" s="8">
        <v>0.85548399177677847</v>
      </c>
      <c r="D314" s="8">
        <v>-5.2896656816179721E-2</v>
      </c>
      <c r="E314" s="7">
        <v>0</v>
      </c>
      <c r="F314" s="7">
        <v>-1.4990516053215155E-2</v>
      </c>
      <c r="G314" s="7">
        <v>0</v>
      </c>
      <c r="H314" s="7">
        <v>-2.2872089329671663E-2</v>
      </c>
      <c r="I314" s="7">
        <v>0</v>
      </c>
      <c r="J314" s="7">
        <v>2.2385887789414392E-2</v>
      </c>
      <c r="K314" s="7">
        <v>0</v>
      </c>
      <c r="L314" s="3">
        <f t="shared" si="38"/>
        <v>-1.7223018585137834E-4</v>
      </c>
      <c r="M314" s="3">
        <v>-2.4449999999999998</v>
      </c>
      <c r="N314" s="3">
        <v>0.85599999999999998</v>
      </c>
      <c r="O314" s="3">
        <v>-5.2999999999999999E-2</v>
      </c>
      <c r="P314" s="35">
        <v>0</v>
      </c>
      <c r="Q314" s="35">
        <v>-1.49698E-2</v>
      </c>
      <c r="R314" s="35">
        <v>0</v>
      </c>
      <c r="S314" s="35">
        <v>-4.76502E-3</v>
      </c>
      <c r="T314" s="35">
        <v>0</v>
      </c>
      <c r="U314" s="35">
        <v>4.76502E-3</v>
      </c>
      <c r="V314" s="35">
        <v>0</v>
      </c>
    </row>
    <row r="315" spans="1:22">
      <c r="A315" s="7"/>
      <c r="B315" s="8">
        <v>-1.0673702345396179</v>
      </c>
      <c r="C315" s="8">
        <v>2.4075843796929846</v>
      </c>
      <c r="D315" s="8">
        <v>-0.708799578341892</v>
      </c>
      <c r="E315" s="7">
        <v>0</v>
      </c>
      <c r="F315" s="7">
        <v>0</v>
      </c>
      <c r="G315" s="7">
        <v>-1.4990516053215155E-2</v>
      </c>
      <c r="H315" s="7">
        <v>-2.2872089329671663E-2</v>
      </c>
      <c r="I315" s="7">
        <v>0</v>
      </c>
      <c r="J315" s="7">
        <v>0</v>
      </c>
      <c r="K315" s="7">
        <v>2.0521745021313972E-2</v>
      </c>
      <c r="L315" s="3">
        <f t="shared" si="38"/>
        <v>-5.8543318852555259E-4</v>
      </c>
      <c r="M315" s="3">
        <v>-1.0669999999999999</v>
      </c>
      <c r="N315" s="3">
        <v>2.4079999999999999</v>
      </c>
      <c r="O315" s="3">
        <v>-0.70899999999999996</v>
      </c>
      <c r="P315" s="35">
        <v>0</v>
      </c>
      <c r="Q315" s="35">
        <v>0</v>
      </c>
      <c r="R315" s="35">
        <v>-1.49698E-2</v>
      </c>
      <c r="S315" s="35">
        <v>-4.76502E-3</v>
      </c>
      <c r="T315" s="35">
        <v>0</v>
      </c>
      <c r="U315" s="35">
        <v>0</v>
      </c>
      <c r="V315" s="35">
        <v>4.76502E-3</v>
      </c>
    </row>
    <row r="316" spans="1:22">
      <c r="A316" s="7"/>
      <c r="B316" s="8"/>
      <c r="C316" s="8"/>
      <c r="D316" s="8"/>
      <c r="E316" s="7"/>
      <c r="F316" s="7"/>
      <c r="G316" s="7"/>
      <c r="H316" s="7"/>
      <c r="I316" s="7"/>
      <c r="J316" s="7"/>
      <c r="K316" s="7"/>
    </row>
    <row r="317" spans="1:22">
      <c r="A317" s="7"/>
      <c r="B317" s="8">
        <v>-1.0419123890112216</v>
      </c>
      <c r="C317" s="8">
        <v>4.0818532431212473E-2</v>
      </c>
      <c r="D317" s="8">
        <v>-0.77248383184656022</v>
      </c>
      <c r="E317" s="7">
        <v>-1.4990516053215155E-2</v>
      </c>
      <c r="F317" s="7">
        <v>0</v>
      </c>
      <c r="G317" s="7">
        <v>0</v>
      </c>
      <c r="H317" s="7">
        <v>-2.2872089329671663E-2</v>
      </c>
      <c r="I317" s="7">
        <v>2.1796664656245589E-2</v>
      </c>
      <c r="J317" s="7">
        <v>0</v>
      </c>
      <c r="K317" s="7">
        <v>0</v>
      </c>
      <c r="L317" s="3">
        <f t="shared" si="43"/>
        <v>-5.7768842656935604E-4</v>
      </c>
      <c r="M317" s="3">
        <v>-1.042</v>
      </c>
      <c r="N317" s="3">
        <v>4.1000000000000002E-2</v>
      </c>
      <c r="O317" s="3">
        <v>-0.77200000000000002</v>
      </c>
      <c r="P317" s="35">
        <v>-1.49698E-2</v>
      </c>
      <c r="Q317" s="35">
        <v>0</v>
      </c>
      <c r="R317" s="35">
        <v>0</v>
      </c>
      <c r="S317" s="35">
        <v>-4.76502E-3</v>
      </c>
      <c r="T317" s="35">
        <v>4.76502E-3</v>
      </c>
      <c r="U317" s="35">
        <v>0</v>
      </c>
      <c r="V317" s="35">
        <v>0</v>
      </c>
    </row>
    <row r="318" spans="1:22">
      <c r="A318" s="7" t="s">
        <v>95</v>
      </c>
      <c r="B318" s="8">
        <v>0.40019020491700363</v>
      </c>
      <c r="C318" s="8">
        <v>1.0840062473010013</v>
      </c>
      <c r="D318" s="8">
        <v>1.6840506224230944E-2</v>
      </c>
      <c r="E318" s="7">
        <v>0</v>
      </c>
      <c r="F318" s="7">
        <v>-1.4990516053215155E-2</v>
      </c>
      <c r="G318" s="7">
        <v>0</v>
      </c>
      <c r="H318" s="7">
        <v>-2.2872089329671663E-2</v>
      </c>
      <c r="I318" s="7">
        <v>0</v>
      </c>
      <c r="J318" s="7">
        <v>1.6236379226863738E-2</v>
      </c>
      <c r="K318" s="7">
        <v>0</v>
      </c>
      <c r="L318" s="3">
        <f t="shared" si="38"/>
        <v>3.6958442235626721E-5</v>
      </c>
      <c r="M318" s="3">
        <v>0.4</v>
      </c>
      <c r="N318" s="3">
        <v>1.0840000000000001</v>
      </c>
      <c r="O318" s="3">
        <v>1.7000000000000001E-2</v>
      </c>
      <c r="P318" s="35">
        <v>0</v>
      </c>
      <c r="Q318" s="35">
        <v>-1.49698E-2</v>
      </c>
      <c r="R318" s="35">
        <v>0</v>
      </c>
      <c r="S318" s="35">
        <v>-4.76502E-3</v>
      </c>
      <c r="T318" s="35">
        <v>0</v>
      </c>
      <c r="U318" s="35">
        <v>4.76502E-3</v>
      </c>
      <c r="V318" s="35">
        <v>0</v>
      </c>
    </row>
    <row r="319" spans="1:22">
      <c r="A319" s="7"/>
      <c r="B319" s="8">
        <v>-2.0770709056556562</v>
      </c>
      <c r="C319" s="8">
        <v>2.1445635165533226</v>
      </c>
      <c r="D319" s="8">
        <v>5.6653180844775664E-2</v>
      </c>
      <c r="E319" s="7">
        <v>0</v>
      </c>
      <c r="F319" s="7">
        <v>0</v>
      </c>
      <c r="G319" s="7">
        <v>-1.4990516053215155E-2</v>
      </c>
      <c r="H319" s="7">
        <v>-2.2872089329671663E-2</v>
      </c>
      <c r="I319" s="7">
        <v>0</v>
      </c>
      <c r="J319" s="7">
        <v>0</v>
      </c>
      <c r="K319" s="7">
        <v>1.5970575730977998E-2</v>
      </c>
      <c r="L319" s="3">
        <f t="shared" si="38"/>
        <v>-8.5420825755806035E-4</v>
      </c>
      <c r="M319" s="3">
        <v>-2.077</v>
      </c>
      <c r="N319" s="3">
        <v>2.145</v>
      </c>
      <c r="O319" s="3">
        <v>5.7000000000000002E-2</v>
      </c>
      <c r="P319" s="35">
        <v>0</v>
      </c>
      <c r="Q319" s="35">
        <v>0</v>
      </c>
      <c r="R319" s="35">
        <v>-1.49698E-2</v>
      </c>
      <c r="S319" s="35">
        <v>-4.76502E-3</v>
      </c>
      <c r="T319" s="35">
        <v>0</v>
      </c>
      <c r="U319" s="35">
        <v>0</v>
      </c>
      <c r="V319" s="35">
        <v>4.76502E-3</v>
      </c>
    </row>
    <row r="320" spans="1:22">
      <c r="A320" s="7"/>
      <c r="B320" s="8"/>
      <c r="C320" s="8"/>
      <c r="D320" s="8"/>
      <c r="E320" s="7"/>
      <c r="F320" s="7"/>
      <c r="G320" s="7"/>
      <c r="H320" s="7"/>
      <c r="I320" s="7"/>
      <c r="J320" s="7"/>
      <c r="K320" s="7"/>
    </row>
    <row r="321" spans="1:22">
      <c r="A321" s="7"/>
      <c r="B321" s="8">
        <v>-1.0419123890112216</v>
      </c>
      <c r="C321" s="8">
        <v>4.0818532431212473E-2</v>
      </c>
      <c r="D321" s="8">
        <v>-0.77248383184656022</v>
      </c>
      <c r="E321" s="7">
        <v>-1.4990516053215155E-2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3">
        <f t="shared" si="44"/>
        <v>-5.7768842656935604E-4</v>
      </c>
      <c r="M321" s="3">
        <v>-1.042</v>
      </c>
      <c r="N321" s="3">
        <v>4.1000000000000002E-2</v>
      </c>
      <c r="O321" s="3">
        <v>-0.77200000000000002</v>
      </c>
      <c r="P321" s="35">
        <v>-1.49698E-2</v>
      </c>
      <c r="Q321" s="35">
        <v>0</v>
      </c>
      <c r="R321" s="35">
        <v>0</v>
      </c>
      <c r="S321" s="35">
        <v>-4.76502E-3</v>
      </c>
      <c r="T321" s="35">
        <v>4.76502E-3</v>
      </c>
      <c r="U321" s="35">
        <v>0</v>
      </c>
      <c r="V321" s="35">
        <v>0</v>
      </c>
    </row>
    <row r="322" spans="1:22">
      <c r="A322" s="7" t="s">
        <v>96</v>
      </c>
      <c r="B322" s="8">
        <v>0.40019020491700363</v>
      </c>
      <c r="C322" s="8">
        <v>1.0840062473010013</v>
      </c>
      <c r="D322" s="8">
        <v>1.6840506224230944E-2</v>
      </c>
      <c r="E322" s="7">
        <v>0</v>
      </c>
      <c r="F322" s="7">
        <v>-1.4990516053215155E-2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3">
        <f t="shared" si="38"/>
        <v>3.6958442235626721E-5</v>
      </c>
      <c r="M322" s="3">
        <v>0.4</v>
      </c>
      <c r="N322" s="3">
        <v>1.0840000000000001</v>
      </c>
      <c r="O322" s="3">
        <v>1.7000000000000001E-2</v>
      </c>
      <c r="P322" s="35">
        <v>0</v>
      </c>
      <c r="Q322" s="35">
        <v>-1.49698E-2</v>
      </c>
      <c r="R322" s="35">
        <v>0</v>
      </c>
      <c r="S322" s="35">
        <v>-4.76502E-3</v>
      </c>
      <c r="T322" s="35">
        <v>0</v>
      </c>
      <c r="U322" s="35">
        <v>4.76502E-3</v>
      </c>
      <c r="V322" s="35">
        <v>0</v>
      </c>
    </row>
    <row r="323" spans="1:22">
      <c r="A323" s="7"/>
      <c r="B323" s="8">
        <v>-0.45824053226673911</v>
      </c>
      <c r="C323" s="8">
        <v>2.124969022302313</v>
      </c>
      <c r="D323" s="8">
        <v>-2.076961144994538E-2</v>
      </c>
      <c r="E323" s="7">
        <v>0</v>
      </c>
      <c r="F323" s="7">
        <v>0</v>
      </c>
      <c r="G323" s="7">
        <v>-1.4990516053215155E-2</v>
      </c>
      <c r="H323" s="7">
        <v>0</v>
      </c>
      <c r="I323" s="7">
        <v>0</v>
      </c>
      <c r="J323" s="7">
        <v>0</v>
      </c>
      <c r="K323" s="7">
        <v>0</v>
      </c>
      <c r="L323" s="3">
        <f t="shared" si="38"/>
        <v>-4.11214143713097E-5</v>
      </c>
      <c r="M323" s="3">
        <v>-0.45800000000000002</v>
      </c>
      <c r="N323" s="3">
        <v>2.125</v>
      </c>
      <c r="O323" s="3">
        <v>-2.1000000000000001E-2</v>
      </c>
      <c r="P323" s="35">
        <v>0</v>
      </c>
      <c r="Q323" s="35">
        <v>0</v>
      </c>
      <c r="R323" s="35">
        <v>-1.49698E-2</v>
      </c>
      <c r="S323" s="35">
        <v>-4.76502E-3</v>
      </c>
      <c r="T323" s="35">
        <v>0</v>
      </c>
      <c r="U323" s="35">
        <v>0</v>
      </c>
      <c r="V323" s="35">
        <v>4.76502E-3</v>
      </c>
    </row>
    <row r="324" spans="1:22">
      <c r="A324" s="7"/>
      <c r="B324" s="8"/>
      <c r="C324" s="8"/>
      <c r="D324" s="8"/>
      <c r="E324" s="7"/>
      <c r="F324" s="7"/>
      <c r="G324" s="7"/>
      <c r="H324" s="7"/>
      <c r="I324" s="7"/>
      <c r="J324" s="7"/>
      <c r="K324" s="7"/>
    </row>
    <row r="325" spans="1:22">
      <c r="A325" s="7"/>
      <c r="B325" s="8">
        <v>-1.0419123890112216</v>
      </c>
      <c r="C325" s="8">
        <v>4.0818532431212473E-2</v>
      </c>
      <c r="D325" s="8">
        <v>-0.77248383184656022</v>
      </c>
      <c r="E325" s="7">
        <v>-1.4990516053215155E-2</v>
      </c>
      <c r="F325" s="7">
        <v>0</v>
      </c>
      <c r="G325" s="7">
        <v>0</v>
      </c>
      <c r="H325" s="7">
        <v>-2.2872089329671663E-2</v>
      </c>
      <c r="I325" s="7">
        <v>2.1796664656245589E-2</v>
      </c>
      <c r="J325" s="7">
        <v>0</v>
      </c>
      <c r="K325" s="7">
        <v>0</v>
      </c>
      <c r="L325" s="3">
        <f t="shared" ref="L325:L363" si="46">B325-M325+C325-N325+D325-O325</f>
        <v>-5.7768842656935604E-4</v>
      </c>
      <c r="M325" s="3">
        <v>-1.042</v>
      </c>
      <c r="N325" s="3">
        <v>4.1000000000000002E-2</v>
      </c>
      <c r="O325" s="3">
        <v>-0.77200000000000002</v>
      </c>
      <c r="P325" s="35">
        <v>-1.49698E-2</v>
      </c>
      <c r="Q325" s="35">
        <v>0</v>
      </c>
      <c r="R325" s="35">
        <v>0</v>
      </c>
      <c r="S325" s="35">
        <v>-4.76502E-3</v>
      </c>
      <c r="T325" s="35">
        <v>4.76502E-3</v>
      </c>
      <c r="U325" s="35">
        <v>0</v>
      </c>
      <c r="V325" s="35">
        <v>0</v>
      </c>
    </row>
    <row r="326" spans="1:22">
      <c r="A326" s="7" t="s">
        <v>97</v>
      </c>
      <c r="B326" s="8">
        <v>0.40019020491700363</v>
      </c>
      <c r="C326" s="8">
        <v>1.0840062473010013</v>
      </c>
      <c r="D326" s="8">
        <v>1.6840506224230944E-2</v>
      </c>
      <c r="E326" s="7">
        <v>0</v>
      </c>
      <c r="F326" s="7">
        <v>-1.4990516053215155E-2</v>
      </c>
      <c r="G326" s="7">
        <v>0</v>
      </c>
      <c r="H326" s="7">
        <v>-2.2872089329671663E-2</v>
      </c>
      <c r="I326" s="7">
        <v>0</v>
      </c>
      <c r="J326" s="7">
        <v>1.6236379226863738E-2</v>
      </c>
      <c r="K326" s="7">
        <v>0</v>
      </c>
      <c r="L326" s="3">
        <f t="shared" si="46"/>
        <v>3.6958442235626721E-5</v>
      </c>
      <c r="M326" s="3">
        <v>0.4</v>
      </c>
      <c r="N326" s="3">
        <v>1.0840000000000001</v>
      </c>
      <c r="O326" s="3">
        <v>1.7000000000000001E-2</v>
      </c>
      <c r="P326" s="35">
        <v>0</v>
      </c>
      <c r="Q326" s="35">
        <v>-1.49698E-2</v>
      </c>
      <c r="R326" s="35">
        <v>0</v>
      </c>
      <c r="S326" s="35">
        <v>-4.76502E-3</v>
      </c>
      <c r="T326" s="35">
        <v>0</v>
      </c>
      <c r="U326" s="35">
        <v>4.76502E-3</v>
      </c>
      <c r="V326" s="35">
        <v>0</v>
      </c>
    </row>
    <row r="327" spans="1:22">
      <c r="A327" s="7"/>
      <c r="B327" s="8">
        <v>-1.0673702345396179</v>
      </c>
      <c r="C327" s="8">
        <v>2.4075843796929846</v>
      </c>
      <c r="D327" s="8">
        <v>-0.708799578341892</v>
      </c>
      <c r="E327" s="7">
        <v>0</v>
      </c>
      <c r="F327" s="7">
        <v>0</v>
      </c>
      <c r="G327" s="7">
        <v>-1.4990516053215155E-2</v>
      </c>
      <c r="H327" s="7">
        <v>-2.2872089329671663E-2</v>
      </c>
      <c r="I327" s="7">
        <v>0</v>
      </c>
      <c r="J327" s="7">
        <v>0</v>
      </c>
      <c r="K327" s="7">
        <v>2.0521745021313972E-2</v>
      </c>
      <c r="L327" s="3">
        <f t="shared" si="46"/>
        <v>-5.8543318852555259E-4</v>
      </c>
      <c r="M327" s="3">
        <v>-1.0669999999999999</v>
      </c>
      <c r="N327" s="3">
        <v>2.4079999999999999</v>
      </c>
      <c r="O327" s="3">
        <v>-0.70899999999999996</v>
      </c>
      <c r="P327" s="35">
        <v>0</v>
      </c>
      <c r="Q327" s="35">
        <v>0</v>
      </c>
      <c r="R327" s="35">
        <v>-1.49698E-2</v>
      </c>
      <c r="S327" s="35">
        <v>-4.76502E-3</v>
      </c>
      <c r="T327" s="35">
        <v>0</v>
      </c>
      <c r="U327" s="35">
        <v>0</v>
      </c>
      <c r="V327" s="35">
        <v>4.76502E-3</v>
      </c>
    </row>
    <row r="328" spans="1:22">
      <c r="A328" s="7"/>
      <c r="B328" s="8"/>
      <c r="C328" s="8"/>
      <c r="D328" s="8"/>
      <c r="E328" s="7"/>
      <c r="F328" s="7"/>
      <c r="G328" s="7"/>
      <c r="H328" s="7"/>
      <c r="I328" s="7"/>
      <c r="J328" s="7"/>
      <c r="K328" s="7"/>
    </row>
    <row r="329" spans="1:22">
      <c r="A329" s="7"/>
      <c r="B329" s="8">
        <v>-1.0419123890112216</v>
      </c>
      <c r="C329" s="8">
        <v>4.0818532431212473E-2</v>
      </c>
      <c r="D329" s="8">
        <v>-0.77248383184656022</v>
      </c>
      <c r="E329" s="7">
        <v>-1.4990516053215155E-2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3">
        <f t="shared" ref="L329:L391" si="47">B329-M329+C329-N329+D329-O329</f>
        <v>-5.7768842656935604E-4</v>
      </c>
      <c r="M329" s="3">
        <v>-1.042</v>
      </c>
      <c r="N329" s="3">
        <v>4.1000000000000002E-2</v>
      </c>
      <c r="O329" s="3">
        <v>-0.77200000000000002</v>
      </c>
      <c r="P329" s="35">
        <v>-1.49698E-2</v>
      </c>
      <c r="Q329" s="35">
        <v>0</v>
      </c>
      <c r="R329" s="35">
        <v>0</v>
      </c>
      <c r="S329" s="35">
        <v>-4.76502E-3</v>
      </c>
      <c r="T329" s="35">
        <v>4.76502E-3</v>
      </c>
      <c r="U329" s="35">
        <v>0</v>
      </c>
      <c r="V329" s="35">
        <v>0</v>
      </c>
    </row>
    <row r="330" spans="1:22">
      <c r="A330" s="7" t="s">
        <v>98</v>
      </c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-1.4990516053215155E-2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3">
        <f t="shared" si="47"/>
        <v>-8.5420825755806035E-4</v>
      </c>
      <c r="M330" s="3">
        <v>-2.077</v>
      </c>
      <c r="N330" s="3">
        <v>2.145</v>
      </c>
      <c r="O330" s="3">
        <v>5.7000000000000002E-2</v>
      </c>
      <c r="P330" s="35">
        <v>0</v>
      </c>
      <c r="Q330" s="35">
        <v>-1.49698E-2</v>
      </c>
      <c r="R330" s="35">
        <v>0</v>
      </c>
      <c r="S330" s="35">
        <v>-4.76502E-3</v>
      </c>
      <c r="T330" s="35">
        <v>0</v>
      </c>
      <c r="U330" s="35">
        <v>4.76502E-3</v>
      </c>
      <c r="V330" s="35">
        <v>0</v>
      </c>
    </row>
    <row r="331" spans="1:22">
      <c r="A331" s="7"/>
      <c r="B331" s="8">
        <v>-0.45824053226673911</v>
      </c>
      <c r="C331" s="8">
        <v>2.124969022302313</v>
      </c>
      <c r="D331" s="8">
        <v>-2.076961144994538E-2</v>
      </c>
      <c r="E331" s="7">
        <v>0</v>
      </c>
      <c r="F331" s="7">
        <v>0</v>
      </c>
      <c r="G331" s="7">
        <v>-1.4990516053215155E-2</v>
      </c>
      <c r="H331" s="7">
        <v>0</v>
      </c>
      <c r="I331" s="7">
        <v>0</v>
      </c>
      <c r="J331" s="7">
        <v>0</v>
      </c>
      <c r="K331" s="7">
        <v>0</v>
      </c>
      <c r="L331" s="3">
        <f t="shared" si="47"/>
        <v>-4.11214143713097E-5</v>
      </c>
      <c r="M331" s="3">
        <v>-0.45800000000000002</v>
      </c>
      <c r="N331" s="3">
        <v>2.125</v>
      </c>
      <c r="O331" s="3">
        <v>-2.1000000000000001E-2</v>
      </c>
      <c r="P331" s="35">
        <v>0</v>
      </c>
      <c r="Q331" s="35">
        <v>0</v>
      </c>
      <c r="R331" s="35">
        <v>-1.49698E-2</v>
      </c>
      <c r="S331" s="35">
        <v>-4.76502E-3</v>
      </c>
      <c r="T331" s="35">
        <v>0</v>
      </c>
      <c r="U331" s="35">
        <v>0</v>
      </c>
      <c r="V331" s="35">
        <v>4.76502E-3</v>
      </c>
    </row>
    <row r="332" spans="1:22">
      <c r="A332" s="7"/>
      <c r="B332" s="8"/>
      <c r="C332" s="8"/>
      <c r="D332" s="8"/>
      <c r="E332" s="7"/>
      <c r="F332" s="7"/>
      <c r="G332" s="7"/>
      <c r="H332" s="7"/>
      <c r="I332" s="7"/>
      <c r="J332" s="7"/>
      <c r="K332" s="7"/>
    </row>
    <row r="333" spans="1:22">
      <c r="A333" s="7"/>
      <c r="B333" s="8">
        <v>-1.0419123890112216</v>
      </c>
      <c r="C333" s="8">
        <v>4.0818532431212473E-2</v>
      </c>
      <c r="D333" s="8">
        <v>-0.77248383184656022</v>
      </c>
      <c r="E333" s="7">
        <v>-1.4990516053215155E-2</v>
      </c>
      <c r="F333" s="7">
        <v>0</v>
      </c>
      <c r="G333" s="7">
        <v>0</v>
      </c>
      <c r="H333" s="7">
        <v>-2.2872089329671663E-2</v>
      </c>
      <c r="I333" s="7">
        <v>2.1796664656245589E-2</v>
      </c>
      <c r="J333" s="7">
        <v>0</v>
      </c>
      <c r="K333" s="7">
        <v>0</v>
      </c>
      <c r="L333" s="3">
        <f t="shared" ref="L333:L369" si="48">B333-M333+C333-N333+D333-O333</f>
        <v>-5.7768842656935604E-4</v>
      </c>
      <c r="M333" s="3">
        <v>-1.042</v>
      </c>
      <c r="N333" s="3">
        <v>4.1000000000000002E-2</v>
      </c>
      <c r="O333" s="3">
        <v>-0.77200000000000002</v>
      </c>
      <c r="P333" s="35">
        <v>-1.49698E-2</v>
      </c>
      <c r="Q333" s="35">
        <v>0</v>
      </c>
      <c r="R333" s="35">
        <v>0</v>
      </c>
      <c r="S333" s="35">
        <v>-4.76502E-3</v>
      </c>
      <c r="T333" s="35">
        <v>4.76502E-3</v>
      </c>
      <c r="U333" s="35">
        <v>0</v>
      </c>
      <c r="V333" s="35">
        <v>0</v>
      </c>
    </row>
    <row r="334" spans="1:22">
      <c r="A334" s="7" t="s">
        <v>99</v>
      </c>
      <c r="B334" s="8">
        <v>-2.0770709056556562</v>
      </c>
      <c r="C334" s="8">
        <v>2.1445635165533226</v>
      </c>
      <c r="D334" s="8">
        <v>5.6653180844775664E-2</v>
      </c>
      <c r="E334" s="7">
        <v>0</v>
      </c>
      <c r="F334" s="7">
        <v>-1.4990516053215155E-2</v>
      </c>
      <c r="G334" s="7">
        <v>0</v>
      </c>
      <c r="H334" s="7">
        <v>-2.2872089329671663E-2</v>
      </c>
      <c r="I334" s="7">
        <v>0</v>
      </c>
      <c r="J334" s="7">
        <v>1.5970575730977998E-2</v>
      </c>
      <c r="K334" s="7">
        <v>0</v>
      </c>
      <c r="L334" s="3">
        <f t="shared" si="47"/>
        <v>-8.5420825755806035E-4</v>
      </c>
      <c r="M334" s="3">
        <v>-2.077</v>
      </c>
      <c r="N334" s="3">
        <v>2.145</v>
      </c>
      <c r="O334" s="3">
        <v>5.7000000000000002E-2</v>
      </c>
      <c r="P334" s="35">
        <v>0</v>
      </c>
      <c r="Q334" s="35">
        <v>-1.49698E-2</v>
      </c>
      <c r="R334" s="35">
        <v>0</v>
      </c>
      <c r="S334" s="35">
        <v>-4.76502E-3</v>
      </c>
      <c r="T334" s="35">
        <v>0</v>
      </c>
      <c r="U334" s="35">
        <v>4.76502E-3</v>
      </c>
      <c r="V334" s="35">
        <v>0</v>
      </c>
    </row>
    <row r="335" spans="1:22">
      <c r="A335" s="7"/>
      <c r="B335" s="8">
        <v>-1.0673702345396179</v>
      </c>
      <c r="C335" s="8">
        <v>2.4075843796929846</v>
      </c>
      <c r="D335" s="8">
        <v>-0.708799578341892</v>
      </c>
      <c r="E335" s="7">
        <v>0</v>
      </c>
      <c r="F335" s="7">
        <v>0</v>
      </c>
      <c r="G335" s="7">
        <v>-1.4990516053215155E-2</v>
      </c>
      <c r="H335" s="7">
        <v>-2.2872089329671663E-2</v>
      </c>
      <c r="I335" s="7">
        <v>0</v>
      </c>
      <c r="J335" s="7">
        <v>0</v>
      </c>
      <c r="K335" s="7">
        <v>2.0521745021313972E-2</v>
      </c>
      <c r="L335" s="3">
        <f t="shared" si="47"/>
        <v>-5.8543318852555259E-4</v>
      </c>
      <c r="M335" s="3">
        <v>-1.0669999999999999</v>
      </c>
      <c r="N335" s="3">
        <v>2.4079999999999999</v>
      </c>
      <c r="O335" s="3">
        <v>-0.70899999999999996</v>
      </c>
      <c r="P335" s="35">
        <v>0</v>
      </c>
      <c r="Q335" s="35">
        <v>0</v>
      </c>
      <c r="R335" s="35">
        <v>-1.49698E-2</v>
      </c>
      <c r="S335" s="35">
        <v>-4.76502E-3</v>
      </c>
      <c r="T335" s="35">
        <v>0</v>
      </c>
      <c r="U335" s="35">
        <v>0</v>
      </c>
      <c r="V335" s="35">
        <v>4.76502E-3</v>
      </c>
    </row>
    <row r="336" spans="1:22">
      <c r="A336" s="7"/>
      <c r="B336" s="8"/>
      <c r="C336" s="8"/>
      <c r="D336" s="8"/>
      <c r="E336" s="7"/>
      <c r="F336" s="7"/>
      <c r="G336" s="7"/>
      <c r="H336" s="7"/>
      <c r="I336" s="7"/>
      <c r="J336" s="7"/>
      <c r="K336" s="7"/>
    </row>
    <row r="337" spans="1:22">
      <c r="A337" s="7"/>
      <c r="B337" s="8">
        <v>-1.0419123890112216</v>
      </c>
      <c r="C337" s="8">
        <v>4.0818532431212473E-2</v>
      </c>
      <c r="D337" s="8">
        <v>-0.77248383184656022</v>
      </c>
      <c r="E337" s="7">
        <v>-1.4990516053215155E-2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3">
        <f t="shared" ref="L337:L373" si="49">B337-M337+C337-N337+D337-O337</f>
        <v>-5.7768842656935604E-4</v>
      </c>
      <c r="M337" s="3">
        <v>-1.042</v>
      </c>
      <c r="N337" s="3">
        <v>4.1000000000000002E-2</v>
      </c>
      <c r="O337" s="3">
        <v>-0.77200000000000002</v>
      </c>
      <c r="P337" s="35">
        <v>-1.49698E-2</v>
      </c>
      <c r="Q337" s="35">
        <v>0</v>
      </c>
      <c r="R337" s="35">
        <v>0</v>
      </c>
      <c r="S337" s="35">
        <v>-4.76502E-3</v>
      </c>
      <c r="T337" s="35">
        <v>4.76502E-3</v>
      </c>
      <c r="U337" s="35">
        <v>0</v>
      </c>
      <c r="V337" s="35">
        <v>0</v>
      </c>
    </row>
    <row r="338" spans="1:22">
      <c r="A338" s="7" t="s">
        <v>100</v>
      </c>
      <c r="B338" s="8">
        <v>-0.45824053226673911</v>
      </c>
      <c r="C338" s="8">
        <v>2.124969022302313</v>
      </c>
      <c r="D338" s="8">
        <v>-2.076961144994538E-2</v>
      </c>
      <c r="E338" s="7">
        <v>0</v>
      </c>
      <c r="F338" s="7">
        <v>-1.4990516053215155E-2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3">
        <f t="shared" si="47"/>
        <v>-4.11214143713097E-5</v>
      </c>
      <c r="M338" s="3">
        <v>-0.45800000000000002</v>
      </c>
      <c r="N338" s="3">
        <v>2.125</v>
      </c>
      <c r="O338" s="3">
        <v>-2.1000000000000001E-2</v>
      </c>
      <c r="P338" s="35">
        <v>0</v>
      </c>
      <c r="Q338" s="35">
        <v>-1.49698E-2</v>
      </c>
      <c r="R338" s="35">
        <v>0</v>
      </c>
      <c r="S338" s="35">
        <v>-4.76502E-3</v>
      </c>
      <c r="T338" s="35">
        <v>0</v>
      </c>
      <c r="U338" s="35">
        <v>4.76502E-3</v>
      </c>
      <c r="V338" s="35">
        <v>0</v>
      </c>
    </row>
    <row r="339" spans="1:22">
      <c r="A339" s="7"/>
      <c r="B339" s="8">
        <v>-1.0673702345396179</v>
      </c>
      <c r="C339" s="8">
        <v>2.4075843796929846</v>
      </c>
      <c r="D339" s="8">
        <v>-0.708799578341892</v>
      </c>
      <c r="E339" s="7">
        <v>0</v>
      </c>
      <c r="F339" s="7">
        <v>0</v>
      </c>
      <c r="G339" s="7">
        <v>-1.4990516053215155E-2</v>
      </c>
      <c r="H339" s="7">
        <v>0</v>
      </c>
      <c r="I339" s="7">
        <v>0</v>
      </c>
      <c r="J339" s="7">
        <v>0</v>
      </c>
      <c r="K339" s="7">
        <v>0</v>
      </c>
      <c r="L339" s="3">
        <f t="shared" si="47"/>
        <v>-5.8543318852555259E-4</v>
      </c>
      <c r="M339" s="3">
        <v>-1.0669999999999999</v>
      </c>
      <c r="N339" s="3">
        <v>2.4079999999999999</v>
      </c>
      <c r="O339" s="3">
        <v>-0.70899999999999996</v>
      </c>
      <c r="P339" s="35">
        <v>0</v>
      </c>
      <c r="Q339" s="35">
        <v>0</v>
      </c>
      <c r="R339" s="35">
        <v>-1.49698E-2</v>
      </c>
      <c r="S339" s="35">
        <v>-4.76502E-3</v>
      </c>
      <c r="T339" s="35">
        <v>0</v>
      </c>
      <c r="U339" s="35">
        <v>0</v>
      </c>
      <c r="V339" s="35">
        <v>4.76502E-3</v>
      </c>
    </row>
    <row r="340" spans="1:22">
      <c r="A340" s="7"/>
      <c r="B340" s="8"/>
      <c r="C340" s="8"/>
      <c r="D340" s="8"/>
      <c r="E340" s="7"/>
      <c r="F340" s="7"/>
      <c r="G340" s="7"/>
      <c r="H340" s="7"/>
      <c r="I340" s="7"/>
      <c r="J340" s="7"/>
      <c r="K340" s="7"/>
    </row>
    <row r="341" spans="1:22">
      <c r="A341" s="7"/>
      <c r="B341" s="8">
        <v>-2.2957880185781296</v>
      </c>
      <c r="C341" s="8">
        <v>8.2263663034425338E-3</v>
      </c>
      <c r="D341" s="8">
        <v>-3.3137218009327896E-2</v>
      </c>
      <c r="E341" s="7">
        <v>-1.4990516053215155E-2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3">
        <f t="shared" ref="L341:L377" si="50">B341-M341+C341-N341+D341-O341</f>
        <v>3.0112971598481725E-4</v>
      </c>
      <c r="M341" s="3">
        <v>-2.2959999999999998</v>
      </c>
      <c r="N341" s="3">
        <v>8.0000000000000002E-3</v>
      </c>
      <c r="O341" s="3">
        <v>-3.3000000000000002E-2</v>
      </c>
      <c r="P341" s="35">
        <v>-1.49698E-2</v>
      </c>
      <c r="Q341" s="35">
        <v>0</v>
      </c>
      <c r="R341" s="35">
        <v>0</v>
      </c>
      <c r="S341" s="35">
        <v>-4.76502E-3</v>
      </c>
      <c r="T341" s="35">
        <v>4.76502E-3</v>
      </c>
      <c r="U341" s="35">
        <v>0</v>
      </c>
      <c r="V341" s="35">
        <v>0</v>
      </c>
    </row>
    <row r="342" spans="1:22">
      <c r="A342" s="7" t="s">
        <v>101</v>
      </c>
      <c r="B342" s="8">
        <v>-2.44475956514645</v>
      </c>
      <c r="C342" s="8">
        <v>0.85548399177677847</v>
      </c>
      <c r="D342" s="8">
        <v>-5.2896656816179721E-2</v>
      </c>
      <c r="E342" s="7">
        <v>0</v>
      </c>
      <c r="F342" s="7">
        <v>-1.4990516053215155E-2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3">
        <f t="shared" si="47"/>
        <v>-1.7223018585137834E-4</v>
      </c>
      <c r="M342" s="3">
        <v>-2.4449999999999998</v>
      </c>
      <c r="N342" s="3">
        <v>0.85599999999999998</v>
      </c>
      <c r="O342" s="3">
        <v>-5.2999999999999999E-2</v>
      </c>
      <c r="P342" s="35">
        <v>0</v>
      </c>
      <c r="Q342" s="35">
        <v>-1.49698E-2</v>
      </c>
      <c r="R342" s="35">
        <v>0</v>
      </c>
      <c r="S342" s="35">
        <v>-4.76502E-3</v>
      </c>
      <c r="T342" s="35">
        <v>0</v>
      </c>
      <c r="U342" s="35">
        <v>4.76502E-3</v>
      </c>
      <c r="V342" s="35">
        <v>0</v>
      </c>
    </row>
    <row r="343" spans="1:22">
      <c r="A343" s="7"/>
      <c r="B343" s="8">
        <v>0.40019020491700363</v>
      </c>
      <c r="C343" s="8">
        <v>1.0840062473010013</v>
      </c>
      <c r="D343" s="8">
        <v>1.6840506224230944E-2</v>
      </c>
      <c r="E343" s="7">
        <v>0</v>
      </c>
      <c r="F343" s="7">
        <v>0</v>
      </c>
      <c r="G343" s="7">
        <v>-1.4990516053215155E-2</v>
      </c>
      <c r="H343" s="7">
        <v>0</v>
      </c>
      <c r="I343" s="7">
        <v>0</v>
      </c>
      <c r="J343" s="7">
        <v>0</v>
      </c>
      <c r="K343" s="7">
        <v>0</v>
      </c>
      <c r="L343" s="3">
        <f t="shared" si="47"/>
        <v>3.6958442235626721E-5</v>
      </c>
      <c r="M343" s="3">
        <v>0.4</v>
      </c>
      <c r="N343" s="3">
        <v>1.0840000000000001</v>
      </c>
      <c r="O343" s="3">
        <v>1.7000000000000001E-2</v>
      </c>
      <c r="P343" s="35">
        <v>0</v>
      </c>
      <c r="Q343" s="35">
        <v>0</v>
      </c>
      <c r="R343" s="35">
        <v>-1.49698E-2</v>
      </c>
      <c r="S343" s="35">
        <v>-4.76502E-3</v>
      </c>
      <c r="T343" s="35">
        <v>0</v>
      </c>
      <c r="U343" s="35">
        <v>0</v>
      </c>
      <c r="V343" s="35">
        <v>4.76502E-3</v>
      </c>
    </row>
    <row r="344" spans="1:22">
      <c r="A344" s="7"/>
      <c r="B344" s="8"/>
      <c r="C344" s="8"/>
      <c r="D344" s="8"/>
      <c r="E344" s="7"/>
      <c r="F344" s="7"/>
      <c r="G344" s="7"/>
      <c r="H344" s="7"/>
      <c r="I344" s="7"/>
      <c r="J344" s="7"/>
      <c r="K344" s="7"/>
    </row>
    <row r="345" spans="1:22">
      <c r="A345" s="7"/>
      <c r="B345" s="8">
        <v>-2.2957880185781296</v>
      </c>
      <c r="C345" s="8">
        <v>8.2263663034425338E-3</v>
      </c>
      <c r="D345" s="8">
        <v>-3.3137218009327896E-2</v>
      </c>
      <c r="E345" s="7">
        <v>-1.4990516053215155E-2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3">
        <f t="shared" ref="L345:L381" si="51">B345-M345+C345-N345+D345-O345</f>
        <v>3.0112971598481725E-4</v>
      </c>
      <c r="M345" s="3">
        <v>-2.2959999999999998</v>
      </c>
      <c r="N345" s="3">
        <v>8.0000000000000002E-3</v>
      </c>
      <c r="O345" s="3">
        <v>-3.3000000000000002E-2</v>
      </c>
      <c r="P345" s="35">
        <v>-1.49698E-2</v>
      </c>
      <c r="Q345" s="35">
        <v>0</v>
      </c>
      <c r="R345" s="35">
        <v>0</v>
      </c>
      <c r="S345" s="35">
        <v>-4.76502E-3</v>
      </c>
      <c r="T345" s="35">
        <v>4.76502E-3</v>
      </c>
      <c r="U345" s="35">
        <v>0</v>
      </c>
      <c r="V345" s="35">
        <v>0</v>
      </c>
    </row>
    <row r="346" spans="1:22">
      <c r="A346" s="7" t="s">
        <v>102</v>
      </c>
      <c r="B346" s="8">
        <v>-2.44475956514645</v>
      </c>
      <c r="C346" s="8">
        <v>0.85548399177677847</v>
      </c>
      <c r="D346" s="8">
        <v>-5.2896656816179721E-2</v>
      </c>
      <c r="E346" s="7">
        <v>0</v>
      </c>
      <c r="F346" s="7">
        <v>-1.4990516053215155E-2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3">
        <f t="shared" si="47"/>
        <v>-1.7223018585137834E-4</v>
      </c>
      <c r="M346" s="3">
        <v>-2.4449999999999998</v>
      </c>
      <c r="N346" s="3">
        <v>0.85599999999999998</v>
      </c>
      <c r="O346" s="3">
        <v>-5.2999999999999999E-2</v>
      </c>
      <c r="P346" s="35">
        <v>0</v>
      </c>
      <c r="Q346" s="35">
        <v>-1.49698E-2</v>
      </c>
      <c r="R346" s="35">
        <v>0</v>
      </c>
      <c r="S346" s="35">
        <v>-4.76502E-3</v>
      </c>
      <c r="T346" s="35">
        <v>0</v>
      </c>
      <c r="U346" s="35">
        <v>4.76502E-3</v>
      </c>
      <c r="V346" s="35">
        <v>0</v>
      </c>
    </row>
    <row r="347" spans="1:22">
      <c r="A347" s="7"/>
      <c r="B347" s="8">
        <v>-2.0770709056556562</v>
      </c>
      <c r="C347" s="8">
        <v>2.1445635165533226</v>
      </c>
      <c r="D347" s="8">
        <v>5.6653180844775664E-2</v>
      </c>
      <c r="E347" s="7">
        <v>0</v>
      </c>
      <c r="F347" s="7">
        <v>0</v>
      </c>
      <c r="G347" s="7">
        <v>-1.4990516053215155E-2</v>
      </c>
      <c r="H347" s="7">
        <v>0</v>
      </c>
      <c r="I347" s="7">
        <v>0</v>
      </c>
      <c r="J347" s="7">
        <v>0</v>
      </c>
      <c r="K347" s="7">
        <v>0</v>
      </c>
      <c r="L347" s="3">
        <f t="shared" si="47"/>
        <v>-8.5420825755806035E-4</v>
      </c>
      <c r="M347" s="3">
        <v>-2.077</v>
      </c>
      <c r="N347" s="3">
        <v>2.145</v>
      </c>
      <c r="O347" s="3">
        <v>5.7000000000000002E-2</v>
      </c>
      <c r="P347" s="35">
        <v>0</v>
      </c>
      <c r="Q347" s="35">
        <v>0</v>
      </c>
      <c r="R347" s="35">
        <v>-1.49698E-2</v>
      </c>
      <c r="S347" s="35">
        <v>-4.76502E-3</v>
      </c>
      <c r="T347" s="35">
        <v>0</v>
      </c>
      <c r="U347" s="35">
        <v>0</v>
      </c>
      <c r="V347" s="35">
        <v>4.76502E-3</v>
      </c>
    </row>
    <row r="348" spans="1:22">
      <c r="A348" s="7"/>
      <c r="B348" s="8"/>
      <c r="C348" s="8"/>
      <c r="D348" s="8"/>
      <c r="E348" s="7"/>
      <c r="F348" s="7"/>
      <c r="G348" s="7"/>
      <c r="H348" s="7"/>
      <c r="I348" s="7"/>
      <c r="J348" s="7"/>
      <c r="K348" s="7"/>
    </row>
    <row r="349" spans="1:22">
      <c r="A349" s="7"/>
      <c r="B349" s="8">
        <v>-2.2957880185781296</v>
      </c>
      <c r="C349" s="8">
        <v>8.2263663034425338E-3</v>
      </c>
      <c r="D349" s="8">
        <v>-3.3137218009327896E-2</v>
      </c>
      <c r="E349" s="7">
        <v>-1.4990516053215155E-2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3">
        <f t="shared" ref="L349:L385" si="52">B349-M349+C349-N349+D349-O349</f>
        <v>3.0112971598481725E-4</v>
      </c>
      <c r="M349" s="3">
        <v>-2.2959999999999998</v>
      </c>
      <c r="N349" s="3">
        <v>8.0000000000000002E-3</v>
      </c>
      <c r="O349" s="3">
        <v>-3.3000000000000002E-2</v>
      </c>
      <c r="P349" s="35">
        <v>-1.49698E-2</v>
      </c>
      <c r="Q349" s="35">
        <v>0</v>
      </c>
      <c r="R349" s="35">
        <v>0</v>
      </c>
      <c r="S349" s="35">
        <v>-4.76502E-3</v>
      </c>
      <c r="T349" s="35">
        <v>4.76502E-3</v>
      </c>
      <c r="U349" s="35">
        <v>0</v>
      </c>
      <c r="V349" s="35">
        <v>0</v>
      </c>
    </row>
    <row r="350" spans="1:22">
      <c r="A350" s="7" t="s">
        <v>103</v>
      </c>
      <c r="B350" s="8">
        <v>-2.44475956514645</v>
      </c>
      <c r="C350" s="8">
        <v>0.85548399177677847</v>
      </c>
      <c r="D350" s="8">
        <v>-5.2896656816179721E-2</v>
      </c>
      <c r="E350" s="7">
        <v>0</v>
      </c>
      <c r="F350" s="7">
        <v>-1.4990516053215155E-2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3">
        <f t="shared" si="47"/>
        <v>-1.7223018585137834E-4</v>
      </c>
      <c r="M350" s="3">
        <v>-2.4449999999999998</v>
      </c>
      <c r="N350" s="3">
        <v>0.85599999999999998</v>
      </c>
      <c r="O350" s="3">
        <v>-5.2999999999999999E-2</v>
      </c>
      <c r="P350" s="35">
        <v>0</v>
      </c>
      <c r="Q350" s="35">
        <v>-1.49698E-2</v>
      </c>
      <c r="R350" s="35">
        <v>0</v>
      </c>
      <c r="S350" s="35">
        <v>-4.76502E-3</v>
      </c>
      <c r="T350" s="35">
        <v>0</v>
      </c>
      <c r="U350" s="35">
        <v>4.76502E-3</v>
      </c>
      <c r="V350" s="35">
        <v>0</v>
      </c>
    </row>
    <row r="351" spans="1:22">
      <c r="A351" s="7"/>
      <c r="B351" s="8">
        <v>-0.45824053226673911</v>
      </c>
      <c r="C351" s="8">
        <v>2.124969022302313</v>
      </c>
      <c r="D351" s="8">
        <v>-2.076961144994538E-2</v>
      </c>
      <c r="E351" s="7">
        <v>0</v>
      </c>
      <c r="F351" s="7">
        <v>0</v>
      </c>
      <c r="G351" s="7">
        <v>-1.4990516053215155E-2</v>
      </c>
      <c r="H351" s="7">
        <v>0</v>
      </c>
      <c r="I351" s="7">
        <v>0</v>
      </c>
      <c r="J351" s="7">
        <v>0</v>
      </c>
      <c r="K351" s="7">
        <v>0</v>
      </c>
      <c r="L351" s="3">
        <f t="shared" si="47"/>
        <v>-4.11214143713097E-5</v>
      </c>
      <c r="M351" s="3">
        <v>-0.45800000000000002</v>
      </c>
      <c r="N351" s="3">
        <v>2.125</v>
      </c>
      <c r="O351" s="3">
        <v>-2.1000000000000001E-2</v>
      </c>
      <c r="P351" s="35">
        <v>0</v>
      </c>
      <c r="Q351" s="35">
        <v>0</v>
      </c>
      <c r="R351" s="35">
        <v>-1.49698E-2</v>
      </c>
      <c r="S351" s="35">
        <v>-4.76502E-3</v>
      </c>
      <c r="T351" s="35">
        <v>0</v>
      </c>
      <c r="U351" s="35">
        <v>0</v>
      </c>
      <c r="V351" s="35">
        <v>4.76502E-3</v>
      </c>
    </row>
    <row r="352" spans="1:22">
      <c r="A352" s="7"/>
      <c r="B352" s="8"/>
      <c r="C352" s="8"/>
      <c r="D352" s="8"/>
      <c r="E352" s="7"/>
      <c r="F352" s="7"/>
      <c r="G352" s="7"/>
      <c r="H352" s="7"/>
      <c r="I352" s="7"/>
      <c r="J352" s="7"/>
      <c r="K352" s="7"/>
    </row>
    <row r="353" spans="1:22">
      <c r="A353" s="7"/>
      <c r="B353" s="8">
        <v>-2.2957880185781296</v>
      </c>
      <c r="C353" s="8">
        <v>8.2263663034425338E-3</v>
      </c>
      <c r="D353" s="8">
        <v>-3.3137218009327896E-2</v>
      </c>
      <c r="E353" s="7">
        <v>-1.4990516053215155E-2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3">
        <f t="shared" ref="L353:L389" si="53">B353-M353+C353-N353+D353-O353</f>
        <v>3.0112971598481725E-4</v>
      </c>
      <c r="M353" s="3">
        <v>-2.2959999999999998</v>
      </c>
      <c r="N353" s="3">
        <v>8.0000000000000002E-3</v>
      </c>
      <c r="O353" s="3">
        <v>-3.3000000000000002E-2</v>
      </c>
      <c r="P353" s="35">
        <v>-1.49698E-2</v>
      </c>
      <c r="Q353" s="35">
        <v>0</v>
      </c>
      <c r="R353" s="35">
        <v>0</v>
      </c>
      <c r="S353" s="35">
        <v>-4.76502E-3</v>
      </c>
      <c r="T353" s="35">
        <v>4.76502E-3</v>
      </c>
      <c r="U353" s="35">
        <v>0</v>
      </c>
      <c r="V353" s="35">
        <v>0</v>
      </c>
    </row>
    <row r="354" spans="1:22">
      <c r="A354" s="7" t="s">
        <v>104</v>
      </c>
      <c r="B354" s="8">
        <v>-2.44475956514645</v>
      </c>
      <c r="C354" s="8">
        <v>0.85548399177677847</v>
      </c>
      <c r="D354" s="8">
        <v>-5.2896656816179721E-2</v>
      </c>
      <c r="E354" s="7">
        <v>0</v>
      </c>
      <c r="F354" s="7">
        <v>-1.4990516053215155E-2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3">
        <f t="shared" si="47"/>
        <v>-1.7223018585137834E-4</v>
      </c>
      <c r="M354" s="3">
        <v>-2.4449999999999998</v>
      </c>
      <c r="N354" s="3">
        <v>0.85599999999999998</v>
      </c>
      <c r="O354" s="3">
        <v>-5.2999999999999999E-2</v>
      </c>
      <c r="P354" s="35">
        <v>0</v>
      </c>
      <c r="Q354" s="35">
        <v>-1.49698E-2</v>
      </c>
      <c r="R354" s="35">
        <v>0</v>
      </c>
      <c r="S354" s="35">
        <v>-4.76502E-3</v>
      </c>
      <c r="T354" s="35">
        <v>0</v>
      </c>
      <c r="U354" s="35">
        <v>4.76502E-3</v>
      </c>
      <c r="V354" s="35">
        <v>0</v>
      </c>
    </row>
    <row r="355" spans="1:22">
      <c r="A355" s="7"/>
      <c r="B355" s="8">
        <v>-1.0673702345396179</v>
      </c>
      <c r="C355" s="8">
        <v>2.4075843796929846</v>
      </c>
      <c r="D355" s="8">
        <v>-0.708799578341892</v>
      </c>
      <c r="E355" s="7">
        <v>0</v>
      </c>
      <c r="F355" s="7">
        <v>0</v>
      </c>
      <c r="G355" s="7">
        <v>-1.4990516053215155E-2</v>
      </c>
      <c r="H355" s="7">
        <v>0</v>
      </c>
      <c r="I355" s="7">
        <v>0</v>
      </c>
      <c r="J355" s="7">
        <v>0</v>
      </c>
      <c r="K355" s="7">
        <v>0</v>
      </c>
      <c r="L355" s="3">
        <f t="shared" si="47"/>
        <v>-5.8543318852555259E-4</v>
      </c>
      <c r="M355" s="3">
        <v>-1.0669999999999999</v>
      </c>
      <c r="N355" s="3">
        <v>2.4079999999999999</v>
      </c>
      <c r="O355" s="3">
        <v>-0.70899999999999996</v>
      </c>
      <c r="P355" s="35">
        <v>0</v>
      </c>
      <c r="Q355" s="35">
        <v>0</v>
      </c>
      <c r="R355" s="35">
        <v>-1.49698E-2</v>
      </c>
      <c r="S355" s="35">
        <v>-4.76502E-3</v>
      </c>
      <c r="T355" s="35">
        <v>0</v>
      </c>
      <c r="U355" s="35">
        <v>0</v>
      </c>
      <c r="V355" s="35">
        <v>4.76502E-3</v>
      </c>
    </row>
    <row r="356" spans="1:22">
      <c r="A356" s="7"/>
      <c r="B356" s="8"/>
      <c r="C356" s="8"/>
      <c r="D356" s="8"/>
      <c r="E356" s="7"/>
      <c r="F356" s="7"/>
      <c r="G356" s="7"/>
      <c r="H356" s="7"/>
      <c r="I356" s="7"/>
      <c r="J356" s="7"/>
      <c r="K356" s="7"/>
    </row>
    <row r="357" spans="1:22">
      <c r="A357" s="7"/>
      <c r="B357" s="8">
        <v>-2.2957880185781296</v>
      </c>
      <c r="C357" s="8">
        <v>8.2263663034425338E-3</v>
      </c>
      <c r="D357" s="8">
        <v>-3.3137218009327896E-2</v>
      </c>
      <c r="E357" s="7">
        <v>-1.4990516053215155E-2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3">
        <f t="shared" ref="L357:L419" si="54">B357-M357+C357-N357+D357-O357</f>
        <v>3.0112971598481725E-4</v>
      </c>
      <c r="M357" s="3">
        <v>-2.2959999999999998</v>
      </c>
      <c r="N357" s="3">
        <v>8.0000000000000002E-3</v>
      </c>
      <c r="O357" s="3">
        <v>-3.3000000000000002E-2</v>
      </c>
      <c r="P357" s="35">
        <v>-1.49698E-2</v>
      </c>
      <c r="Q357" s="35">
        <v>0</v>
      </c>
      <c r="R357" s="35">
        <v>0</v>
      </c>
      <c r="S357" s="35">
        <v>-4.76502E-3</v>
      </c>
      <c r="T357" s="35">
        <v>4.76502E-3</v>
      </c>
      <c r="U357" s="35">
        <v>0</v>
      </c>
      <c r="V357" s="35">
        <v>0</v>
      </c>
    </row>
    <row r="358" spans="1:22">
      <c r="A358" s="7" t="s">
        <v>105</v>
      </c>
      <c r="B358" s="8">
        <v>0.40019020491700363</v>
      </c>
      <c r="C358" s="8">
        <v>1.0840062473010013</v>
      </c>
      <c r="D358" s="8">
        <v>1.6840506224230944E-2</v>
      </c>
      <c r="E358" s="7">
        <v>0</v>
      </c>
      <c r="F358" s="7">
        <v>-1.4990516053215155E-2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3">
        <f t="shared" si="47"/>
        <v>3.6958442235626721E-5</v>
      </c>
      <c r="M358" s="3">
        <v>0.4</v>
      </c>
      <c r="N358" s="3">
        <v>1.0840000000000001</v>
      </c>
      <c r="O358" s="3">
        <v>1.7000000000000001E-2</v>
      </c>
      <c r="P358" s="35">
        <v>0</v>
      </c>
      <c r="Q358" s="35">
        <v>-1.49698E-2</v>
      </c>
      <c r="R358" s="35">
        <v>0</v>
      </c>
      <c r="S358" s="35">
        <v>-4.76502E-3</v>
      </c>
      <c r="T358" s="35">
        <v>0</v>
      </c>
      <c r="U358" s="35">
        <v>4.76502E-3</v>
      </c>
      <c r="V358" s="35">
        <v>0</v>
      </c>
    </row>
    <row r="359" spans="1:22">
      <c r="A359" s="7"/>
      <c r="B359" s="8">
        <v>-2.0770709056556562</v>
      </c>
      <c r="C359" s="8">
        <v>2.1445635165533226</v>
      </c>
      <c r="D359" s="8">
        <v>5.6653180844775664E-2</v>
      </c>
      <c r="E359" s="7">
        <v>0</v>
      </c>
      <c r="F359" s="7">
        <v>0</v>
      </c>
      <c r="G359" s="7">
        <v>-1.4990516053215155E-2</v>
      </c>
      <c r="H359" s="7">
        <v>0</v>
      </c>
      <c r="I359" s="7">
        <v>0</v>
      </c>
      <c r="J359" s="7">
        <v>0</v>
      </c>
      <c r="K359" s="7">
        <v>0</v>
      </c>
      <c r="L359" s="3">
        <f t="shared" si="47"/>
        <v>-8.5420825755806035E-4</v>
      </c>
      <c r="M359" s="3">
        <v>-2.077</v>
      </c>
      <c r="N359" s="3">
        <v>2.145</v>
      </c>
      <c r="O359" s="3">
        <v>5.7000000000000002E-2</v>
      </c>
      <c r="P359" s="35">
        <v>0</v>
      </c>
      <c r="Q359" s="35">
        <v>0</v>
      </c>
      <c r="R359" s="35">
        <v>-1.49698E-2</v>
      </c>
      <c r="S359" s="35">
        <v>-4.76502E-3</v>
      </c>
      <c r="T359" s="35">
        <v>0</v>
      </c>
      <c r="U359" s="35">
        <v>0</v>
      </c>
      <c r="V359" s="35">
        <v>4.76502E-3</v>
      </c>
    </row>
    <row r="360" spans="1:22">
      <c r="A360" s="7"/>
      <c r="B360" s="8"/>
      <c r="C360" s="8"/>
      <c r="D360" s="8"/>
      <c r="E360" s="7"/>
      <c r="F360" s="7"/>
      <c r="G360" s="7"/>
      <c r="H360" s="7"/>
      <c r="I360" s="7"/>
      <c r="J360" s="7"/>
      <c r="K360" s="7"/>
    </row>
    <row r="361" spans="1:22">
      <c r="A361" s="7"/>
      <c r="B361" s="8">
        <v>-2.2957880185781296</v>
      </c>
      <c r="C361" s="8">
        <v>8.2263663034425338E-3</v>
      </c>
      <c r="D361" s="8">
        <v>-3.3137218009327896E-2</v>
      </c>
      <c r="E361" s="7">
        <v>-1.4990516053215155E-2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3">
        <f t="shared" ref="L361" si="55">B361-M361+C361-N361+D361-O361</f>
        <v>3.0112971598481725E-4</v>
      </c>
      <c r="M361" s="3">
        <v>-2.2959999999999998</v>
      </c>
      <c r="N361" s="3">
        <v>8.0000000000000002E-3</v>
      </c>
      <c r="O361" s="3">
        <v>-3.3000000000000002E-2</v>
      </c>
      <c r="P361" s="35">
        <v>-1.49698E-2</v>
      </c>
      <c r="Q361" s="35">
        <v>0</v>
      </c>
      <c r="R361" s="35">
        <v>0</v>
      </c>
      <c r="S361" s="35">
        <v>-4.76502E-3</v>
      </c>
      <c r="T361" s="35">
        <v>4.76502E-3</v>
      </c>
      <c r="U361" s="35">
        <v>0</v>
      </c>
      <c r="V361" s="35">
        <v>0</v>
      </c>
    </row>
    <row r="362" spans="1:22">
      <c r="A362" s="7" t="s">
        <v>106</v>
      </c>
      <c r="B362" s="8">
        <v>0.40019020491700363</v>
      </c>
      <c r="C362" s="8">
        <v>1.0840062473010013</v>
      </c>
      <c r="D362" s="8">
        <v>1.6840506224230944E-2</v>
      </c>
      <c r="E362" s="7">
        <v>0</v>
      </c>
      <c r="F362" s="7">
        <v>-1.4990516053215155E-2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3">
        <f t="shared" si="46"/>
        <v>3.6958442235626721E-5</v>
      </c>
      <c r="M362" s="3">
        <v>0.4</v>
      </c>
      <c r="N362" s="3">
        <v>1.0840000000000001</v>
      </c>
      <c r="O362" s="3">
        <v>1.7000000000000001E-2</v>
      </c>
      <c r="P362" s="35">
        <v>0</v>
      </c>
      <c r="Q362" s="35">
        <v>-1.49698E-2</v>
      </c>
      <c r="R362" s="35">
        <v>0</v>
      </c>
      <c r="S362" s="35">
        <v>-4.76502E-3</v>
      </c>
      <c r="T362" s="35">
        <v>0</v>
      </c>
      <c r="U362" s="35">
        <v>4.76502E-3</v>
      </c>
      <c r="V362" s="35">
        <v>0</v>
      </c>
    </row>
    <row r="363" spans="1:22">
      <c r="A363" s="7"/>
      <c r="B363" s="8">
        <v>-0.45824053226673911</v>
      </c>
      <c r="C363" s="8">
        <v>2.124969022302313</v>
      </c>
      <c r="D363" s="8">
        <v>-2.076961144994538E-2</v>
      </c>
      <c r="E363" s="7">
        <v>0</v>
      </c>
      <c r="F363" s="7">
        <v>0</v>
      </c>
      <c r="G363" s="7">
        <v>-1.4990516053215155E-2</v>
      </c>
      <c r="H363" s="7">
        <v>0</v>
      </c>
      <c r="I363" s="7">
        <v>0</v>
      </c>
      <c r="J363" s="7">
        <v>0</v>
      </c>
      <c r="K363" s="7">
        <v>0</v>
      </c>
      <c r="L363" s="3">
        <f t="shared" si="46"/>
        <v>-4.11214143713097E-5</v>
      </c>
      <c r="M363" s="3">
        <v>-0.45800000000000002</v>
      </c>
      <c r="N363" s="3">
        <v>2.125</v>
      </c>
      <c r="O363" s="3">
        <v>-2.1000000000000001E-2</v>
      </c>
      <c r="P363" s="35">
        <v>0</v>
      </c>
      <c r="Q363" s="35">
        <v>0</v>
      </c>
      <c r="R363" s="35">
        <v>-1.49698E-2</v>
      </c>
      <c r="S363" s="35">
        <v>-4.76502E-3</v>
      </c>
      <c r="T363" s="35">
        <v>0</v>
      </c>
      <c r="U363" s="35">
        <v>0</v>
      </c>
      <c r="V363" s="35">
        <v>4.76502E-3</v>
      </c>
    </row>
    <row r="364" spans="1:22">
      <c r="A364" s="7"/>
      <c r="B364" s="8"/>
      <c r="C364" s="8"/>
      <c r="D364" s="8"/>
      <c r="E364" s="7"/>
      <c r="F364" s="7"/>
      <c r="G364" s="7"/>
      <c r="H364" s="7"/>
      <c r="I364" s="7"/>
      <c r="J364" s="7"/>
      <c r="K364" s="7"/>
    </row>
    <row r="365" spans="1:22">
      <c r="A365" s="7"/>
      <c r="B365" s="8">
        <v>-2.2957880185781296</v>
      </c>
      <c r="C365" s="8">
        <v>8.2263663034425338E-3</v>
      </c>
      <c r="D365" s="8">
        <v>-3.3137218009327896E-2</v>
      </c>
      <c r="E365" s="7">
        <v>-1.4990516053215155E-2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3">
        <f t="shared" si="47"/>
        <v>3.0112971598481725E-4</v>
      </c>
      <c r="M365" s="3">
        <v>-2.2959999999999998</v>
      </c>
      <c r="N365" s="3">
        <v>8.0000000000000002E-3</v>
      </c>
      <c r="O365" s="3">
        <v>-3.3000000000000002E-2</v>
      </c>
      <c r="P365" s="35">
        <v>-1.49698E-2</v>
      </c>
      <c r="Q365" s="35">
        <v>0</v>
      </c>
      <c r="R365" s="35">
        <v>0</v>
      </c>
      <c r="S365" s="35">
        <v>-4.76502E-3</v>
      </c>
      <c r="T365" s="35">
        <v>4.76502E-3</v>
      </c>
      <c r="U365" s="35">
        <v>0</v>
      </c>
      <c r="V365" s="35">
        <v>0</v>
      </c>
    </row>
    <row r="366" spans="1:22">
      <c r="A366" s="7" t="s">
        <v>107</v>
      </c>
      <c r="B366" s="8">
        <v>0.40019020491700363</v>
      </c>
      <c r="C366" s="8">
        <v>1.0840062473010013</v>
      </c>
      <c r="D366" s="8">
        <v>1.6840506224230944E-2</v>
      </c>
      <c r="E366" s="7">
        <v>0</v>
      </c>
      <c r="F366" s="7">
        <v>-1.4990516053215155E-2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3">
        <f t="shared" si="47"/>
        <v>3.6958442235626721E-5</v>
      </c>
      <c r="M366" s="3">
        <v>0.4</v>
      </c>
      <c r="N366" s="3">
        <v>1.0840000000000001</v>
      </c>
      <c r="O366" s="3">
        <v>1.7000000000000001E-2</v>
      </c>
      <c r="P366" s="35">
        <v>0</v>
      </c>
      <c r="Q366" s="35">
        <v>-1.49698E-2</v>
      </c>
      <c r="R366" s="35">
        <v>0</v>
      </c>
      <c r="S366" s="35">
        <v>-4.76502E-3</v>
      </c>
      <c r="T366" s="35">
        <v>0</v>
      </c>
      <c r="U366" s="35">
        <v>4.76502E-3</v>
      </c>
      <c r="V366" s="35">
        <v>0</v>
      </c>
    </row>
    <row r="367" spans="1:22">
      <c r="A367" s="7"/>
      <c r="B367" s="8">
        <v>-1.0673702345396179</v>
      </c>
      <c r="C367" s="8">
        <v>2.4075843796929846</v>
      </c>
      <c r="D367" s="8">
        <v>-0.708799578341892</v>
      </c>
      <c r="E367" s="7">
        <v>0</v>
      </c>
      <c r="F367" s="7">
        <v>0</v>
      </c>
      <c r="G367" s="7">
        <v>-1.4990516053215155E-2</v>
      </c>
      <c r="H367" s="7">
        <v>0</v>
      </c>
      <c r="I367" s="7">
        <v>0</v>
      </c>
      <c r="J367" s="7">
        <v>0</v>
      </c>
      <c r="K367" s="7">
        <v>0</v>
      </c>
      <c r="L367" s="3">
        <f t="shared" si="47"/>
        <v>-5.8543318852555259E-4</v>
      </c>
      <c r="M367" s="3">
        <v>-1.0669999999999999</v>
      </c>
      <c r="N367" s="3">
        <v>2.4079999999999999</v>
      </c>
      <c r="O367" s="3">
        <v>-0.70899999999999996</v>
      </c>
      <c r="P367" s="35">
        <v>0</v>
      </c>
      <c r="Q367" s="35">
        <v>0</v>
      </c>
      <c r="R367" s="35">
        <v>-1.49698E-2</v>
      </c>
      <c r="S367" s="35">
        <v>-4.76502E-3</v>
      </c>
      <c r="T367" s="35">
        <v>0</v>
      </c>
      <c r="U367" s="35">
        <v>0</v>
      </c>
      <c r="V367" s="35">
        <v>4.76502E-3</v>
      </c>
    </row>
    <row r="368" spans="1:22">
      <c r="A368" s="7"/>
      <c r="B368" s="8"/>
      <c r="C368" s="8"/>
      <c r="D368" s="8"/>
      <c r="E368" s="7"/>
      <c r="F368" s="7"/>
      <c r="G368" s="7"/>
      <c r="H368" s="7"/>
      <c r="I368" s="7"/>
      <c r="J368" s="7"/>
      <c r="K368" s="7"/>
    </row>
    <row r="369" spans="1:22">
      <c r="A369" s="7"/>
      <c r="B369" s="8">
        <v>-2.2957880185781296</v>
      </c>
      <c r="C369" s="8">
        <v>8.2263663034425338E-3</v>
      </c>
      <c r="D369" s="8">
        <v>-3.3137218009327896E-2</v>
      </c>
      <c r="E369" s="7">
        <v>-1.4990516053215155E-2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3">
        <f t="shared" si="48"/>
        <v>3.0112971598481725E-4</v>
      </c>
      <c r="M369" s="3">
        <v>-2.2959999999999998</v>
      </c>
      <c r="N369" s="3">
        <v>8.0000000000000002E-3</v>
      </c>
      <c r="O369" s="3">
        <v>-3.3000000000000002E-2</v>
      </c>
      <c r="P369" s="35">
        <v>-1.49698E-2</v>
      </c>
      <c r="Q369" s="35">
        <v>0</v>
      </c>
      <c r="R369" s="35">
        <v>0</v>
      </c>
      <c r="S369" s="35">
        <v>-4.76502E-3</v>
      </c>
      <c r="T369" s="35">
        <v>4.76502E-3</v>
      </c>
      <c r="U369" s="35">
        <v>0</v>
      </c>
      <c r="V369" s="35">
        <v>0</v>
      </c>
    </row>
    <row r="370" spans="1:22">
      <c r="A370" s="7" t="s">
        <v>108</v>
      </c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-1.4990516053215155E-2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3">
        <f t="shared" si="47"/>
        <v>-8.5420825755806035E-4</v>
      </c>
      <c r="M370" s="3">
        <v>-2.077</v>
      </c>
      <c r="N370" s="3">
        <v>2.145</v>
      </c>
      <c r="O370" s="3">
        <v>5.7000000000000002E-2</v>
      </c>
      <c r="P370" s="35">
        <v>0</v>
      </c>
      <c r="Q370" s="35">
        <v>-1.49698E-2</v>
      </c>
      <c r="R370" s="35">
        <v>0</v>
      </c>
      <c r="S370" s="35">
        <v>-4.76502E-3</v>
      </c>
      <c r="T370" s="35">
        <v>0</v>
      </c>
      <c r="U370" s="35">
        <v>4.76502E-3</v>
      </c>
      <c r="V370" s="35">
        <v>0</v>
      </c>
    </row>
    <row r="371" spans="1:22">
      <c r="A371" s="7"/>
      <c r="B371" s="8">
        <v>-0.45824053226673911</v>
      </c>
      <c r="C371" s="8">
        <v>2.124969022302313</v>
      </c>
      <c r="D371" s="8">
        <v>-2.076961144994538E-2</v>
      </c>
      <c r="E371" s="7">
        <v>0</v>
      </c>
      <c r="F371" s="7">
        <v>0</v>
      </c>
      <c r="G371" s="7">
        <v>-1.4990516053215155E-2</v>
      </c>
      <c r="H371" s="7">
        <v>0</v>
      </c>
      <c r="I371" s="7">
        <v>0</v>
      </c>
      <c r="J371" s="7">
        <v>0</v>
      </c>
      <c r="K371" s="7">
        <v>0</v>
      </c>
      <c r="L371" s="3">
        <f t="shared" si="47"/>
        <v>-4.11214143713097E-5</v>
      </c>
      <c r="M371" s="3">
        <v>-0.45800000000000002</v>
      </c>
      <c r="N371" s="3">
        <v>2.125</v>
      </c>
      <c r="O371" s="3">
        <v>-2.1000000000000001E-2</v>
      </c>
      <c r="P371" s="35">
        <v>0</v>
      </c>
      <c r="Q371" s="35">
        <v>0</v>
      </c>
      <c r="R371" s="35">
        <v>-1.49698E-2</v>
      </c>
      <c r="S371" s="35">
        <v>-4.76502E-3</v>
      </c>
      <c r="T371" s="35">
        <v>0</v>
      </c>
      <c r="U371" s="35">
        <v>0</v>
      </c>
      <c r="V371" s="35">
        <v>4.76502E-3</v>
      </c>
    </row>
    <row r="372" spans="1:22">
      <c r="A372" s="7"/>
      <c r="B372" s="8"/>
      <c r="C372" s="8"/>
      <c r="D372" s="8"/>
      <c r="E372" s="7"/>
      <c r="F372" s="7"/>
      <c r="G372" s="7"/>
      <c r="H372" s="7"/>
      <c r="I372" s="7"/>
      <c r="J372" s="7"/>
      <c r="K372" s="7"/>
    </row>
    <row r="373" spans="1:22">
      <c r="A373" s="7"/>
      <c r="B373" s="8">
        <v>-2.2957880185781296</v>
      </c>
      <c r="C373" s="8">
        <v>8.2263663034425338E-3</v>
      </c>
      <c r="D373" s="8">
        <v>-3.3137218009327896E-2</v>
      </c>
      <c r="E373" s="7">
        <v>-1.4990516053215155E-2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3">
        <f t="shared" si="49"/>
        <v>3.0112971598481725E-4</v>
      </c>
      <c r="M373" s="3">
        <v>-2.2959999999999998</v>
      </c>
      <c r="N373" s="3">
        <v>8.0000000000000002E-3</v>
      </c>
      <c r="O373" s="3">
        <v>-3.3000000000000002E-2</v>
      </c>
      <c r="P373" s="35">
        <v>-1.49698E-2</v>
      </c>
      <c r="Q373" s="35">
        <v>0</v>
      </c>
      <c r="R373" s="35">
        <v>0</v>
      </c>
      <c r="S373" s="35">
        <v>-4.76502E-3</v>
      </c>
      <c r="T373" s="35">
        <v>4.76502E-3</v>
      </c>
      <c r="U373" s="35">
        <v>0</v>
      </c>
      <c r="V373" s="35">
        <v>0</v>
      </c>
    </row>
    <row r="374" spans="1:22">
      <c r="A374" s="7" t="s">
        <v>109</v>
      </c>
      <c r="B374" s="8">
        <v>-2.0770709056556562</v>
      </c>
      <c r="C374" s="8">
        <v>2.1445635165533226</v>
      </c>
      <c r="D374" s="8">
        <v>5.6653180844775664E-2</v>
      </c>
      <c r="E374" s="7">
        <v>0</v>
      </c>
      <c r="F374" s="7">
        <v>-1.4990516053215155E-2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3">
        <f t="shared" si="47"/>
        <v>-8.5420825755806035E-4</v>
      </c>
      <c r="M374" s="3">
        <v>-2.077</v>
      </c>
      <c r="N374" s="3">
        <v>2.145</v>
      </c>
      <c r="O374" s="3">
        <v>5.7000000000000002E-2</v>
      </c>
      <c r="P374" s="35">
        <v>0</v>
      </c>
      <c r="Q374" s="35">
        <v>-1.49698E-2</v>
      </c>
      <c r="R374" s="35">
        <v>0</v>
      </c>
      <c r="S374" s="35">
        <v>-4.76502E-3</v>
      </c>
      <c r="T374" s="35">
        <v>0</v>
      </c>
      <c r="U374" s="35">
        <v>4.76502E-3</v>
      </c>
      <c r="V374" s="35">
        <v>0</v>
      </c>
    </row>
    <row r="375" spans="1:22">
      <c r="A375" s="7"/>
      <c r="B375" s="8">
        <v>-1.0673702345396179</v>
      </c>
      <c r="C375" s="8">
        <v>2.4075843796929846</v>
      </c>
      <c r="D375" s="8">
        <v>-0.708799578341892</v>
      </c>
      <c r="E375" s="7">
        <v>0</v>
      </c>
      <c r="F375" s="7">
        <v>0</v>
      </c>
      <c r="G375" s="7">
        <v>-1.4990516053215155E-2</v>
      </c>
      <c r="H375" s="7">
        <v>0</v>
      </c>
      <c r="I375" s="7">
        <v>0</v>
      </c>
      <c r="J375" s="7">
        <v>0</v>
      </c>
      <c r="K375" s="7">
        <v>0</v>
      </c>
      <c r="L375" s="3">
        <f t="shared" si="47"/>
        <v>-5.8543318852555259E-4</v>
      </c>
      <c r="M375" s="3">
        <v>-1.0669999999999999</v>
      </c>
      <c r="N375" s="3">
        <v>2.4079999999999999</v>
      </c>
      <c r="O375" s="3">
        <v>-0.70899999999999996</v>
      </c>
      <c r="P375" s="35">
        <v>0</v>
      </c>
      <c r="Q375" s="35">
        <v>0</v>
      </c>
      <c r="R375" s="35">
        <v>-1.49698E-2</v>
      </c>
      <c r="S375" s="35">
        <v>-4.76502E-3</v>
      </c>
      <c r="T375" s="35">
        <v>0</v>
      </c>
      <c r="U375" s="35">
        <v>0</v>
      </c>
      <c r="V375" s="35">
        <v>4.76502E-3</v>
      </c>
    </row>
    <row r="376" spans="1:22">
      <c r="A376" s="7"/>
      <c r="B376" s="8"/>
      <c r="C376" s="8"/>
      <c r="D376" s="8"/>
      <c r="E376" s="7"/>
      <c r="F376" s="7"/>
      <c r="G376" s="7"/>
      <c r="H376" s="7"/>
      <c r="I376" s="7"/>
      <c r="J376" s="7"/>
      <c r="K376" s="7"/>
    </row>
    <row r="377" spans="1:22">
      <c r="A377" s="7"/>
      <c r="B377" s="8">
        <v>-2.2957880185781296</v>
      </c>
      <c r="C377" s="8">
        <v>8.2263663034425338E-3</v>
      </c>
      <c r="D377" s="8">
        <v>-3.3137218009327896E-2</v>
      </c>
      <c r="E377" s="7">
        <v>-1.4990516053215155E-2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3">
        <f t="shared" si="50"/>
        <v>3.0112971598481725E-4</v>
      </c>
      <c r="M377" s="3">
        <v>-2.2959999999999998</v>
      </c>
      <c r="N377" s="3">
        <v>8.0000000000000002E-3</v>
      </c>
      <c r="O377" s="3">
        <v>-3.3000000000000002E-2</v>
      </c>
      <c r="P377" s="35">
        <v>-1.49698E-2</v>
      </c>
      <c r="Q377" s="35">
        <v>0</v>
      </c>
      <c r="R377" s="35">
        <v>0</v>
      </c>
      <c r="S377" s="35">
        <v>-4.76502E-3</v>
      </c>
      <c r="T377" s="35">
        <v>4.76502E-3</v>
      </c>
      <c r="U377" s="35">
        <v>0</v>
      </c>
      <c r="V377" s="35">
        <v>0</v>
      </c>
    </row>
    <row r="378" spans="1:22">
      <c r="A378" s="7" t="s">
        <v>110</v>
      </c>
      <c r="B378" s="8">
        <v>-0.45824053226673911</v>
      </c>
      <c r="C378" s="8">
        <v>2.124969022302313</v>
      </c>
      <c r="D378" s="8">
        <v>-2.076961144994538E-2</v>
      </c>
      <c r="E378" s="7">
        <v>0</v>
      </c>
      <c r="F378" s="7">
        <v>-1.4990516053215155E-2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3">
        <f t="shared" si="47"/>
        <v>-4.11214143713097E-5</v>
      </c>
      <c r="M378" s="3">
        <v>-0.45800000000000002</v>
      </c>
      <c r="N378" s="3">
        <v>2.125</v>
      </c>
      <c r="O378" s="3">
        <v>-2.1000000000000001E-2</v>
      </c>
      <c r="P378" s="35">
        <v>0</v>
      </c>
      <c r="Q378" s="35">
        <v>-1.49698E-2</v>
      </c>
      <c r="R378" s="35">
        <v>0</v>
      </c>
      <c r="S378" s="35">
        <v>-4.76502E-3</v>
      </c>
      <c r="T378" s="35">
        <v>0</v>
      </c>
      <c r="U378" s="35">
        <v>4.76502E-3</v>
      </c>
      <c r="V378" s="35">
        <v>0</v>
      </c>
    </row>
    <row r="379" spans="1:22">
      <c r="A379" s="7"/>
      <c r="B379" s="8">
        <v>-1.0673702345396179</v>
      </c>
      <c r="C379" s="8">
        <v>2.4075843796929846</v>
      </c>
      <c r="D379" s="8">
        <v>-0.708799578341892</v>
      </c>
      <c r="E379" s="7">
        <v>0</v>
      </c>
      <c r="F379" s="7">
        <v>0</v>
      </c>
      <c r="G379" s="7">
        <v>-1.4990516053215155E-2</v>
      </c>
      <c r="H379" s="7">
        <v>0</v>
      </c>
      <c r="I379" s="7">
        <v>0</v>
      </c>
      <c r="J379" s="7">
        <v>0</v>
      </c>
      <c r="K379" s="7">
        <v>0</v>
      </c>
      <c r="L379" s="3">
        <f t="shared" si="47"/>
        <v>-5.8543318852555259E-4</v>
      </c>
      <c r="M379" s="3">
        <v>-1.0669999999999999</v>
      </c>
      <c r="N379" s="3">
        <v>2.4079999999999999</v>
      </c>
      <c r="O379" s="3">
        <v>-0.70899999999999996</v>
      </c>
      <c r="P379" s="35">
        <v>0</v>
      </c>
      <c r="Q379" s="35">
        <v>0</v>
      </c>
      <c r="R379" s="35">
        <v>-1.49698E-2</v>
      </c>
      <c r="S379" s="35">
        <v>-4.76502E-3</v>
      </c>
      <c r="T379" s="35">
        <v>0</v>
      </c>
      <c r="U379" s="35">
        <v>0</v>
      </c>
      <c r="V379" s="35">
        <v>4.76502E-3</v>
      </c>
    </row>
    <row r="380" spans="1:22">
      <c r="A380" s="7"/>
      <c r="B380" s="8"/>
      <c r="C380" s="8"/>
      <c r="D380" s="8"/>
      <c r="E380" s="7"/>
      <c r="F380" s="7"/>
      <c r="G380" s="7"/>
      <c r="H380" s="7"/>
      <c r="I380" s="7"/>
      <c r="J380" s="7"/>
      <c r="K380" s="7"/>
    </row>
    <row r="381" spans="1:22">
      <c r="A381" s="7"/>
      <c r="B381" s="8">
        <v>-2.44475956514645</v>
      </c>
      <c r="C381" s="8">
        <v>0.85548399177677847</v>
      </c>
      <c r="D381" s="8">
        <v>-5.2896656816179721E-2</v>
      </c>
      <c r="E381" s="7">
        <v>-1.4990516053215155E-2</v>
      </c>
      <c r="F381" s="7">
        <v>0</v>
      </c>
      <c r="G381" s="7">
        <v>0</v>
      </c>
      <c r="H381" s="7">
        <v>-2.2872089329671663E-2</v>
      </c>
      <c r="I381" s="7">
        <v>2.2385887789414392E-2</v>
      </c>
      <c r="J381" s="7">
        <v>0</v>
      </c>
      <c r="K381" s="7">
        <v>0</v>
      </c>
      <c r="L381" s="3">
        <f t="shared" si="51"/>
        <v>-1.7223018585137834E-4</v>
      </c>
      <c r="M381" s="3">
        <v>-2.4449999999999998</v>
      </c>
      <c r="N381" s="3">
        <v>0.85599999999999998</v>
      </c>
      <c r="O381" s="3">
        <v>-5.2999999999999999E-2</v>
      </c>
      <c r="P381" s="35">
        <v>-1.49698E-2</v>
      </c>
      <c r="Q381" s="35">
        <v>0</v>
      </c>
      <c r="R381" s="35">
        <v>0</v>
      </c>
      <c r="S381" s="35">
        <v>-4.76502E-3</v>
      </c>
      <c r="T381" s="35">
        <v>4.76502E-3</v>
      </c>
      <c r="U381" s="35">
        <v>0</v>
      </c>
      <c r="V381" s="35">
        <v>0</v>
      </c>
    </row>
    <row r="382" spans="1:22">
      <c r="A382" s="7" t="s">
        <v>111</v>
      </c>
      <c r="B382" s="8">
        <v>0.40019020491700363</v>
      </c>
      <c r="C382" s="8">
        <v>1.0840062473010013</v>
      </c>
      <c r="D382" s="8">
        <v>1.6840506224230944E-2</v>
      </c>
      <c r="E382" s="7">
        <v>0</v>
      </c>
      <c r="F382" s="7">
        <v>-1.4990516053215155E-2</v>
      </c>
      <c r="G382" s="7">
        <v>0</v>
      </c>
      <c r="H382" s="7">
        <v>-2.2872089329671663E-2</v>
      </c>
      <c r="I382" s="7">
        <v>0</v>
      </c>
      <c r="J382" s="7">
        <v>1.6236379226863738E-2</v>
      </c>
      <c r="K382" s="7">
        <v>0</v>
      </c>
      <c r="L382" s="3">
        <f t="shared" si="47"/>
        <v>3.6958442235626721E-5</v>
      </c>
      <c r="M382" s="3">
        <v>0.4</v>
      </c>
      <c r="N382" s="3">
        <v>1.0840000000000001</v>
      </c>
      <c r="O382" s="3">
        <v>1.7000000000000001E-2</v>
      </c>
      <c r="P382" s="35">
        <v>0</v>
      </c>
      <c r="Q382" s="35">
        <v>-1.49698E-2</v>
      </c>
      <c r="R382" s="35">
        <v>0</v>
      </c>
      <c r="S382" s="35">
        <v>-4.76502E-3</v>
      </c>
      <c r="T382" s="35">
        <v>0</v>
      </c>
      <c r="U382" s="35">
        <v>4.76502E-3</v>
      </c>
      <c r="V382" s="35">
        <v>0</v>
      </c>
    </row>
    <row r="383" spans="1:22">
      <c r="A383" s="7"/>
      <c r="B383" s="8">
        <v>-2.0770709056556562</v>
      </c>
      <c r="C383" s="8">
        <v>2.1445635165533226</v>
      </c>
      <c r="D383" s="8">
        <v>5.6653180844775664E-2</v>
      </c>
      <c r="E383" s="7">
        <v>0</v>
      </c>
      <c r="F383" s="7">
        <v>0</v>
      </c>
      <c r="G383" s="7">
        <v>-1.4990516053215155E-2</v>
      </c>
      <c r="H383" s="7">
        <v>-2.2872089329671663E-2</v>
      </c>
      <c r="I383" s="7">
        <v>0</v>
      </c>
      <c r="J383" s="7">
        <v>0</v>
      </c>
      <c r="K383" s="7">
        <v>1.5970575730977998E-2</v>
      </c>
      <c r="L383" s="3">
        <f t="shared" si="47"/>
        <v>-8.5420825755806035E-4</v>
      </c>
      <c r="M383" s="3">
        <v>-2.077</v>
      </c>
      <c r="N383" s="3">
        <v>2.145</v>
      </c>
      <c r="O383" s="3">
        <v>5.7000000000000002E-2</v>
      </c>
      <c r="P383" s="35">
        <v>0</v>
      </c>
      <c r="Q383" s="35">
        <v>0</v>
      </c>
      <c r="R383" s="35">
        <v>-1.49698E-2</v>
      </c>
      <c r="S383" s="35">
        <v>-4.76502E-3</v>
      </c>
      <c r="T383" s="35">
        <v>0</v>
      </c>
      <c r="U383" s="35">
        <v>0</v>
      </c>
      <c r="V383" s="35">
        <v>4.76502E-3</v>
      </c>
    </row>
    <row r="384" spans="1:22">
      <c r="A384" s="7"/>
      <c r="B384" s="8"/>
      <c r="C384" s="8"/>
      <c r="D384" s="8"/>
      <c r="E384" s="7"/>
      <c r="F384" s="7"/>
      <c r="G384" s="7"/>
      <c r="H384" s="7"/>
      <c r="I384" s="7"/>
      <c r="J384" s="7"/>
      <c r="K384" s="7"/>
    </row>
    <row r="385" spans="1:22">
      <c r="A385" s="7"/>
      <c r="B385" s="8">
        <v>-2.44475956514645</v>
      </c>
      <c r="C385" s="8">
        <v>0.85548399177677847</v>
      </c>
      <c r="D385" s="8">
        <v>-5.2896656816179721E-2</v>
      </c>
      <c r="E385" s="7">
        <v>-1.4990516053215155E-2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3">
        <f t="shared" si="52"/>
        <v>-1.7223018585137834E-4</v>
      </c>
      <c r="M385" s="3">
        <v>-2.4449999999999998</v>
      </c>
      <c r="N385" s="3">
        <v>0.85599999999999998</v>
      </c>
      <c r="O385" s="3">
        <v>-5.2999999999999999E-2</v>
      </c>
      <c r="P385" s="35">
        <v>-1.49698E-2</v>
      </c>
      <c r="Q385" s="35">
        <v>0</v>
      </c>
      <c r="R385" s="35">
        <v>0</v>
      </c>
      <c r="S385" s="35">
        <v>-4.76502E-3</v>
      </c>
      <c r="T385" s="35">
        <v>4.76502E-3</v>
      </c>
      <c r="U385" s="35">
        <v>0</v>
      </c>
      <c r="V385" s="35">
        <v>0</v>
      </c>
    </row>
    <row r="386" spans="1:22">
      <c r="A386" s="7" t="s">
        <v>112</v>
      </c>
      <c r="B386" s="8">
        <v>0.40019020491700363</v>
      </c>
      <c r="C386" s="8">
        <v>1.0840062473010013</v>
      </c>
      <c r="D386" s="8">
        <v>1.6840506224230944E-2</v>
      </c>
      <c r="E386" s="7">
        <v>0</v>
      </c>
      <c r="F386" s="7">
        <v>-1.4990516053215155E-2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L386" s="3">
        <f t="shared" si="47"/>
        <v>3.6958442235626721E-5</v>
      </c>
      <c r="M386" s="3">
        <v>0.4</v>
      </c>
      <c r="N386" s="3">
        <v>1.0840000000000001</v>
      </c>
      <c r="O386" s="3">
        <v>1.7000000000000001E-2</v>
      </c>
      <c r="P386" s="35">
        <v>0</v>
      </c>
      <c r="Q386" s="35">
        <v>-1.49698E-2</v>
      </c>
      <c r="R386" s="35">
        <v>0</v>
      </c>
      <c r="S386" s="35">
        <v>-4.76502E-3</v>
      </c>
      <c r="T386" s="35">
        <v>0</v>
      </c>
      <c r="U386" s="35">
        <v>4.76502E-3</v>
      </c>
      <c r="V386" s="35">
        <v>0</v>
      </c>
    </row>
    <row r="387" spans="1:22">
      <c r="A387" s="7"/>
      <c r="B387" s="8">
        <v>-0.45824053226673911</v>
      </c>
      <c r="C387" s="8">
        <v>2.124969022302313</v>
      </c>
      <c r="D387" s="8">
        <v>-2.076961144994538E-2</v>
      </c>
      <c r="E387" s="7">
        <v>0</v>
      </c>
      <c r="F387" s="7">
        <v>0</v>
      </c>
      <c r="G387" s="7">
        <v>-1.4990516053215155E-2</v>
      </c>
      <c r="H387" s="7">
        <v>0</v>
      </c>
      <c r="I387" s="7">
        <v>0</v>
      </c>
      <c r="J387" s="7">
        <v>0</v>
      </c>
      <c r="K387" s="7">
        <v>0</v>
      </c>
      <c r="L387" s="3">
        <f t="shared" si="47"/>
        <v>-4.11214143713097E-5</v>
      </c>
      <c r="M387" s="3">
        <v>-0.45800000000000002</v>
      </c>
      <c r="N387" s="3">
        <v>2.125</v>
      </c>
      <c r="O387" s="3">
        <v>-2.1000000000000001E-2</v>
      </c>
      <c r="P387" s="35">
        <v>0</v>
      </c>
      <c r="Q387" s="35">
        <v>0</v>
      </c>
      <c r="R387" s="35">
        <v>-1.49698E-2</v>
      </c>
      <c r="S387" s="35">
        <v>-4.76502E-3</v>
      </c>
      <c r="T387" s="35">
        <v>0</v>
      </c>
      <c r="U387" s="35">
        <v>0</v>
      </c>
      <c r="V387" s="35">
        <v>4.76502E-3</v>
      </c>
    </row>
    <row r="388" spans="1:22">
      <c r="A388" s="7"/>
      <c r="B388" s="8"/>
      <c r="C388" s="8"/>
      <c r="D388" s="8"/>
      <c r="E388" s="7"/>
      <c r="F388" s="7"/>
      <c r="G388" s="7"/>
      <c r="H388" s="7"/>
      <c r="I388" s="7"/>
      <c r="J388" s="7"/>
      <c r="K388" s="7"/>
    </row>
    <row r="389" spans="1:22">
      <c r="A389" s="7"/>
      <c r="B389" s="8">
        <v>-2.44475956514645</v>
      </c>
      <c r="C389" s="8">
        <v>0.85548399177677847</v>
      </c>
      <c r="D389" s="8">
        <v>-5.2896656816179721E-2</v>
      </c>
      <c r="E389" s="7">
        <v>-1.4990516053215155E-2</v>
      </c>
      <c r="F389" s="7">
        <v>0</v>
      </c>
      <c r="G389" s="7">
        <v>0</v>
      </c>
      <c r="H389" s="7">
        <v>-2.2872089329671663E-2</v>
      </c>
      <c r="I389" s="7">
        <v>2.2385887789414392E-2</v>
      </c>
      <c r="J389" s="7">
        <v>0</v>
      </c>
      <c r="K389" s="7">
        <v>0</v>
      </c>
      <c r="L389" s="3">
        <f t="shared" si="53"/>
        <v>-1.7223018585137834E-4</v>
      </c>
      <c r="M389" s="3">
        <v>-2.4449999999999998</v>
      </c>
      <c r="N389" s="3">
        <v>0.85599999999999998</v>
      </c>
      <c r="O389" s="3">
        <v>-5.2999999999999999E-2</v>
      </c>
      <c r="P389" s="35">
        <v>-1.49698E-2</v>
      </c>
      <c r="Q389" s="35">
        <v>0</v>
      </c>
      <c r="R389" s="35">
        <v>0</v>
      </c>
      <c r="S389" s="35">
        <v>-4.76502E-3</v>
      </c>
      <c r="T389" s="35">
        <v>4.76502E-3</v>
      </c>
      <c r="U389" s="35">
        <v>0</v>
      </c>
      <c r="V389" s="35">
        <v>0</v>
      </c>
    </row>
    <row r="390" spans="1:22">
      <c r="A390" s="7" t="s">
        <v>113</v>
      </c>
      <c r="B390" s="8">
        <v>0.40019020491700363</v>
      </c>
      <c r="C390" s="8">
        <v>1.0840062473010013</v>
      </c>
      <c r="D390" s="8">
        <v>1.6840506224230944E-2</v>
      </c>
      <c r="E390" s="7">
        <v>0</v>
      </c>
      <c r="F390" s="7">
        <v>-1.4990516053215155E-2</v>
      </c>
      <c r="G390" s="7">
        <v>0</v>
      </c>
      <c r="H390" s="7">
        <v>-2.2872089329671663E-2</v>
      </c>
      <c r="I390" s="7">
        <v>0</v>
      </c>
      <c r="J390" s="7">
        <v>1.6236379226863738E-2</v>
      </c>
      <c r="K390" s="7">
        <v>0</v>
      </c>
      <c r="L390" s="3">
        <f t="shared" si="47"/>
        <v>3.6958442235626721E-5</v>
      </c>
      <c r="M390" s="3">
        <v>0.4</v>
      </c>
      <c r="N390" s="3">
        <v>1.0840000000000001</v>
      </c>
      <c r="O390" s="3">
        <v>1.7000000000000001E-2</v>
      </c>
      <c r="P390" s="35">
        <v>0</v>
      </c>
      <c r="Q390" s="35">
        <v>-1.49698E-2</v>
      </c>
      <c r="R390" s="35">
        <v>0</v>
      </c>
      <c r="S390" s="35">
        <v>-4.76502E-3</v>
      </c>
      <c r="T390" s="35">
        <v>0</v>
      </c>
      <c r="U390" s="35">
        <v>4.76502E-3</v>
      </c>
      <c r="V390" s="35">
        <v>0</v>
      </c>
    </row>
    <row r="391" spans="1:22">
      <c r="A391" s="7"/>
      <c r="B391" s="8">
        <v>-1.0673702345396179</v>
      </c>
      <c r="C391" s="8">
        <v>2.4075843796929846</v>
      </c>
      <c r="D391" s="8">
        <v>-0.708799578341892</v>
      </c>
      <c r="E391" s="7">
        <v>0</v>
      </c>
      <c r="F391" s="7">
        <v>0</v>
      </c>
      <c r="G391" s="7">
        <v>-1.4990516053215155E-2</v>
      </c>
      <c r="H391" s="7">
        <v>-2.2872089329671663E-2</v>
      </c>
      <c r="I391" s="7">
        <v>0</v>
      </c>
      <c r="J391" s="7">
        <v>0</v>
      </c>
      <c r="K391" s="7">
        <v>2.0521745021313972E-2</v>
      </c>
      <c r="L391" s="3">
        <f t="shared" si="47"/>
        <v>-5.8543318852555259E-4</v>
      </c>
      <c r="M391" s="3">
        <v>-1.0669999999999999</v>
      </c>
      <c r="N391" s="3">
        <v>2.4079999999999999</v>
      </c>
      <c r="O391" s="3">
        <v>-0.70899999999999996</v>
      </c>
      <c r="P391" s="35">
        <v>0</v>
      </c>
      <c r="Q391" s="35">
        <v>0</v>
      </c>
      <c r="R391" s="35">
        <v>-1.49698E-2</v>
      </c>
      <c r="S391" s="35">
        <v>-4.76502E-3</v>
      </c>
      <c r="T391" s="35">
        <v>0</v>
      </c>
      <c r="U391" s="35">
        <v>0</v>
      </c>
      <c r="V391" s="35">
        <v>4.76502E-3</v>
      </c>
    </row>
    <row r="392" spans="1:22">
      <c r="A392" s="7"/>
      <c r="B392" s="8"/>
      <c r="C392" s="8"/>
      <c r="D392" s="8"/>
      <c r="E392" s="7"/>
      <c r="F392" s="7"/>
      <c r="G392" s="7"/>
      <c r="H392" s="7"/>
      <c r="I392" s="7"/>
      <c r="J392" s="7"/>
      <c r="K392" s="7"/>
    </row>
    <row r="393" spans="1:22">
      <c r="A393" s="7"/>
      <c r="B393" s="8">
        <v>-2.44475956514645</v>
      </c>
      <c r="C393" s="8">
        <v>0.85548399177677847</v>
      </c>
      <c r="D393" s="8">
        <v>-5.2896656816179721E-2</v>
      </c>
      <c r="E393" s="7">
        <v>-1.4990516053215155E-2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3">
        <f t="shared" si="54"/>
        <v>-1.7223018585137834E-4</v>
      </c>
      <c r="M393" s="3">
        <v>-2.4449999999999998</v>
      </c>
      <c r="N393" s="3">
        <v>0.85599999999999998</v>
      </c>
      <c r="O393" s="3">
        <v>-5.2999999999999999E-2</v>
      </c>
      <c r="P393" s="35">
        <v>-1.49698E-2</v>
      </c>
      <c r="Q393" s="35">
        <v>0</v>
      </c>
      <c r="R393" s="35">
        <v>0</v>
      </c>
      <c r="S393" s="35">
        <v>-4.76502E-3</v>
      </c>
      <c r="T393" s="35">
        <v>4.76502E-3</v>
      </c>
      <c r="U393" s="35">
        <v>0</v>
      </c>
      <c r="V393" s="35">
        <v>0</v>
      </c>
    </row>
    <row r="394" spans="1:22">
      <c r="A394" s="7" t="s">
        <v>114</v>
      </c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-1.4990516053215155E-2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L394" s="3">
        <f t="shared" si="54"/>
        <v>-8.5420825755806035E-4</v>
      </c>
      <c r="M394" s="3">
        <v>-2.077</v>
      </c>
      <c r="N394" s="3">
        <v>2.145</v>
      </c>
      <c r="O394" s="3">
        <v>5.7000000000000002E-2</v>
      </c>
      <c r="P394" s="35">
        <v>0</v>
      </c>
      <c r="Q394" s="35">
        <v>-1.49698E-2</v>
      </c>
      <c r="R394" s="35">
        <v>0</v>
      </c>
      <c r="S394" s="35">
        <v>-4.76502E-3</v>
      </c>
      <c r="T394" s="35">
        <v>0</v>
      </c>
      <c r="U394" s="35">
        <v>4.76502E-3</v>
      </c>
      <c r="V394" s="35">
        <v>0</v>
      </c>
    </row>
    <row r="395" spans="1:22">
      <c r="A395" s="7"/>
      <c r="B395" s="8">
        <v>-0.45824053226673911</v>
      </c>
      <c r="C395" s="8">
        <v>2.124969022302313</v>
      </c>
      <c r="D395" s="8">
        <v>-2.076961144994538E-2</v>
      </c>
      <c r="E395" s="7">
        <v>0</v>
      </c>
      <c r="F395" s="7">
        <v>0</v>
      </c>
      <c r="G395" s="7">
        <v>-1.4990516053215155E-2</v>
      </c>
      <c r="H395" s="7">
        <v>0</v>
      </c>
      <c r="I395" s="7">
        <v>0</v>
      </c>
      <c r="J395" s="7">
        <v>0</v>
      </c>
      <c r="K395" s="7">
        <v>0</v>
      </c>
      <c r="L395" s="3">
        <f t="shared" si="54"/>
        <v>-4.11214143713097E-5</v>
      </c>
      <c r="M395" s="3">
        <v>-0.45800000000000002</v>
      </c>
      <c r="N395" s="3">
        <v>2.125</v>
      </c>
      <c r="O395" s="3">
        <v>-2.1000000000000001E-2</v>
      </c>
      <c r="P395" s="35">
        <v>0</v>
      </c>
      <c r="Q395" s="35">
        <v>0</v>
      </c>
      <c r="R395" s="35">
        <v>-1.49698E-2</v>
      </c>
      <c r="S395" s="35">
        <v>-4.76502E-3</v>
      </c>
      <c r="T395" s="35">
        <v>0</v>
      </c>
      <c r="U395" s="35">
        <v>0</v>
      </c>
      <c r="V395" s="35">
        <v>4.76502E-3</v>
      </c>
    </row>
    <row r="396" spans="1:22">
      <c r="A396" s="7"/>
      <c r="B396" s="8"/>
      <c r="C396" s="8"/>
      <c r="D396" s="8"/>
      <c r="E396" s="7"/>
      <c r="F396" s="7"/>
      <c r="G396" s="7"/>
      <c r="H396" s="7"/>
      <c r="I396" s="7"/>
      <c r="J396" s="7"/>
      <c r="K396" s="7"/>
    </row>
    <row r="397" spans="1:22">
      <c r="A397" s="7"/>
      <c r="B397" s="8">
        <v>-2.44475956514645</v>
      </c>
      <c r="C397" s="8">
        <v>0.85548399177677847</v>
      </c>
      <c r="D397" s="8">
        <v>-5.2896656816179721E-2</v>
      </c>
      <c r="E397" s="7">
        <v>-1.4990516053215155E-2</v>
      </c>
      <c r="F397" s="7">
        <v>0</v>
      </c>
      <c r="G397" s="7">
        <v>0</v>
      </c>
      <c r="H397" s="7">
        <v>-2.2872089329671663E-2</v>
      </c>
      <c r="I397" s="7">
        <v>2.2385887789414392E-2</v>
      </c>
      <c r="J397" s="7">
        <v>0</v>
      </c>
      <c r="K397" s="7">
        <v>0</v>
      </c>
      <c r="L397" s="3">
        <f t="shared" ref="L397:L435" si="56">B397-M397+C397-N397+D397-O397</f>
        <v>-1.7223018585137834E-4</v>
      </c>
      <c r="M397" s="3">
        <v>-2.4449999999999998</v>
      </c>
      <c r="N397" s="3">
        <v>0.85599999999999998</v>
      </c>
      <c r="O397" s="3">
        <v>-5.2999999999999999E-2</v>
      </c>
      <c r="P397" s="35">
        <v>-1.49698E-2</v>
      </c>
      <c r="Q397" s="35">
        <v>0</v>
      </c>
      <c r="R397" s="35">
        <v>0</v>
      </c>
      <c r="S397" s="35">
        <v>-4.76502E-3</v>
      </c>
      <c r="T397" s="35">
        <v>4.76502E-3</v>
      </c>
      <c r="U397" s="35">
        <v>0</v>
      </c>
      <c r="V397" s="35">
        <v>0</v>
      </c>
    </row>
    <row r="398" spans="1:22">
      <c r="A398" s="7" t="s">
        <v>115</v>
      </c>
      <c r="B398" s="8">
        <v>-2.0770709056556562</v>
      </c>
      <c r="C398" s="8">
        <v>2.1445635165533226</v>
      </c>
      <c r="D398" s="8">
        <v>5.6653180844775664E-2</v>
      </c>
      <c r="E398" s="7">
        <v>0</v>
      </c>
      <c r="F398" s="7">
        <v>-1.4990516053215155E-2</v>
      </c>
      <c r="G398" s="7">
        <v>0</v>
      </c>
      <c r="H398" s="7">
        <v>-2.2872089329671663E-2</v>
      </c>
      <c r="I398" s="7">
        <v>0</v>
      </c>
      <c r="J398" s="7">
        <v>1.5970575730977998E-2</v>
      </c>
      <c r="K398" s="7">
        <v>0</v>
      </c>
      <c r="L398" s="3">
        <f t="shared" si="56"/>
        <v>-8.5420825755806035E-4</v>
      </c>
      <c r="M398" s="3">
        <v>-2.077</v>
      </c>
      <c r="N398" s="3">
        <v>2.145</v>
      </c>
      <c r="O398" s="3">
        <v>5.7000000000000002E-2</v>
      </c>
      <c r="P398" s="35">
        <v>0</v>
      </c>
      <c r="Q398" s="35">
        <v>-1.49698E-2</v>
      </c>
      <c r="R398" s="35">
        <v>0</v>
      </c>
      <c r="S398" s="35">
        <v>-4.76502E-3</v>
      </c>
      <c r="T398" s="35">
        <v>0</v>
      </c>
      <c r="U398" s="35">
        <v>4.76502E-3</v>
      </c>
      <c r="V398" s="35">
        <v>0</v>
      </c>
    </row>
    <row r="399" spans="1:22">
      <c r="A399" s="7"/>
      <c r="B399" s="8">
        <v>-1.0673702345396179</v>
      </c>
      <c r="C399" s="8">
        <v>2.4075843796929846</v>
      </c>
      <c r="D399" s="8">
        <v>-0.708799578341892</v>
      </c>
      <c r="E399" s="7">
        <v>0</v>
      </c>
      <c r="F399" s="7">
        <v>0</v>
      </c>
      <c r="G399" s="7">
        <v>-1.4990516053215155E-2</v>
      </c>
      <c r="H399" s="7">
        <v>-2.2872089329671663E-2</v>
      </c>
      <c r="I399" s="7">
        <v>0</v>
      </c>
      <c r="J399" s="7">
        <v>0</v>
      </c>
      <c r="K399" s="7">
        <v>2.0521745021313972E-2</v>
      </c>
      <c r="L399" s="3">
        <f t="shared" si="56"/>
        <v>-5.8543318852555259E-4</v>
      </c>
      <c r="M399" s="3">
        <v>-1.0669999999999999</v>
      </c>
      <c r="N399" s="3">
        <v>2.4079999999999999</v>
      </c>
      <c r="O399" s="3">
        <v>-0.70899999999999996</v>
      </c>
      <c r="P399" s="35">
        <v>0</v>
      </c>
      <c r="Q399" s="35">
        <v>0</v>
      </c>
      <c r="R399" s="35">
        <v>-1.49698E-2</v>
      </c>
      <c r="S399" s="35">
        <v>-4.76502E-3</v>
      </c>
      <c r="T399" s="35">
        <v>0</v>
      </c>
      <c r="U399" s="35">
        <v>0</v>
      </c>
      <c r="V399" s="35">
        <v>4.76502E-3</v>
      </c>
    </row>
    <row r="400" spans="1:22">
      <c r="A400" s="7"/>
      <c r="B400" s="8"/>
      <c r="C400" s="8"/>
      <c r="D400" s="8"/>
      <c r="E400" s="7"/>
      <c r="F400" s="7"/>
      <c r="G400" s="7"/>
      <c r="H400" s="7"/>
      <c r="I400" s="7"/>
      <c r="J400" s="7"/>
      <c r="K400" s="7"/>
    </row>
    <row r="401" spans="1:22">
      <c r="A401" s="7"/>
      <c r="B401" s="8">
        <v>-2.44475956514645</v>
      </c>
      <c r="C401" s="8">
        <v>0.85548399177677847</v>
      </c>
      <c r="D401" s="8">
        <v>-5.2896656816179721E-2</v>
      </c>
      <c r="E401" s="7">
        <v>-1.4990516053215155E-2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3">
        <f t="shared" si="54"/>
        <v>-1.7223018585137834E-4</v>
      </c>
      <c r="M401" s="3">
        <v>-2.4449999999999998</v>
      </c>
      <c r="N401" s="3">
        <v>0.85599999999999998</v>
      </c>
      <c r="O401" s="3">
        <v>-5.2999999999999999E-2</v>
      </c>
      <c r="P401" s="35">
        <v>-1.49698E-2</v>
      </c>
      <c r="Q401" s="35">
        <v>0</v>
      </c>
      <c r="R401" s="35">
        <v>0</v>
      </c>
      <c r="S401" s="35">
        <v>-4.76502E-3</v>
      </c>
      <c r="T401" s="35">
        <v>4.76502E-3</v>
      </c>
      <c r="U401" s="35">
        <v>0</v>
      </c>
      <c r="V401" s="35">
        <v>0</v>
      </c>
    </row>
    <row r="402" spans="1:22">
      <c r="A402" s="7" t="s">
        <v>116</v>
      </c>
      <c r="B402" s="8">
        <v>-0.45824053226673911</v>
      </c>
      <c r="C402" s="8">
        <v>2.124969022302313</v>
      </c>
      <c r="D402" s="8">
        <v>-2.076961144994538E-2</v>
      </c>
      <c r="E402" s="7">
        <v>0</v>
      </c>
      <c r="F402" s="7">
        <v>-1.4990516053215155E-2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L402" s="3">
        <f t="shared" si="54"/>
        <v>-4.11214143713097E-5</v>
      </c>
      <c r="M402" s="3">
        <v>-0.45800000000000002</v>
      </c>
      <c r="N402" s="3">
        <v>2.125</v>
      </c>
      <c r="O402" s="3">
        <v>-2.1000000000000001E-2</v>
      </c>
      <c r="P402" s="35">
        <v>0</v>
      </c>
      <c r="Q402" s="35">
        <v>-1.49698E-2</v>
      </c>
      <c r="R402" s="35">
        <v>0</v>
      </c>
      <c r="S402" s="35">
        <v>-4.76502E-3</v>
      </c>
      <c r="T402" s="35">
        <v>0</v>
      </c>
      <c r="U402" s="35">
        <v>4.76502E-3</v>
      </c>
      <c r="V402" s="35">
        <v>0</v>
      </c>
    </row>
    <row r="403" spans="1:22">
      <c r="A403" s="7"/>
      <c r="B403" s="8">
        <v>-1.0673702345396179</v>
      </c>
      <c r="C403" s="8">
        <v>2.4075843796929846</v>
      </c>
      <c r="D403" s="8">
        <v>-0.708799578341892</v>
      </c>
      <c r="E403" s="7">
        <v>0</v>
      </c>
      <c r="F403" s="7">
        <v>0</v>
      </c>
      <c r="G403" s="7">
        <v>-1.4990516053215155E-2</v>
      </c>
      <c r="H403" s="7">
        <v>0</v>
      </c>
      <c r="I403" s="7">
        <v>0</v>
      </c>
      <c r="J403" s="7">
        <v>0</v>
      </c>
      <c r="K403" s="7">
        <v>0</v>
      </c>
      <c r="L403" s="3">
        <f t="shared" si="54"/>
        <v>-5.8543318852555259E-4</v>
      </c>
      <c r="M403" s="3">
        <v>-1.0669999999999999</v>
      </c>
      <c r="N403" s="3">
        <v>2.4079999999999999</v>
      </c>
      <c r="O403" s="3">
        <v>-0.70899999999999996</v>
      </c>
      <c r="P403" s="35">
        <v>0</v>
      </c>
      <c r="Q403" s="35">
        <v>0</v>
      </c>
      <c r="R403" s="35">
        <v>-1.49698E-2</v>
      </c>
      <c r="S403" s="35">
        <v>-4.76502E-3</v>
      </c>
      <c r="T403" s="35">
        <v>0</v>
      </c>
      <c r="U403" s="35">
        <v>0</v>
      </c>
      <c r="V403" s="35">
        <v>4.76502E-3</v>
      </c>
    </row>
    <row r="404" spans="1:22">
      <c r="A404" s="7"/>
      <c r="B404" s="8"/>
      <c r="C404" s="8"/>
      <c r="D404" s="8"/>
      <c r="E404" s="7"/>
      <c r="F404" s="7"/>
      <c r="G404" s="7"/>
      <c r="H404" s="7"/>
      <c r="I404" s="7"/>
      <c r="J404" s="7"/>
      <c r="K404" s="7"/>
    </row>
    <row r="405" spans="1:22">
      <c r="A405" s="7"/>
      <c r="B405" s="8">
        <v>0.40019020491700363</v>
      </c>
      <c r="C405" s="8">
        <v>1.0840062473010013</v>
      </c>
      <c r="D405" s="8">
        <v>1.6840506224230944E-2</v>
      </c>
      <c r="E405" s="7">
        <v>-1.4990516053215155E-2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3">
        <f t="shared" ref="L405:L441" si="57">B405-M405+C405-N405+D405-O405</f>
        <v>3.6958442235626721E-5</v>
      </c>
      <c r="M405" s="3">
        <v>0.4</v>
      </c>
      <c r="N405" s="3">
        <v>1.0840000000000001</v>
      </c>
      <c r="O405" s="3">
        <v>1.7000000000000001E-2</v>
      </c>
      <c r="P405" s="35">
        <v>-1.49698E-2</v>
      </c>
      <c r="Q405" s="35">
        <v>0</v>
      </c>
      <c r="R405" s="35">
        <v>0</v>
      </c>
      <c r="S405" s="35">
        <v>-4.76502E-3</v>
      </c>
      <c r="T405" s="35">
        <v>4.76502E-3</v>
      </c>
      <c r="U405" s="35">
        <v>0</v>
      </c>
      <c r="V405" s="35">
        <v>0</v>
      </c>
    </row>
    <row r="406" spans="1:22">
      <c r="A406" s="7" t="s">
        <v>117</v>
      </c>
      <c r="B406" s="8">
        <v>-2.0770709056556562</v>
      </c>
      <c r="C406" s="8">
        <v>2.1445635165533226</v>
      </c>
      <c r="D406" s="8">
        <v>5.6653180844775664E-2</v>
      </c>
      <c r="E406" s="7">
        <v>0</v>
      </c>
      <c r="F406" s="7">
        <v>-1.4990516053215155E-2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L406" s="3">
        <f t="shared" si="54"/>
        <v>-8.5420825755806035E-4</v>
      </c>
      <c r="M406" s="3">
        <v>-2.077</v>
      </c>
      <c r="N406" s="3">
        <v>2.145</v>
      </c>
      <c r="O406" s="3">
        <v>5.7000000000000002E-2</v>
      </c>
      <c r="P406" s="35">
        <v>0</v>
      </c>
      <c r="Q406" s="35">
        <v>-1.49698E-2</v>
      </c>
      <c r="R406" s="35">
        <v>0</v>
      </c>
      <c r="S406" s="35">
        <v>-4.76502E-3</v>
      </c>
      <c r="T406" s="35">
        <v>0</v>
      </c>
      <c r="U406" s="35">
        <v>4.76502E-3</v>
      </c>
      <c r="V406" s="35">
        <v>0</v>
      </c>
    </row>
    <row r="407" spans="1:22">
      <c r="A407" s="7"/>
      <c r="B407" s="8">
        <v>-0.45824053226673911</v>
      </c>
      <c r="C407" s="8">
        <v>2.124969022302313</v>
      </c>
      <c r="D407" s="8">
        <v>-2.076961144994538E-2</v>
      </c>
      <c r="E407" s="7">
        <v>0</v>
      </c>
      <c r="F407" s="7">
        <v>0</v>
      </c>
      <c r="G407" s="7">
        <v>-1.4990516053215155E-2</v>
      </c>
      <c r="H407" s="7">
        <v>0</v>
      </c>
      <c r="I407" s="7">
        <v>0</v>
      </c>
      <c r="J407" s="7">
        <v>0</v>
      </c>
      <c r="K407" s="7">
        <v>0</v>
      </c>
      <c r="L407" s="3">
        <f t="shared" si="54"/>
        <v>-4.11214143713097E-5</v>
      </c>
      <c r="M407" s="3">
        <v>-0.45800000000000002</v>
      </c>
      <c r="N407" s="3">
        <v>2.125</v>
      </c>
      <c r="O407" s="3">
        <v>-2.1000000000000001E-2</v>
      </c>
      <c r="P407" s="35">
        <v>0</v>
      </c>
      <c r="Q407" s="35">
        <v>0</v>
      </c>
      <c r="R407" s="35">
        <v>-1.49698E-2</v>
      </c>
      <c r="S407" s="35">
        <v>-4.76502E-3</v>
      </c>
      <c r="T407" s="35">
        <v>0</v>
      </c>
      <c r="U407" s="35">
        <v>0</v>
      </c>
      <c r="V407" s="35">
        <v>4.76502E-3</v>
      </c>
    </row>
    <row r="408" spans="1:22">
      <c r="A408" s="7"/>
      <c r="B408" s="8"/>
      <c r="C408" s="8"/>
      <c r="D408" s="8"/>
      <c r="E408" s="7"/>
      <c r="F408" s="7"/>
      <c r="G408" s="7"/>
      <c r="H408" s="7"/>
      <c r="I408" s="7"/>
      <c r="J408" s="7"/>
      <c r="K408" s="7"/>
    </row>
    <row r="409" spans="1:22">
      <c r="A409" s="7"/>
      <c r="B409" s="8">
        <v>0.40019020491700363</v>
      </c>
      <c r="C409" s="8">
        <v>1.0840062473010013</v>
      </c>
      <c r="D409" s="8">
        <v>1.6840506224230944E-2</v>
      </c>
      <c r="E409" s="7">
        <v>-1.4990516053215155E-2</v>
      </c>
      <c r="F409" s="7">
        <v>0</v>
      </c>
      <c r="G409" s="7">
        <v>0</v>
      </c>
      <c r="H409" s="7">
        <v>-2.2872089329671663E-2</v>
      </c>
      <c r="I409" s="7">
        <v>1.6236379226863738E-2</v>
      </c>
      <c r="J409" s="7">
        <v>0</v>
      </c>
      <c r="K409" s="7">
        <v>0</v>
      </c>
      <c r="L409" s="3">
        <f t="shared" ref="L409:L445" si="58">B409-M409+C409-N409+D409-O409</f>
        <v>3.6958442235626721E-5</v>
      </c>
      <c r="M409" s="3">
        <v>0.4</v>
      </c>
      <c r="N409" s="3">
        <v>1.0840000000000001</v>
      </c>
      <c r="O409" s="3">
        <v>1.7000000000000001E-2</v>
      </c>
      <c r="P409" s="35">
        <v>-1.49698E-2</v>
      </c>
      <c r="Q409" s="35">
        <v>0</v>
      </c>
      <c r="R409" s="35">
        <v>0</v>
      </c>
      <c r="S409" s="35">
        <v>-4.76502E-3</v>
      </c>
      <c r="T409" s="35">
        <v>4.76502E-3</v>
      </c>
      <c r="U409" s="35">
        <v>0</v>
      </c>
      <c r="V409" s="35">
        <v>0</v>
      </c>
    </row>
    <row r="410" spans="1:22">
      <c r="A410" s="7" t="s">
        <v>118</v>
      </c>
      <c r="B410" s="8">
        <v>-2.0770709056556562</v>
      </c>
      <c r="C410" s="8">
        <v>2.1445635165533226</v>
      </c>
      <c r="D410" s="8">
        <v>5.6653180844775664E-2</v>
      </c>
      <c r="E410" s="7">
        <v>0</v>
      </c>
      <c r="F410" s="7">
        <v>-1.4990516053215155E-2</v>
      </c>
      <c r="G410" s="7">
        <v>0</v>
      </c>
      <c r="H410" s="7">
        <v>-2.2872089329671663E-2</v>
      </c>
      <c r="I410" s="7">
        <v>0</v>
      </c>
      <c r="J410" s="7">
        <v>1.5970575730977998E-2</v>
      </c>
      <c r="K410" s="7">
        <v>0</v>
      </c>
      <c r="L410" s="3">
        <f t="shared" si="54"/>
        <v>-8.5420825755806035E-4</v>
      </c>
      <c r="M410" s="3">
        <v>-2.077</v>
      </c>
      <c r="N410" s="3">
        <v>2.145</v>
      </c>
      <c r="O410" s="3">
        <v>5.7000000000000002E-2</v>
      </c>
      <c r="P410" s="35">
        <v>0</v>
      </c>
      <c r="Q410" s="35">
        <v>-1.49698E-2</v>
      </c>
      <c r="R410" s="35">
        <v>0</v>
      </c>
      <c r="S410" s="35">
        <v>-4.76502E-3</v>
      </c>
      <c r="T410" s="35">
        <v>0</v>
      </c>
      <c r="U410" s="35">
        <v>4.76502E-3</v>
      </c>
      <c r="V410" s="35">
        <v>0</v>
      </c>
    </row>
    <row r="411" spans="1:22">
      <c r="A411" s="7"/>
      <c r="B411" s="8">
        <v>-1.0673702345396179</v>
      </c>
      <c r="C411" s="8">
        <v>2.4075843796929846</v>
      </c>
      <c r="D411" s="8">
        <v>-0.708799578341892</v>
      </c>
      <c r="E411" s="7">
        <v>0</v>
      </c>
      <c r="F411" s="7">
        <v>0</v>
      </c>
      <c r="G411" s="7">
        <v>-1.4990516053215155E-2</v>
      </c>
      <c r="H411" s="7">
        <v>-2.2872089329671663E-2</v>
      </c>
      <c r="I411" s="7">
        <v>0</v>
      </c>
      <c r="J411" s="7">
        <v>0</v>
      </c>
      <c r="K411" s="7">
        <v>2.0521745021313972E-2</v>
      </c>
      <c r="L411" s="3">
        <f t="shared" si="54"/>
        <v>-5.8543318852555259E-4</v>
      </c>
      <c r="M411" s="3">
        <v>-1.0669999999999999</v>
      </c>
      <c r="N411" s="3">
        <v>2.4079999999999999</v>
      </c>
      <c r="O411" s="3">
        <v>-0.70899999999999996</v>
      </c>
      <c r="P411" s="35">
        <v>0</v>
      </c>
      <c r="Q411" s="35">
        <v>0</v>
      </c>
      <c r="R411" s="35">
        <v>-1.49698E-2</v>
      </c>
      <c r="S411" s="35">
        <v>-4.76502E-3</v>
      </c>
      <c r="T411" s="35">
        <v>0</v>
      </c>
      <c r="U411" s="35">
        <v>0</v>
      </c>
      <c r="V411" s="35">
        <v>4.76502E-3</v>
      </c>
    </row>
    <row r="412" spans="1:22">
      <c r="A412" s="7"/>
      <c r="B412" s="8"/>
      <c r="C412" s="8"/>
      <c r="D412" s="8"/>
      <c r="E412" s="7"/>
      <c r="F412" s="7"/>
      <c r="G412" s="7"/>
      <c r="H412" s="7"/>
      <c r="I412" s="7"/>
      <c r="J412" s="7"/>
      <c r="K412" s="7"/>
    </row>
    <row r="413" spans="1:22">
      <c r="A413" s="7"/>
      <c r="B413" s="8">
        <v>0.40019020491700363</v>
      </c>
      <c r="C413" s="8">
        <v>1.0840062473010013</v>
      </c>
      <c r="D413" s="8">
        <v>1.6840506224230944E-2</v>
      </c>
      <c r="E413" s="7">
        <v>-1.4990516053215155E-2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3">
        <f t="shared" ref="L413:L449" si="59">B413-M413+C413-N413+D413-O413</f>
        <v>3.6958442235626721E-5</v>
      </c>
      <c r="M413" s="3">
        <v>0.4</v>
      </c>
      <c r="N413" s="3">
        <v>1.0840000000000001</v>
      </c>
      <c r="O413" s="3">
        <v>1.7000000000000001E-2</v>
      </c>
      <c r="P413" s="35">
        <v>-1.49698E-2</v>
      </c>
      <c r="Q413" s="35">
        <v>0</v>
      </c>
      <c r="R413" s="35">
        <v>0</v>
      </c>
      <c r="S413" s="35">
        <v>-4.76502E-3</v>
      </c>
      <c r="T413" s="35">
        <v>4.76502E-3</v>
      </c>
      <c r="U413" s="35">
        <v>0</v>
      </c>
      <c r="V413" s="35">
        <v>0</v>
      </c>
    </row>
    <row r="414" spans="1:22">
      <c r="A414" s="7" t="s">
        <v>119</v>
      </c>
      <c r="B414" s="8">
        <v>-0.45824053226673911</v>
      </c>
      <c r="C414" s="8">
        <v>2.124969022302313</v>
      </c>
      <c r="D414" s="8">
        <v>-2.076961144994538E-2</v>
      </c>
      <c r="E414" s="7">
        <v>0</v>
      </c>
      <c r="F414" s="7">
        <v>-1.4990516053215155E-2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3">
        <f t="shared" si="54"/>
        <v>-4.11214143713097E-5</v>
      </c>
      <c r="M414" s="3">
        <v>-0.45800000000000002</v>
      </c>
      <c r="N414" s="3">
        <v>2.125</v>
      </c>
      <c r="O414" s="3">
        <v>-2.1000000000000001E-2</v>
      </c>
      <c r="P414" s="35">
        <v>0</v>
      </c>
      <c r="Q414" s="35">
        <v>-1.49698E-2</v>
      </c>
      <c r="R414" s="35">
        <v>0</v>
      </c>
      <c r="S414" s="35">
        <v>-4.76502E-3</v>
      </c>
      <c r="T414" s="35">
        <v>0</v>
      </c>
      <c r="U414" s="35">
        <v>4.76502E-3</v>
      </c>
      <c r="V414" s="35">
        <v>0</v>
      </c>
    </row>
    <row r="415" spans="1:22">
      <c r="A415" s="7"/>
      <c r="B415" s="8">
        <v>-1.0673702345396179</v>
      </c>
      <c r="C415" s="8">
        <v>2.4075843796929846</v>
      </c>
      <c r="D415" s="8">
        <v>-0.708799578341892</v>
      </c>
      <c r="E415" s="7">
        <v>0</v>
      </c>
      <c r="F415" s="7">
        <v>0</v>
      </c>
      <c r="G415" s="7">
        <v>-1.4990516053215155E-2</v>
      </c>
      <c r="H415" s="7">
        <v>0</v>
      </c>
      <c r="I415" s="7">
        <v>0</v>
      </c>
      <c r="J415" s="7">
        <v>0</v>
      </c>
      <c r="K415" s="7">
        <v>0</v>
      </c>
      <c r="L415" s="3">
        <f t="shared" si="54"/>
        <v>-5.8543318852555259E-4</v>
      </c>
      <c r="M415" s="3">
        <v>-1.0669999999999999</v>
      </c>
      <c r="N415" s="3">
        <v>2.4079999999999999</v>
      </c>
      <c r="O415" s="3">
        <v>-0.70899999999999996</v>
      </c>
      <c r="P415" s="35">
        <v>0</v>
      </c>
      <c r="Q415" s="35">
        <v>0</v>
      </c>
      <c r="R415" s="35">
        <v>-1.49698E-2</v>
      </c>
      <c r="S415" s="35">
        <v>-4.76502E-3</v>
      </c>
      <c r="T415" s="35">
        <v>0</v>
      </c>
      <c r="U415" s="35">
        <v>0</v>
      </c>
      <c r="V415" s="35">
        <v>4.76502E-3</v>
      </c>
    </row>
    <row r="416" spans="1:22">
      <c r="A416" s="7"/>
      <c r="B416" s="8"/>
      <c r="C416" s="8"/>
      <c r="D416" s="8"/>
      <c r="E416" s="7"/>
      <c r="F416" s="7"/>
      <c r="G416" s="7"/>
      <c r="H416" s="7"/>
      <c r="I416" s="7"/>
      <c r="J416" s="7"/>
      <c r="K416" s="7"/>
    </row>
    <row r="417" spans="1:22">
      <c r="A417" s="7"/>
      <c r="B417" s="8">
        <v>-2.0770709056556562</v>
      </c>
      <c r="C417" s="8">
        <v>2.1445635165533226</v>
      </c>
      <c r="D417" s="8">
        <v>5.6653180844775664E-2</v>
      </c>
      <c r="E417" s="7">
        <v>-1.4990516053215155E-2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3">
        <f t="shared" ref="L417:L453" si="60">B417-M417+C417-N417+D417-O417</f>
        <v>-8.5420825755806035E-4</v>
      </c>
      <c r="M417" s="3">
        <v>-2.077</v>
      </c>
      <c r="N417" s="3">
        <v>2.145</v>
      </c>
      <c r="O417" s="3">
        <v>5.7000000000000002E-2</v>
      </c>
      <c r="P417" s="35">
        <v>-1.49698E-2</v>
      </c>
      <c r="Q417" s="35">
        <v>0</v>
      </c>
      <c r="R417" s="35">
        <v>0</v>
      </c>
      <c r="S417" s="35">
        <v>-4.76502E-3</v>
      </c>
      <c r="T417" s="35">
        <v>4.76502E-3</v>
      </c>
      <c r="U417" s="35">
        <v>0</v>
      </c>
      <c r="V417" s="35">
        <v>0</v>
      </c>
    </row>
    <row r="418" spans="1:22">
      <c r="A418" s="7" t="s">
        <v>120</v>
      </c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-1.4990516053215155E-2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L418" s="3">
        <f t="shared" si="54"/>
        <v>-4.11214143713097E-5</v>
      </c>
      <c r="M418" s="3">
        <v>-0.45800000000000002</v>
      </c>
      <c r="N418" s="3">
        <v>2.125</v>
      </c>
      <c r="O418" s="3">
        <v>-2.1000000000000001E-2</v>
      </c>
      <c r="P418" s="35">
        <v>0</v>
      </c>
      <c r="Q418" s="35">
        <v>-1.49698E-2</v>
      </c>
      <c r="R418" s="35">
        <v>0</v>
      </c>
      <c r="S418" s="35">
        <v>-4.76502E-3</v>
      </c>
      <c r="T418" s="35">
        <v>0</v>
      </c>
      <c r="U418" s="35">
        <v>4.76502E-3</v>
      </c>
      <c r="V418" s="35">
        <v>0</v>
      </c>
    </row>
    <row r="419" spans="1:22">
      <c r="A419" s="7"/>
      <c r="B419" s="8">
        <v>-1.0673702345396179</v>
      </c>
      <c r="C419" s="8">
        <v>2.4075843796929846</v>
      </c>
      <c r="D419" s="8">
        <v>-0.708799578341892</v>
      </c>
      <c r="E419" s="7">
        <v>0</v>
      </c>
      <c r="F419" s="7">
        <v>0</v>
      </c>
      <c r="G419" s="7">
        <v>-1.4990516053215155E-2</v>
      </c>
      <c r="H419" s="7">
        <v>0</v>
      </c>
      <c r="I419" s="7">
        <v>0</v>
      </c>
      <c r="J419" s="7">
        <v>0</v>
      </c>
      <c r="K419" s="7">
        <v>0</v>
      </c>
      <c r="L419" s="3">
        <f t="shared" si="54"/>
        <v>-5.8543318852555259E-4</v>
      </c>
      <c r="M419" s="3">
        <v>-1.0669999999999999</v>
      </c>
      <c r="N419" s="3">
        <v>2.4079999999999999</v>
      </c>
      <c r="O419" s="3">
        <v>-0.70899999999999996</v>
      </c>
      <c r="P419" s="35">
        <v>0</v>
      </c>
      <c r="Q419" s="35">
        <v>0</v>
      </c>
      <c r="R419" s="35">
        <v>-1.49698E-2</v>
      </c>
      <c r="S419" s="35">
        <v>-4.76502E-3</v>
      </c>
      <c r="T419" s="35">
        <v>0</v>
      </c>
      <c r="U419" s="35">
        <v>0</v>
      </c>
      <c r="V419" s="35">
        <v>4.76502E-3</v>
      </c>
    </row>
    <row r="420" spans="1:22">
      <c r="A420" s="7"/>
      <c r="B420" s="8"/>
      <c r="C420" s="8"/>
      <c r="D420" s="8"/>
      <c r="E420" s="7"/>
      <c r="F420" s="7"/>
      <c r="G420" s="7"/>
      <c r="H420" s="7"/>
      <c r="I420" s="7"/>
      <c r="J420" s="7"/>
      <c r="K420" s="7"/>
    </row>
    <row r="421" spans="1:22">
      <c r="A421" s="7"/>
      <c r="B421" s="8">
        <v>1.4028471761352286</v>
      </c>
      <c r="C421" s="8">
        <v>-0.814665459345566</v>
      </c>
      <c r="D421" s="8">
        <v>-0.7195871750303805</v>
      </c>
      <c r="E421" s="7">
        <v>-1.4990516053215155E-2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3">
        <f t="shared" ref="L421:L483" si="61">B421-M421+C421-N421+D421-O421</f>
        <v>-4.0545824071802627E-4</v>
      </c>
      <c r="M421" s="3">
        <v>1.403</v>
      </c>
      <c r="N421" s="3">
        <v>-0.81499999999999995</v>
      </c>
      <c r="O421" s="3">
        <v>-0.71899999999999997</v>
      </c>
      <c r="P421" s="35">
        <v>-1.49698E-2</v>
      </c>
      <c r="Q421" s="35">
        <v>0</v>
      </c>
      <c r="R421" s="35">
        <v>0</v>
      </c>
      <c r="S421" s="35">
        <v>-4.76502E-3</v>
      </c>
      <c r="T421" s="35">
        <v>4.76502E-3</v>
      </c>
      <c r="U421" s="35">
        <v>0</v>
      </c>
      <c r="V421" s="35">
        <v>0</v>
      </c>
    </row>
    <row r="422" spans="1:22">
      <c r="A422" s="7" t="s">
        <v>121</v>
      </c>
      <c r="B422" s="8">
        <v>0.14897154656832046</v>
      </c>
      <c r="C422" s="8">
        <v>-0.84725762547333594</v>
      </c>
      <c r="D422" s="8">
        <v>1.9759438806851826E-2</v>
      </c>
      <c r="E422" s="7">
        <v>0</v>
      </c>
      <c r="F422" s="7">
        <v>-1.4990516053215155E-2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L422" s="3">
        <f t="shared" si="61"/>
        <v>4.733599018362962E-4</v>
      </c>
      <c r="M422" s="3">
        <v>0.14899999999999999</v>
      </c>
      <c r="N422" s="3">
        <v>-0.84799999999999998</v>
      </c>
      <c r="O422" s="3">
        <v>0.02</v>
      </c>
      <c r="P422" s="35">
        <v>0</v>
      </c>
      <c r="Q422" s="35">
        <v>-1.49698E-2</v>
      </c>
      <c r="R422" s="35">
        <v>0</v>
      </c>
      <c r="S422" s="35">
        <v>-4.76502E-3</v>
      </c>
      <c r="T422" s="35">
        <v>0</v>
      </c>
      <c r="U422" s="35">
        <v>4.76502E-3</v>
      </c>
      <c r="V422" s="35">
        <v>0</v>
      </c>
    </row>
    <row r="423" spans="1:22">
      <c r="A423" s="7"/>
      <c r="B423" s="8">
        <v>2.44475956514645</v>
      </c>
      <c r="C423" s="8">
        <v>-0.85548399177677847</v>
      </c>
      <c r="D423" s="8">
        <v>5.2896656816179721E-2</v>
      </c>
      <c r="E423" s="7">
        <v>0</v>
      </c>
      <c r="F423" s="7">
        <v>0</v>
      </c>
      <c r="G423" s="7">
        <v>-1.4990516053215155E-2</v>
      </c>
      <c r="H423" s="7">
        <v>0</v>
      </c>
      <c r="I423" s="7">
        <v>0</v>
      </c>
      <c r="J423" s="7">
        <v>0</v>
      </c>
      <c r="K423" s="7">
        <v>0</v>
      </c>
      <c r="L423" s="3">
        <f t="shared" si="61"/>
        <v>1.7223018585137834E-4</v>
      </c>
      <c r="M423" s="3">
        <v>2.4449999999999998</v>
      </c>
      <c r="N423" s="3">
        <v>-0.85599999999999998</v>
      </c>
      <c r="O423" s="3">
        <v>5.2999999999999999E-2</v>
      </c>
      <c r="P423" s="35">
        <v>0</v>
      </c>
      <c r="Q423" s="35">
        <v>0</v>
      </c>
      <c r="R423" s="35">
        <v>-1.49698E-2</v>
      </c>
      <c r="S423" s="35">
        <v>-4.76502E-3</v>
      </c>
      <c r="T423" s="35">
        <v>0</v>
      </c>
      <c r="U423" s="35">
        <v>0</v>
      </c>
      <c r="V423" s="35">
        <v>4.76502E-3</v>
      </c>
    </row>
    <row r="424" spans="1:22">
      <c r="A424" s="7"/>
      <c r="B424" s="8"/>
      <c r="C424" s="8"/>
      <c r="D424" s="8"/>
      <c r="E424" s="7"/>
      <c r="F424" s="7"/>
      <c r="G424" s="7"/>
      <c r="H424" s="7"/>
      <c r="I424" s="7"/>
      <c r="J424" s="7"/>
      <c r="K424" s="7"/>
    </row>
    <row r="425" spans="1:22">
      <c r="A425" s="7"/>
      <c r="B425" s="8">
        <v>1.4028471761352286</v>
      </c>
      <c r="C425" s="8">
        <v>-0.814665459345566</v>
      </c>
      <c r="D425" s="8">
        <v>-0.7195871750303805</v>
      </c>
      <c r="E425" s="7">
        <v>-1.4990516053215155E-2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3">
        <f t="shared" ref="L425:L461" si="62">B425-M425+C425-N425+D425-O425</f>
        <v>-4.0545824071802627E-4</v>
      </c>
      <c r="M425" s="3">
        <v>1.403</v>
      </c>
      <c r="N425" s="3">
        <v>-0.81499999999999995</v>
      </c>
      <c r="O425" s="3">
        <v>-0.71899999999999997</v>
      </c>
      <c r="P425" s="35">
        <v>-1.49698E-2</v>
      </c>
      <c r="Q425" s="35">
        <v>0</v>
      </c>
      <c r="R425" s="35">
        <v>0</v>
      </c>
      <c r="S425" s="35">
        <v>-4.76502E-3</v>
      </c>
      <c r="T425" s="35">
        <v>4.76502E-3</v>
      </c>
      <c r="U425" s="35">
        <v>0</v>
      </c>
      <c r="V425" s="35">
        <v>0</v>
      </c>
    </row>
    <row r="426" spans="1:22">
      <c r="A426" s="7" t="s">
        <v>122</v>
      </c>
      <c r="B426" s="8">
        <v>0.14897154656832046</v>
      </c>
      <c r="C426" s="8">
        <v>-0.84725762547333594</v>
      </c>
      <c r="D426" s="8">
        <v>1.9759438806851826E-2</v>
      </c>
      <c r="E426" s="7">
        <v>0</v>
      </c>
      <c r="F426" s="7">
        <v>-1.4990516053215155E-2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L426" s="3">
        <f t="shared" si="61"/>
        <v>4.733599018362962E-4</v>
      </c>
      <c r="M426" s="3">
        <v>0.14899999999999999</v>
      </c>
      <c r="N426" s="3">
        <v>-0.84799999999999998</v>
      </c>
      <c r="O426" s="3">
        <v>0.02</v>
      </c>
      <c r="P426" s="35">
        <v>0</v>
      </c>
      <c r="Q426" s="35">
        <v>-1.49698E-2</v>
      </c>
      <c r="R426" s="35">
        <v>0</v>
      </c>
      <c r="S426" s="35">
        <v>-4.76502E-3</v>
      </c>
      <c r="T426" s="35">
        <v>0</v>
      </c>
      <c r="U426" s="35">
        <v>4.76502E-3</v>
      </c>
      <c r="V426" s="35">
        <v>0</v>
      </c>
    </row>
    <row r="427" spans="1:22">
      <c r="A427" s="7"/>
      <c r="B427" s="8">
        <v>2.8449497700634536</v>
      </c>
      <c r="C427" s="8">
        <v>0.22852225552422287</v>
      </c>
      <c r="D427" s="8">
        <v>6.9737163040410666E-2</v>
      </c>
      <c r="E427" s="7">
        <v>0</v>
      </c>
      <c r="F427" s="7">
        <v>0</v>
      </c>
      <c r="G427" s="7">
        <v>-1.4990516053215155E-2</v>
      </c>
      <c r="H427" s="7">
        <v>0</v>
      </c>
      <c r="I427" s="7">
        <v>0</v>
      </c>
      <c r="J427" s="7">
        <v>0</v>
      </c>
      <c r="K427" s="7">
        <v>0</v>
      </c>
      <c r="L427" s="3">
        <f t="shared" si="61"/>
        <v>2.0918862808694261E-4</v>
      </c>
      <c r="M427" s="3">
        <v>2.8450000000000002</v>
      </c>
      <c r="N427" s="3">
        <v>0.22800000000000001</v>
      </c>
      <c r="O427" s="3">
        <v>7.0000000000000007E-2</v>
      </c>
      <c r="P427" s="35">
        <v>0</v>
      </c>
      <c r="Q427" s="35">
        <v>0</v>
      </c>
      <c r="R427" s="35">
        <v>-1.49698E-2</v>
      </c>
      <c r="S427" s="35">
        <v>-4.76502E-3</v>
      </c>
      <c r="T427" s="35">
        <v>0</v>
      </c>
      <c r="U427" s="35">
        <v>0</v>
      </c>
      <c r="V427" s="35">
        <v>4.76502E-3</v>
      </c>
    </row>
    <row r="428" spans="1:22">
      <c r="A428" s="7"/>
      <c r="B428" s="8"/>
      <c r="C428" s="8"/>
      <c r="D428" s="8"/>
      <c r="E428" s="7"/>
      <c r="F428" s="7"/>
      <c r="G428" s="7"/>
      <c r="H428" s="7"/>
      <c r="I428" s="7"/>
      <c r="J428" s="7"/>
      <c r="K428" s="7"/>
    </row>
    <row r="429" spans="1:22">
      <c r="A429" s="7"/>
      <c r="B429" s="8">
        <v>1.4028471761352286</v>
      </c>
      <c r="C429" s="8">
        <v>-0.814665459345566</v>
      </c>
      <c r="D429" s="8">
        <v>-0.7195871750303805</v>
      </c>
      <c r="E429" s="7">
        <v>-1.4990516053215155E-2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3">
        <f t="shared" ref="L429:L465" si="63">B429-M429+C429-N429+D429-O429</f>
        <v>-4.0545824071802627E-4</v>
      </c>
      <c r="M429" s="3">
        <v>1.403</v>
      </c>
      <c r="N429" s="3">
        <v>-0.81499999999999995</v>
      </c>
      <c r="O429" s="3">
        <v>-0.71899999999999997</v>
      </c>
      <c r="P429" s="35">
        <v>-1.49698E-2</v>
      </c>
      <c r="Q429" s="35">
        <v>0</v>
      </c>
      <c r="R429" s="35">
        <v>0</v>
      </c>
      <c r="S429" s="35">
        <v>-4.76502E-3</v>
      </c>
      <c r="T429" s="35">
        <v>4.76502E-3</v>
      </c>
      <c r="U429" s="35">
        <v>0</v>
      </c>
      <c r="V429" s="35">
        <v>0</v>
      </c>
    </row>
    <row r="430" spans="1:22">
      <c r="A430" s="7" t="s">
        <v>123</v>
      </c>
      <c r="B430" s="8">
        <v>0.14897154656832046</v>
      </c>
      <c r="C430" s="8">
        <v>-0.84725762547333594</v>
      </c>
      <c r="D430" s="8">
        <v>1.9759438806851826E-2</v>
      </c>
      <c r="E430" s="7">
        <v>0</v>
      </c>
      <c r="F430" s="7">
        <v>-1.4990516053215155E-2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L430" s="3">
        <f t="shared" si="61"/>
        <v>4.733599018362962E-4</v>
      </c>
      <c r="M430" s="3">
        <v>0.14899999999999999</v>
      </c>
      <c r="N430" s="3">
        <v>-0.84799999999999998</v>
      </c>
      <c r="O430" s="3">
        <v>0.02</v>
      </c>
      <c r="P430" s="35">
        <v>0</v>
      </c>
      <c r="Q430" s="35">
        <v>-1.49698E-2</v>
      </c>
      <c r="R430" s="35">
        <v>0</v>
      </c>
      <c r="S430" s="35">
        <v>-4.76502E-3</v>
      </c>
      <c r="T430" s="35">
        <v>0</v>
      </c>
      <c r="U430" s="35">
        <v>4.76502E-3</v>
      </c>
      <c r="V430" s="35">
        <v>0</v>
      </c>
    </row>
    <row r="431" spans="1:22">
      <c r="A431" s="7"/>
      <c r="B431" s="8">
        <v>0.36768865949079377</v>
      </c>
      <c r="C431" s="8">
        <v>1.2890795247765441</v>
      </c>
      <c r="D431" s="8">
        <v>0.10954983766095538</v>
      </c>
      <c r="E431" s="7">
        <v>0</v>
      </c>
      <c r="F431" s="7">
        <v>0</v>
      </c>
      <c r="G431" s="7">
        <v>-1.4990516053215155E-2</v>
      </c>
      <c r="H431" s="7">
        <v>0</v>
      </c>
      <c r="I431" s="7">
        <v>0</v>
      </c>
      <c r="J431" s="7">
        <v>0</v>
      </c>
      <c r="K431" s="7">
        <v>0</v>
      </c>
      <c r="L431" s="3">
        <f t="shared" si="61"/>
        <v>-6.8197807170657099E-4</v>
      </c>
      <c r="M431" s="3">
        <v>0.36799999999999999</v>
      </c>
      <c r="N431" s="3">
        <v>1.2889999999999999</v>
      </c>
      <c r="O431" s="3">
        <v>0.11</v>
      </c>
      <c r="P431" s="35">
        <v>0</v>
      </c>
      <c r="Q431" s="35">
        <v>0</v>
      </c>
      <c r="R431" s="35">
        <v>-1.49698E-2</v>
      </c>
      <c r="S431" s="35">
        <v>-4.76502E-3</v>
      </c>
      <c r="T431" s="35">
        <v>0</v>
      </c>
      <c r="U431" s="35">
        <v>0</v>
      </c>
      <c r="V431" s="35">
        <v>4.76502E-3</v>
      </c>
    </row>
    <row r="432" spans="1:22">
      <c r="A432" s="7"/>
      <c r="B432" s="8"/>
      <c r="C432" s="8"/>
      <c r="D432" s="8"/>
      <c r="E432" s="7"/>
      <c r="F432" s="7"/>
      <c r="G432" s="7"/>
      <c r="H432" s="7"/>
      <c r="I432" s="7"/>
      <c r="J432" s="7"/>
      <c r="K432" s="7"/>
    </row>
    <row r="433" spans="1:22">
      <c r="A433" s="7"/>
      <c r="B433" s="8">
        <v>1.4028471761352286</v>
      </c>
      <c r="C433" s="8">
        <v>-0.814665459345566</v>
      </c>
      <c r="D433" s="8">
        <v>-0.7195871750303805</v>
      </c>
      <c r="E433" s="7">
        <v>-1.4990516053215155E-2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3">
        <f t="shared" ref="L433" si="64">B433-M433+C433-N433+D433-O433</f>
        <v>-4.0545824071802627E-4</v>
      </c>
      <c r="M433" s="3">
        <v>1.403</v>
      </c>
      <c r="N433" s="3">
        <v>-0.81499999999999995</v>
      </c>
      <c r="O433" s="3">
        <v>-0.71899999999999997</v>
      </c>
      <c r="P433" s="35">
        <v>-1.49698E-2</v>
      </c>
      <c r="Q433" s="35">
        <v>0</v>
      </c>
      <c r="R433" s="35">
        <v>0</v>
      </c>
      <c r="S433" s="35">
        <v>-4.76502E-3</v>
      </c>
      <c r="T433" s="35">
        <v>4.76502E-3</v>
      </c>
      <c r="U433" s="35">
        <v>0</v>
      </c>
      <c r="V433" s="35">
        <v>0</v>
      </c>
    </row>
    <row r="434" spans="1:22">
      <c r="A434" s="7" t="s">
        <v>124</v>
      </c>
      <c r="B434" s="8">
        <v>0.14897154656832046</v>
      </c>
      <c r="C434" s="8">
        <v>-0.84725762547333594</v>
      </c>
      <c r="D434" s="8">
        <v>1.9759438806851826E-2</v>
      </c>
      <c r="E434" s="7">
        <v>0</v>
      </c>
      <c r="F434" s="7">
        <v>-1.4990516053215155E-2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L434" s="3">
        <f t="shared" si="56"/>
        <v>4.733599018362962E-4</v>
      </c>
      <c r="M434" s="3">
        <v>0.14899999999999999</v>
      </c>
      <c r="N434" s="3">
        <v>-0.84799999999999998</v>
      </c>
      <c r="O434" s="3">
        <v>0.02</v>
      </c>
      <c r="P434" s="35">
        <v>0</v>
      </c>
      <c r="Q434" s="35">
        <v>-1.49698E-2</v>
      </c>
      <c r="R434" s="35">
        <v>0</v>
      </c>
      <c r="S434" s="35">
        <v>-4.76502E-3</v>
      </c>
      <c r="T434" s="35">
        <v>0</v>
      </c>
      <c r="U434" s="35">
        <v>4.76502E-3</v>
      </c>
      <c r="V434" s="35">
        <v>0</v>
      </c>
    </row>
    <row r="435" spans="1:22">
      <c r="A435" s="7"/>
      <c r="B435" s="8">
        <v>1.9865190328797109</v>
      </c>
      <c r="C435" s="8">
        <v>1.2694850305255347</v>
      </c>
      <c r="D435" s="8">
        <v>3.2127045366234341E-2</v>
      </c>
      <c r="E435" s="7">
        <v>0</v>
      </c>
      <c r="F435" s="7">
        <v>0</v>
      </c>
      <c r="G435" s="7">
        <v>-1.4990516053215155E-2</v>
      </c>
      <c r="H435" s="7">
        <v>0</v>
      </c>
      <c r="I435" s="7">
        <v>0</v>
      </c>
      <c r="J435" s="7">
        <v>0</v>
      </c>
      <c r="K435" s="7">
        <v>0</v>
      </c>
      <c r="L435" s="3">
        <f t="shared" si="56"/>
        <v>1.3110877147995414E-4</v>
      </c>
      <c r="M435" s="3">
        <v>1.9870000000000001</v>
      </c>
      <c r="N435" s="3">
        <v>1.2689999999999999</v>
      </c>
      <c r="O435" s="3">
        <v>3.2000000000000001E-2</v>
      </c>
      <c r="P435" s="35">
        <v>0</v>
      </c>
      <c r="Q435" s="35">
        <v>0</v>
      </c>
      <c r="R435" s="35">
        <v>-1.49698E-2</v>
      </c>
      <c r="S435" s="35">
        <v>-4.76502E-3</v>
      </c>
      <c r="T435" s="35">
        <v>0</v>
      </c>
      <c r="U435" s="35">
        <v>0</v>
      </c>
      <c r="V435" s="35">
        <v>4.76502E-3</v>
      </c>
    </row>
    <row r="436" spans="1:22">
      <c r="A436" s="7"/>
      <c r="B436" s="8"/>
      <c r="C436" s="8"/>
      <c r="D436" s="8"/>
      <c r="E436" s="7"/>
      <c r="F436" s="7"/>
      <c r="G436" s="7"/>
      <c r="H436" s="7"/>
      <c r="I436" s="7"/>
      <c r="J436" s="7"/>
      <c r="K436" s="7"/>
    </row>
    <row r="437" spans="1:22">
      <c r="A437" s="7"/>
      <c r="B437" s="8">
        <v>1.4028471761352286</v>
      </c>
      <c r="C437" s="8">
        <v>-0.814665459345566</v>
      </c>
      <c r="D437" s="8">
        <v>-0.7195871750303805</v>
      </c>
      <c r="E437" s="7">
        <v>-1.4990516053215155E-2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3">
        <f t="shared" si="61"/>
        <v>-4.0545824071802627E-4</v>
      </c>
      <c r="M437" s="3">
        <v>1.403</v>
      </c>
      <c r="N437" s="3">
        <v>-0.81499999999999995</v>
      </c>
      <c r="O437" s="3">
        <v>-0.71899999999999997</v>
      </c>
      <c r="P437" s="35">
        <v>-1.49698E-2</v>
      </c>
      <c r="Q437" s="35">
        <v>0</v>
      </c>
      <c r="R437" s="35">
        <v>0</v>
      </c>
      <c r="S437" s="35">
        <v>-4.76502E-3</v>
      </c>
      <c r="T437" s="35">
        <v>4.76502E-3</v>
      </c>
      <c r="U437" s="35">
        <v>0</v>
      </c>
      <c r="V437" s="35">
        <v>0</v>
      </c>
    </row>
    <row r="438" spans="1:22">
      <c r="A438" s="7" t="s">
        <v>125</v>
      </c>
      <c r="B438" s="8">
        <v>0.14897154656832046</v>
      </c>
      <c r="C438" s="8">
        <v>-0.84725762547333594</v>
      </c>
      <c r="D438" s="8">
        <v>1.9759438806851826E-2</v>
      </c>
      <c r="E438" s="7">
        <v>0</v>
      </c>
      <c r="F438" s="7">
        <v>-1.4990516053215155E-2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L438" s="3">
        <f t="shared" si="61"/>
        <v>4.733599018362962E-4</v>
      </c>
      <c r="M438" s="3">
        <v>0.14899999999999999</v>
      </c>
      <c r="N438" s="3">
        <v>-0.84799999999999998</v>
      </c>
      <c r="O438" s="3">
        <v>0.02</v>
      </c>
      <c r="P438" s="35">
        <v>0</v>
      </c>
      <c r="Q438" s="35">
        <v>-1.49698E-2</v>
      </c>
      <c r="R438" s="35">
        <v>0</v>
      </c>
      <c r="S438" s="35">
        <v>-4.76502E-3</v>
      </c>
      <c r="T438" s="35">
        <v>0</v>
      </c>
      <c r="U438" s="35">
        <v>4.76502E-3</v>
      </c>
      <c r="V438" s="35">
        <v>0</v>
      </c>
    </row>
    <row r="439" spans="1:22">
      <c r="A439" s="7"/>
      <c r="B439" s="8">
        <v>1.3773893306068323</v>
      </c>
      <c r="C439" s="8">
        <v>1.5521003879162059</v>
      </c>
      <c r="D439" s="8">
        <v>-0.65590292152571228</v>
      </c>
      <c r="E439" s="7">
        <v>0</v>
      </c>
      <c r="F439" s="7">
        <v>0</v>
      </c>
      <c r="G439" s="7">
        <v>-1.4990516053215155E-2</v>
      </c>
      <c r="H439" s="7">
        <v>0</v>
      </c>
      <c r="I439" s="7">
        <v>0</v>
      </c>
      <c r="J439" s="7">
        <v>0</v>
      </c>
      <c r="K439" s="7">
        <v>0</v>
      </c>
      <c r="L439" s="3">
        <f t="shared" si="61"/>
        <v>-4.1320300267400079E-4</v>
      </c>
      <c r="M439" s="3">
        <v>1.3779999999999999</v>
      </c>
      <c r="N439" s="3">
        <v>1.552</v>
      </c>
      <c r="O439" s="3">
        <v>-0.65600000000000003</v>
      </c>
      <c r="P439" s="35">
        <v>0</v>
      </c>
      <c r="Q439" s="35">
        <v>0</v>
      </c>
      <c r="R439" s="35">
        <v>-1.49698E-2</v>
      </c>
      <c r="S439" s="35">
        <v>-4.76502E-3</v>
      </c>
      <c r="T439" s="35">
        <v>0</v>
      </c>
      <c r="U439" s="35">
        <v>0</v>
      </c>
      <c r="V439" s="35">
        <v>4.76502E-3</v>
      </c>
    </row>
    <row r="440" spans="1:22">
      <c r="A440" s="7"/>
      <c r="B440" s="8"/>
      <c r="C440" s="8"/>
      <c r="D440" s="8"/>
      <c r="E440" s="7"/>
      <c r="F440" s="7"/>
      <c r="G440" s="7"/>
      <c r="H440" s="7"/>
      <c r="I440" s="7"/>
      <c r="J440" s="7"/>
      <c r="K440" s="7"/>
    </row>
    <row r="441" spans="1:22">
      <c r="A441" s="7"/>
      <c r="B441" s="8">
        <v>1.4028471761352286</v>
      </c>
      <c r="C441" s="8">
        <v>-0.814665459345566</v>
      </c>
      <c r="D441" s="8">
        <v>-0.7195871750303805</v>
      </c>
      <c r="E441" s="7">
        <v>-1.4990516053215155E-2</v>
      </c>
      <c r="F441" s="7">
        <v>0</v>
      </c>
      <c r="G441" s="7">
        <v>0</v>
      </c>
      <c r="H441" s="7">
        <v>-2.2385887789414392E-2</v>
      </c>
      <c r="I441" s="7">
        <v>2.1796664656245589E-2</v>
      </c>
      <c r="J441" s="7">
        <v>0</v>
      </c>
      <c r="K441" s="7">
        <v>0</v>
      </c>
      <c r="L441" s="3">
        <f t="shared" si="57"/>
        <v>-4.0545824071802627E-4</v>
      </c>
      <c r="M441" s="3">
        <v>1.403</v>
      </c>
      <c r="N441" s="3">
        <v>-0.81499999999999995</v>
      </c>
      <c r="O441" s="3">
        <v>-0.71899999999999997</v>
      </c>
      <c r="P441" s="35">
        <v>-1.49698E-2</v>
      </c>
      <c r="Q441" s="35">
        <v>0</v>
      </c>
      <c r="R441" s="35">
        <v>0</v>
      </c>
      <c r="S441" s="35">
        <v>-4.76502E-3</v>
      </c>
      <c r="T441" s="35">
        <v>4.76502E-3</v>
      </c>
      <c r="U441" s="35">
        <v>0</v>
      </c>
      <c r="V441" s="35">
        <v>0</v>
      </c>
    </row>
    <row r="442" spans="1:22">
      <c r="A442" s="7" t="s">
        <v>126</v>
      </c>
      <c r="B442" s="8">
        <v>2.44475956514645</v>
      </c>
      <c r="C442" s="8">
        <v>-0.85548399177677847</v>
      </c>
      <c r="D442" s="8">
        <v>5.2896656816179721E-2</v>
      </c>
      <c r="E442" s="7">
        <v>0</v>
      </c>
      <c r="F442" s="7">
        <v>-1.4990516053215155E-2</v>
      </c>
      <c r="G442" s="7">
        <v>0</v>
      </c>
      <c r="H442" s="7">
        <v>-2.2385887789414392E-2</v>
      </c>
      <c r="I442" s="7">
        <v>0</v>
      </c>
      <c r="J442" s="7">
        <v>2.2872089329671663E-2</v>
      </c>
      <c r="K442" s="7">
        <v>0</v>
      </c>
      <c r="L442" s="3">
        <f t="shared" si="61"/>
        <v>1.7223018585137834E-4</v>
      </c>
      <c r="M442" s="3">
        <v>2.4449999999999998</v>
      </c>
      <c r="N442" s="3">
        <v>-0.85599999999999998</v>
      </c>
      <c r="O442" s="3">
        <v>5.2999999999999999E-2</v>
      </c>
      <c r="P442" s="35">
        <v>0</v>
      </c>
      <c r="Q442" s="35">
        <v>-1.49698E-2</v>
      </c>
      <c r="R442" s="35">
        <v>0</v>
      </c>
      <c r="S442" s="35">
        <v>-4.76502E-3</v>
      </c>
      <c r="T442" s="35">
        <v>0</v>
      </c>
      <c r="U442" s="35">
        <v>4.76502E-3</v>
      </c>
      <c r="V442" s="35">
        <v>0</v>
      </c>
    </row>
    <row r="443" spans="1:22">
      <c r="A443" s="7"/>
      <c r="B443" s="8">
        <v>2.8449497700634536</v>
      </c>
      <c r="C443" s="8">
        <v>0.22852225552422287</v>
      </c>
      <c r="D443" s="8">
        <v>6.9737163040410666E-2</v>
      </c>
      <c r="E443" s="7">
        <v>0</v>
      </c>
      <c r="F443" s="7">
        <v>0</v>
      </c>
      <c r="G443" s="7">
        <v>-1.4990516053215155E-2</v>
      </c>
      <c r="H443" s="7">
        <v>-2.2385887789414392E-2</v>
      </c>
      <c r="I443" s="7">
        <v>0</v>
      </c>
      <c r="J443" s="7">
        <v>0</v>
      </c>
      <c r="K443" s="7">
        <v>1.6236379226863738E-2</v>
      </c>
      <c r="L443" s="3">
        <f t="shared" si="61"/>
        <v>2.0918862808694261E-4</v>
      </c>
      <c r="M443" s="3">
        <v>2.8450000000000002</v>
      </c>
      <c r="N443" s="3">
        <v>0.22800000000000001</v>
      </c>
      <c r="O443" s="3">
        <v>7.0000000000000007E-2</v>
      </c>
      <c r="P443" s="35">
        <v>0</v>
      </c>
      <c r="Q443" s="35">
        <v>0</v>
      </c>
      <c r="R443" s="35">
        <v>-1.49698E-2</v>
      </c>
      <c r="S443" s="35">
        <v>-4.76502E-3</v>
      </c>
      <c r="T443" s="35">
        <v>0</v>
      </c>
      <c r="U443" s="35">
        <v>0</v>
      </c>
      <c r="V443" s="35">
        <v>4.76502E-3</v>
      </c>
    </row>
    <row r="444" spans="1:22">
      <c r="A444" s="7"/>
      <c r="B444" s="8"/>
      <c r="C444" s="8"/>
      <c r="D444" s="8"/>
      <c r="E444" s="7"/>
      <c r="F444" s="7"/>
      <c r="G444" s="7"/>
      <c r="H444" s="7"/>
      <c r="I444" s="7"/>
      <c r="J444" s="7"/>
      <c r="K444" s="7"/>
    </row>
    <row r="445" spans="1:22">
      <c r="A445" s="7"/>
      <c r="B445" s="8">
        <v>1.4028471761352286</v>
      </c>
      <c r="C445" s="8">
        <v>-0.814665459345566</v>
      </c>
      <c r="D445" s="8">
        <v>-0.7195871750303805</v>
      </c>
      <c r="E445" s="7">
        <v>-1.4990516053215155E-2</v>
      </c>
      <c r="F445" s="7">
        <v>0</v>
      </c>
      <c r="G445" s="7">
        <v>0</v>
      </c>
      <c r="H445" s="7">
        <v>-2.2385887789414392E-2</v>
      </c>
      <c r="I445" s="7">
        <v>2.1796664656245589E-2</v>
      </c>
      <c r="J445" s="7">
        <v>0</v>
      </c>
      <c r="K445" s="7">
        <v>0</v>
      </c>
      <c r="L445" s="3">
        <f t="shared" si="58"/>
        <v>-4.0545824071802627E-4</v>
      </c>
      <c r="M445" s="3">
        <v>1.403</v>
      </c>
      <c r="N445" s="3">
        <v>-0.81499999999999995</v>
      </c>
      <c r="O445" s="3">
        <v>-0.71899999999999997</v>
      </c>
      <c r="P445" s="35">
        <v>-1.49698E-2</v>
      </c>
      <c r="Q445" s="35">
        <v>0</v>
      </c>
      <c r="R445" s="35">
        <v>0</v>
      </c>
      <c r="S445" s="35">
        <v>-4.76502E-3</v>
      </c>
      <c r="T445" s="35">
        <v>4.76502E-3</v>
      </c>
      <c r="U445" s="35">
        <v>0</v>
      </c>
      <c r="V445" s="35">
        <v>0</v>
      </c>
    </row>
    <row r="446" spans="1:22">
      <c r="A446" s="7" t="s">
        <v>127</v>
      </c>
      <c r="B446" s="8">
        <v>2.44475956514645</v>
      </c>
      <c r="C446" s="8">
        <v>-0.85548399177677847</v>
      </c>
      <c r="D446" s="8">
        <v>5.2896656816179721E-2</v>
      </c>
      <c r="E446" s="7">
        <v>0</v>
      </c>
      <c r="F446" s="7">
        <v>-1.4990516053215155E-2</v>
      </c>
      <c r="G446" s="7">
        <v>0</v>
      </c>
      <c r="H446" s="7">
        <v>-2.2385887789414392E-2</v>
      </c>
      <c r="I446" s="7">
        <v>0</v>
      </c>
      <c r="J446" s="7">
        <v>2.2872089329671663E-2</v>
      </c>
      <c r="K446" s="7">
        <v>0</v>
      </c>
      <c r="L446" s="3">
        <f t="shared" si="61"/>
        <v>1.7223018585137834E-4</v>
      </c>
      <c r="M446" s="3">
        <v>2.4449999999999998</v>
      </c>
      <c r="N446" s="3">
        <v>-0.85599999999999998</v>
      </c>
      <c r="O446" s="3">
        <v>5.2999999999999999E-2</v>
      </c>
      <c r="P446" s="35">
        <v>0</v>
      </c>
      <c r="Q446" s="35">
        <v>-1.49698E-2</v>
      </c>
      <c r="R446" s="35">
        <v>0</v>
      </c>
      <c r="S446" s="35">
        <v>-4.76502E-3</v>
      </c>
      <c r="T446" s="35">
        <v>0</v>
      </c>
      <c r="U446" s="35">
        <v>4.76502E-3</v>
      </c>
      <c r="V446" s="35">
        <v>0</v>
      </c>
    </row>
    <row r="447" spans="1:22">
      <c r="A447" s="7"/>
      <c r="B447" s="8">
        <v>0.36768865949079377</v>
      </c>
      <c r="C447" s="8">
        <v>1.2890795247765441</v>
      </c>
      <c r="D447" s="8">
        <v>0.10954983766095538</v>
      </c>
      <c r="E447" s="7">
        <v>0</v>
      </c>
      <c r="F447" s="7">
        <v>0</v>
      </c>
      <c r="G447" s="7">
        <v>-1.4990516053215155E-2</v>
      </c>
      <c r="H447" s="7">
        <v>-2.2385887789414392E-2</v>
      </c>
      <c r="I447" s="7">
        <v>0</v>
      </c>
      <c r="J447" s="7">
        <v>0</v>
      </c>
      <c r="K447" s="7">
        <v>1.5970575730977998E-2</v>
      </c>
      <c r="L447" s="3">
        <f t="shared" si="61"/>
        <v>-6.8197807170657099E-4</v>
      </c>
      <c r="M447" s="3">
        <v>0.36799999999999999</v>
      </c>
      <c r="N447" s="3">
        <v>1.2889999999999999</v>
      </c>
      <c r="O447" s="3">
        <v>0.11</v>
      </c>
      <c r="P447" s="35">
        <v>0</v>
      </c>
      <c r="Q447" s="35">
        <v>0</v>
      </c>
      <c r="R447" s="35">
        <v>-1.49698E-2</v>
      </c>
      <c r="S447" s="35">
        <v>-4.76502E-3</v>
      </c>
      <c r="T447" s="35">
        <v>0</v>
      </c>
      <c r="U447" s="35">
        <v>0</v>
      </c>
      <c r="V447" s="35">
        <v>4.76502E-3</v>
      </c>
    </row>
    <row r="448" spans="1:22">
      <c r="A448" s="7"/>
      <c r="B448" s="8"/>
      <c r="C448" s="8"/>
      <c r="D448" s="8"/>
      <c r="E448" s="7"/>
      <c r="F448" s="7"/>
      <c r="G448" s="7"/>
      <c r="H448" s="7"/>
      <c r="I448" s="7"/>
      <c r="J448" s="7"/>
      <c r="K448" s="7"/>
    </row>
    <row r="449" spans="1:22">
      <c r="A449" s="7"/>
      <c r="B449" s="8">
        <v>1.4028471761352286</v>
      </c>
      <c r="C449" s="8">
        <v>-0.814665459345566</v>
      </c>
      <c r="D449" s="8">
        <v>-0.7195871750303805</v>
      </c>
      <c r="E449" s="7">
        <v>-1.4990516053215155E-2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3">
        <f t="shared" si="59"/>
        <v>-4.0545824071802627E-4</v>
      </c>
      <c r="M449" s="3">
        <v>1.403</v>
      </c>
      <c r="N449" s="3">
        <v>-0.81499999999999995</v>
      </c>
      <c r="O449" s="3">
        <v>-0.71899999999999997</v>
      </c>
      <c r="P449" s="35">
        <v>-1.49698E-2</v>
      </c>
      <c r="Q449" s="35">
        <v>0</v>
      </c>
      <c r="R449" s="35">
        <v>0</v>
      </c>
      <c r="S449" s="35">
        <v>-4.76502E-3</v>
      </c>
      <c r="T449" s="35">
        <v>4.76502E-3</v>
      </c>
      <c r="U449" s="35">
        <v>0</v>
      </c>
      <c r="V449" s="35">
        <v>0</v>
      </c>
    </row>
    <row r="450" spans="1:22">
      <c r="A450" s="7" t="s">
        <v>128</v>
      </c>
      <c r="B450" s="8">
        <v>2.44475956514645</v>
      </c>
      <c r="C450" s="8">
        <v>-0.85548399177677847</v>
      </c>
      <c r="D450" s="8">
        <v>5.2896656816179721E-2</v>
      </c>
      <c r="E450" s="7">
        <v>0</v>
      </c>
      <c r="F450" s="7">
        <v>-1.4990516053215155E-2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3">
        <f t="shared" si="61"/>
        <v>1.7223018585137834E-4</v>
      </c>
      <c r="M450" s="3">
        <v>2.4449999999999998</v>
      </c>
      <c r="N450" s="3">
        <v>-0.85599999999999998</v>
      </c>
      <c r="O450" s="3">
        <v>5.2999999999999999E-2</v>
      </c>
      <c r="P450" s="35">
        <v>0</v>
      </c>
      <c r="Q450" s="35">
        <v>-1.49698E-2</v>
      </c>
      <c r="R450" s="35">
        <v>0</v>
      </c>
      <c r="S450" s="35">
        <v>-4.76502E-3</v>
      </c>
      <c r="T450" s="35">
        <v>0</v>
      </c>
      <c r="U450" s="35">
        <v>4.76502E-3</v>
      </c>
      <c r="V450" s="35">
        <v>0</v>
      </c>
    </row>
    <row r="451" spans="1:22">
      <c r="A451" s="7"/>
      <c r="B451" s="8">
        <v>1.9865190328797109</v>
      </c>
      <c r="C451" s="8">
        <v>1.2694850305255347</v>
      </c>
      <c r="D451" s="8">
        <v>3.2127045366234341E-2</v>
      </c>
      <c r="E451" s="7">
        <v>0</v>
      </c>
      <c r="F451" s="7">
        <v>0</v>
      </c>
      <c r="G451" s="7">
        <v>-1.4990516053215155E-2</v>
      </c>
      <c r="H451" s="7">
        <v>0</v>
      </c>
      <c r="I451" s="7">
        <v>0</v>
      </c>
      <c r="J451" s="7">
        <v>0</v>
      </c>
      <c r="K451" s="7">
        <v>0</v>
      </c>
      <c r="L451" s="3">
        <f t="shared" si="61"/>
        <v>1.3110877147995414E-4</v>
      </c>
      <c r="M451" s="3">
        <v>1.9870000000000001</v>
      </c>
      <c r="N451" s="3">
        <v>1.2689999999999999</v>
      </c>
      <c r="O451" s="3">
        <v>3.2000000000000001E-2</v>
      </c>
      <c r="P451" s="35">
        <v>0</v>
      </c>
      <c r="Q451" s="35">
        <v>0</v>
      </c>
      <c r="R451" s="35">
        <v>-1.49698E-2</v>
      </c>
      <c r="S451" s="35">
        <v>-4.76502E-3</v>
      </c>
      <c r="T451" s="35">
        <v>0</v>
      </c>
      <c r="U451" s="35">
        <v>0</v>
      </c>
      <c r="V451" s="35">
        <v>4.76502E-3</v>
      </c>
    </row>
    <row r="452" spans="1:22">
      <c r="A452" s="7"/>
      <c r="B452" s="8"/>
      <c r="C452" s="8"/>
      <c r="D452" s="8"/>
      <c r="E452" s="7"/>
      <c r="F452" s="7"/>
      <c r="G452" s="7"/>
      <c r="H452" s="7"/>
      <c r="I452" s="7"/>
      <c r="J452" s="7"/>
      <c r="K452" s="7"/>
    </row>
    <row r="453" spans="1:22">
      <c r="A453" s="7"/>
      <c r="B453" s="8">
        <v>1.4028471761352286</v>
      </c>
      <c r="C453" s="8">
        <v>-0.814665459345566</v>
      </c>
      <c r="D453" s="8">
        <v>-0.7195871750303805</v>
      </c>
      <c r="E453" s="7">
        <v>-1.4990516053215155E-2</v>
      </c>
      <c r="F453" s="7">
        <v>0</v>
      </c>
      <c r="G453" s="7">
        <v>0</v>
      </c>
      <c r="H453" s="7">
        <v>-2.2385887789414392E-2</v>
      </c>
      <c r="I453" s="7">
        <v>2.1796664656245589E-2</v>
      </c>
      <c r="J453" s="7">
        <v>0</v>
      </c>
      <c r="K453" s="7">
        <v>0</v>
      </c>
      <c r="L453" s="3">
        <f t="shared" si="60"/>
        <v>-4.0545824071802627E-4</v>
      </c>
      <c r="M453" s="3">
        <v>1.403</v>
      </c>
      <c r="N453" s="3">
        <v>-0.81499999999999995</v>
      </c>
      <c r="O453" s="3">
        <v>-0.71899999999999997</v>
      </c>
      <c r="P453" s="35">
        <v>-1.49698E-2</v>
      </c>
      <c r="Q453" s="35">
        <v>0</v>
      </c>
      <c r="R453" s="35">
        <v>0</v>
      </c>
      <c r="S453" s="35">
        <v>-4.76502E-3</v>
      </c>
      <c r="T453" s="35">
        <v>4.76502E-3</v>
      </c>
      <c r="U453" s="35">
        <v>0</v>
      </c>
      <c r="V453" s="35">
        <v>0</v>
      </c>
    </row>
    <row r="454" spans="1:22">
      <c r="A454" s="7" t="s">
        <v>129</v>
      </c>
      <c r="B454" s="8">
        <v>2.44475956514645</v>
      </c>
      <c r="C454" s="8">
        <v>-0.85548399177677847</v>
      </c>
      <c r="D454" s="8">
        <v>5.2896656816179721E-2</v>
      </c>
      <c r="E454" s="7">
        <v>0</v>
      </c>
      <c r="F454" s="7">
        <v>-1.4990516053215155E-2</v>
      </c>
      <c r="G454" s="7">
        <v>0</v>
      </c>
      <c r="H454" s="7">
        <v>-2.2385887789414392E-2</v>
      </c>
      <c r="I454" s="7">
        <v>0</v>
      </c>
      <c r="J454" s="7">
        <v>2.2872089329671663E-2</v>
      </c>
      <c r="K454" s="7">
        <v>0</v>
      </c>
      <c r="L454" s="3">
        <f t="shared" si="61"/>
        <v>1.7223018585137834E-4</v>
      </c>
      <c r="M454" s="3">
        <v>2.4449999999999998</v>
      </c>
      <c r="N454" s="3">
        <v>-0.85599999999999998</v>
      </c>
      <c r="O454" s="3">
        <v>5.2999999999999999E-2</v>
      </c>
      <c r="P454" s="35">
        <v>0</v>
      </c>
      <c r="Q454" s="35">
        <v>-1.49698E-2</v>
      </c>
      <c r="R454" s="35">
        <v>0</v>
      </c>
      <c r="S454" s="35">
        <v>-4.76502E-3</v>
      </c>
      <c r="T454" s="35">
        <v>0</v>
      </c>
      <c r="U454" s="35">
        <v>4.76502E-3</v>
      </c>
      <c r="V454" s="35">
        <v>0</v>
      </c>
    </row>
    <row r="455" spans="1:22">
      <c r="A455" s="7"/>
      <c r="B455" s="8">
        <v>1.3773893306068323</v>
      </c>
      <c r="C455" s="8">
        <v>1.5521003879162059</v>
      </c>
      <c r="D455" s="8">
        <v>-0.65590292152571228</v>
      </c>
      <c r="E455" s="7">
        <v>0</v>
      </c>
      <c r="F455" s="7">
        <v>0</v>
      </c>
      <c r="G455" s="7">
        <v>-1.4990516053215155E-2</v>
      </c>
      <c r="H455" s="7">
        <v>-2.2385887789414392E-2</v>
      </c>
      <c r="I455" s="7">
        <v>0</v>
      </c>
      <c r="J455" s="7">
        <v>0</v>
      </c>
      <c r="K455" s="7">
        <v>2.0521745021313972E-2</v>
      </c>
      <c r="L455" s="3">
        <f t="shared" si="61"/>
        <v>-4.1320300267400079E-4</v>
      </c>
      <c r="M455" s="3">
        <v>1.3779999999999999</v>
      </c>
      <c r="N455" s="3">
        <v>1.552</v>
      </c>
      <c r="O455" s="3">
        <v>-0.65600000000000003</v>
      </c>
      <c r="P455" s="35">
        <v>0</v>
      </c>
      <c r="Q455" s="35">
        <v>0</v>
      </c>
      <c r="R455" s="35">
        <v>-1.49698E-2</v>
      </c>
      <c r="S455" s="35">
        <v>-4.76502E-3</v>
      </c>
      <c r="T455" s="35">
        <v>0</v>
      </c>
      <c r="U455" s="35">
        <v>0</v>
      </c>
      <c r="V455" s="35">
        <v>4.76502E-3</v>
      </c>
    </row>
    <row r="456" spans="1:22">
      <c r="A456" s="7"/>
      <c r="B456" s="8"/>
      <c r="C456" s="8"/>
      <c r="D456" s="8"/>
      <c r="E456" s="7"/>
      <c r="F456" s="7"/>
      <c r="G456" s="7"/>
      <c r="H456" s="7"/>
      <c r="I456" s="7"/>
      <c r="J456" s="7"/>
      <c r="K456" s="7"/>
    </row>
    <row r="457" spans="1:22">
      <c r="A457" s="7"/>
      <c r="B457" s="8">
        <v>1.4028471761352286</v>
      </c>
      <c r="C457" s="8">
        <v>-0.814665459345566</v>
      </c>
      <c r="D457" s="8">
        <v>-0.7195871750303805</v>
      </c>
      <c r="E457" s="7">
        <v>-1.4990516053215155E-2</v>
      </c>
      <c r="F457" s="7">
        <v>0</v>
      </c>
      <c r="G457" s="7">
        <v>0</v>
      </c>
      <c r="H457" s="7">
        <v>-2.2385887789414392E-2</v>
      </c>
      <c r="I457" s="7">
        <v>2.1796664656245589E-2</v>
      </c>
      <c r="J457" s="7">
        <v>0</v>
      </c>
      <c r="K457" s="7">
        <v>0</v>
      </c>
      <c r="L457" s="3">
        <f t="shared" si="61"/>
        <v>-4.0545824071802627E-4</v>
      </c>
      <c r="M457" s="3">
        <v>1.403</v>
      </c>
      <c r="N457" s="3">
        <v>-0.81499999999999995</v>
      </c>
      <c r="O457" s="3">
        <v>-0.71899999999999997</v>
      </c>
      <c r="P457" s="35">
        <v>-1.49698E-2</v>
      </c>
      <c r="Q457" s="35">
        <v>0</v>
      </c>
      <c r="R457" s="35">
        <v>0</v>
      </c>
      <c r="S457" s="35">
        <v>-4.76502E-3</v>
      </c>
      <c r="T457" s="35">
        <v>4.76502E-3</v>
      </c>
      <c r="U457" s="35">
        <v>0</v>
      </c>
      <c r="V457" s="35">
        <v>0</v>
      </c>
    </row>
    <row r="458" spans="1:22">
      <c r="A458" s="7" t="s">
        <v>130</v>
      </c>
      <c r="B458" s="8">
        <v>2.8449497700634536</v>
      </c>
      <c r="C458" s="8">
        <v>0.22852225552422287</v>
      </c>
      <c r="D458" s="8">
        <v>6.9737163040410666E-2</v>
      </c>
      <c r="E458" s="7">
        <v>0</v>
      </c>
      <c r="F458" s="7">
        <v>-1.4990516053215155E-2</v>
      </c>
      <c r="G458" s="7">
        <v>0</v>
      </c>
      <c r="H458" s="7">
        <v>-2.2385887789414392E-2</v>
      </c>
      <c r="I458" s="7">
        <v>0</v>
      </c>
      <c r="J458" s="7">
        <v>1.6236379226863738E-2</v>
      </c>
      <c r="K458" s="7">
        <v>0</v>
      </c>
      <c r="L458" s="3">
        <f t="shared" si="61"/>
        <v>2.0918862808694261E-4</v>
      </c>
      <c r="M458" s="3">
        <v>2.8450000000000002</v>
      </c>
      <c r="N458" s="3">
        <v>0.22800000000000001</v>
      </c>
      <c r="O458" s="3">
        <v>7.0000000000000007E-2</v>
      </c>
      <c r="P458" s="35">
        <v>0</v>
      </c>
      <c r="Q458" s="35">
        <v>-1.49698E-2</v>
      </c>
      <c r="R458" s="35">
        <v>0</v>
      </c>
      <c r="S458" s="35">
        <v>-4.76502E-3</v>
      </c>
      <c r="T458" s="35">
        <v>0</v>
      </c>
      <c r="U458" s="35">
        <v>4.76502E-3</v>
      </c>
      <c r="V458" s="35">
        <v>0</v>
      </c>
    </row>
    <row r="459" spans="1:22">
      <c r="A459" s="7"/>
      <c r="B459" s="8">
        <v>0.36768865949079377</v>
      </c>
      <c r="C459" s="8">
        <v>1.2890795247765441</v>
      </c>
      <c r="D459" s="8">
        <v>0.10954983766095538</v>
      </c>
      <c r="E459" s="7">
        <v>0</v>
      </c>
      <c r="F459" s="7">
        <v>0</v>
      </c>
      <c r="G459" s="7">
        <v>-1.4990516053215155E-2</v>
      </c>
      <c r="H459" s="7">
        <v>-2.2385887789414392E-2</v>
      </c>
      <c r="I459" s="7">
        <v>0</v>
      </c>
      <c r="J459" s="7">
        <v>0</v>
      </c>
      <c r="K459" s="7">
        <v>1.5970575730977998E-2</v>
      </c>
      <c r="L459" s="3">
        <f t="shared" si="61"/>
        <v>-6.8197807170657099E-4</v>
      </c>
      <c r="M459" s="3">
        <v>0.36799999999999999</v>
      </c>
      <c r="N459" s="3">
        <v>1.2889999999999999</v>
      </c>
      <c r="O459" s="3">
        <v>0.11</v>
      </c>
      <c r="P459" s="35">
        <v>0</v>
      </c>
      <c r="Q459" s="35">
        <v>0</v>
      </c>
      <c r="R459" s="35">
        <v>-1.49698E-2</v>
      </c>
      <c r="S459" s="35">
        <v>-4.76502E-3</v>
      </c>
      <c r="T459" s="35">
        <v>0</v>
      </c>
      <c r="U459" s="35">
        <v>0</v>
      </c>
      <c r="V459" s="35">
        <v>4.76502E-3</v>
      </c>
    </row>
    <row r="460" spans="1:22">
      <c r="A460" s="7"/>
      <c r="B460" s="8"/>
      <c r="C460" s="8"/>
      <c r="D460" s="8"/>
      <c r="E460" s="7"/>
      <c r="F460" s="7"/>
      <c r="G460" s="7"/>
      <c r="H460" s="7"/>
      <c r="I460" s="7"/>
      <c r="J460" s="7"/>
      <c r="K460" s="7"/>
    </row>
    <row r="461" spans="1:22">
      <c r="A461" s="7"/>
      <c r="B461" s="8">
        <v>1.4028471761352286</v>
      </c>
      <c r="C461" s="8">
        <v>-0.814665459345566</v>
      </c>
      <c r="D461" s="8">
        <v>-0.7195871750303805</v>
      </c>
      <c r="E461" s="7">
        <v>-1.4990516053215155E-2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3">
        <f t="shared" si="62"/>
        <v>-4.0545824071802627E-4</v>
      </c>
      <c r="M461" s="3">
        <v>1.403</v>
      </c>
      <c r="N461" s="3">
        <v>-0.81499999999999995</v>
      </c>
      <c r="O461" s="3">
        <v>-0.71899999999999997</v>
      </c>
      <c r="P461" s="35">
        <v>-1.49698E-2</v>
      </c>
      <c r="Q461" s="35">
        <v>0</v>
      </c>
      <c r="R461" s="35">
        <v>0</v>
      </c>
      <c r="S461" s="35">
        <v>-4.76502E-3</v>
      </c>
      <c r="T461" s="35">
        <v>4.76502E-3</v>
      </c>
      <c r="U461" s="35">
        <v>0</v>
      </c>
      <c r="V461" s="35">
        <v>0</v>
      </c>
    </row>
    <row r="462" spans="1:22">
      <c r="A462" s="7" t="s">
        <v>131</v>
      </c>
      <c r="B462" s="8">
        <v>2.8449497700634536</v>
      </c>
      <c r="C462" s="8">
        <v>0.22852225552422287</v>
      </c>
      <c r="D462" s="8">
        <v>6.9737163040410666E-2</v>
      </c>
      <c r="E462" s="7">
        <v>0</v>
      </c>
      <c r="F462" s="7">
        <v>-1.4990516053215155E-2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L462" s="3">
        <f t="shared" si="61"/>
        <v>2.0918862808694261E-4</v>
      </c>
      <c r="M462" s="3">
        <v>2.8450000000000002</v>
      </c>
      <c r="N462" s="3">
        <v>0.22800000000000001</v>
      </c>
      <c r="O462" s="3">
        <v>7.0000000000000007E-2</v>
      </c>
      <c r="P462" s="35">
        <v>0</v>
      </c>
      <c r="Q462" s="35">
        <v>-1.49698E-2</v>
      </c>
      <c r="R462" s="35">
        <v>0</v>
      </c>
      <c r="S462" s="35">
        <v>-4.76502E-3</v>
      </c>
      <c r="T462" s="35">
        <v>0</v>
      </c>
      <c r="U462" s="35">
        <v>4.76502E-3</v>
      </c>
      <c r="V462" s="35">
        <v>0</v>
      </c>
    </row>
    <row r="463" spans="1:22">
      <c r="A463" s="7"/>
      <c r="B463" s="8">
        <v>1.9865190328797109</v>
      </c>
      <c r="C463" s="8">
        <v>1.2694850305255347</v>
      </c>
      <c r="D463" s="8">
        <v>3.2127045366234341E-2</v>
      </c>
      <c r="E463" s="7">
        <v>0</v>
      </c>
      <c r="F463" s="7">
        <v>0</v>
      </c>
      <c r="G463" s="7">
        <v>-1.4990516053215155E-2</v>
      </c>
      <c r="H463" s="7">
        <v>0</v>
      </c>
      <c r="I463" s="7">
        <v>0</v>
      </c>
      <c r="J463" s="7">
        <v>0</v>
      </c>
      <c r="K463" s="7">
        <v>0</v>
      </c>
      <c r="L463" s="3">
        <f t="shared" si="61"/>
        <v>1.3110877147995414E-4</v>
      </c>
      <c r="M463" s="3">
        <v>1.9870000000000001</v>
      </c>
      <c r="N463" s="3">
        <v>1.2689999999999999</v>
      </c>
      <c r="O463" s="3">
        <v>3.2000000000000001E-2</v>
      </c>
      <c r="P463" s="35">
        <v>0</v>
      </c>
      <c r="Q463" s="35">
        <v>0</v>
      </c>
      <c r="R463" s="35">
        <v>-1.49698E-2</v>
      </c>
      <c r="S463" s="35">
        <v>-4.76502E-3</v>
      </c>
      <c r="T463" s="35">
        <v>0</v>
      </c>
      <c r="U463" s="35">
        <v>0</v>
      </c>
      <c r="V463" s="35">
        <v>4.76502E-3</v>
      </c>
    </row>
    <row r="464" spans="1:22">
      <c r="A464" s="7"/>
      <c r="B464" s="8"/>
      <c r="C464" s="8"/>
      <c r="D464" s="8"/>
      <c r="E464" s="7"/>
      <c r="F464" s="7"/>
      <c r="G464" s="7"/>
      <c r="H464" s="7"/>
      <c r="I464" s="7"/>
      <c r="J464" s="7"/>
      <c r="K464" s="7"/>
    </row>
    <row r="465" spans="1:22">
      <c r="A465" s="7"/>
      <c r="B465" s="8">
        <v>1.4028471761352286</v>
      </c>
      <c r="C465" s="8">
        <v>-0.814665459345566</v>
      </c>
      <c r="D465" s="8">
        <v>-0.7195871750303805</v>
      </c>
      <c r="E465" s="7">
        <v>-1.4990516053215155E-2</v>
      </c>
      <c r="F465" s="7">
        <v>0</v>
      </c>
      <c r="G465" s="7">
        <v>0</v>
      </c>
      <c r="H465" s="7">
        <v>-2.2385887789414392E-2</v>
      </c>
      <c r="I465" s="7">
        <v>2.1796664656245589E-2</v>
      </c>
      <c r="J465" s="7">
        <v>0</v>
      </c>
      <c r="K465" s="7">
        <v>0</v>
      </c>
      <c r="L465" s="3">
        <f t="shared" si="63"/>
        <v>-4.0545824071802627E-4</v>
      </c>
      <c r="M465" s="3">
        <v>1.403</v>
      </c>
      <c r="N465" s="3">
        <v>-0.81499999999999995</v>
      </c>
      <c r="O465" s="3">
        <v>-0.71899999999999997</v>
      </c>
      <c r="P465" s="35">
        <v>-1.49698E-2</v>
      </c>
      <c r="Q465" s="35">
        <v>0</v>
      </c>
      <c r="R465" s="35">
        <v>0</v>
      </c>
      <c r="S465" s="35">
        <v>-4.76502E-3</v>
      </c>
      <c r="T465" s="35">
        <v>4.76502E-3</v>
      </c>
      <c r="U465" s="35">
        <v>0</v>
      </c>
      <c r="V465" s="35">
        <v>0</v>
      </c>
    </row>
    <row r="466" spans="1:22">
      <c r="A466" s="7" t="s">
        <v>132</v>
      </c>
      <c r="B466" s="8">
        <v>2.8449497700634536</v>
      </c>
      <c r="C466" s="8">
        <v>0.22852225552422287</v>
      </c>
      <c r="D466" s="8">
        <v>6.9737163040410666E-2</v>
      </c>
      <c r="E466" s="7">
        <v>0</v>
      </c>
      <c r="F466" s="7">
        <v>-1.4990516053215155E-2</v>
      </c>
      <c r="G466" s="7">
        <v>0</v>
      </c>
      <c r="H466" s="7">
        <v>-2.2385887789414392E-2</v>
      </c>
      <c r="I466" s="7">
        <v>0</v>
      </c>
      <c r="J466" s="7">
        <v>1.6236379226863738E-2</v>
      </c>
      <c r="K466" s="7">
        <v>0</v>
      </c>
      <c r="L466" s="3">
        <f t="shared" si="61"/>
        <v>2.0918862808694261E-4</v>
      </c>
      <c r="M466" s="3">
        <v>2.8450000000000002</v>
      </c>
      <c r="N466" s="3">
        <v>0.22800000000000001</v>
      </c>
      <c r="O466" s="3">
        <v>7.0000000000000007E-2</v>
      </c>
      <c r="P466" s="35">
        <v>0</v>
      </c>
      <c r="Q466" s="35">
        <v>-1.49698E-2</v>
      </c>
      <c r="R466" s="35">
        <v>0</v>
      </c>
      <c r="S466" s="35">
        <v>-4.76502E-3</v>
      </c>
      <c r="T466" s="35">
        <v>0</v>
      </c>
      <c r="U466" s="35">
        <v>4.76502E-3</v>
      </c>
      <c r="V466" s="35">
        <v>0</v>
      </c>
    </row>
    <row r="467" spans="1:22">
      <c r="A467" s="7"/>
      <c r="B467" s="8">
        <v>1.3773893306068323</v>
      </c>
      <c r="C467" s="8">
        <v>1.5521003879162059</v>
      </c>
      <c r="D467" s="8">
        <v>-0.65590292152571228</v>
      </c>
      <c r="E467" s="7">
        <v>0</v>
      </c>
      <c r="F467" s="7">
        <v>0</v>
      </c>
      <c r="G467" s="7">
        <v>-1.4990516053215155E-2</v>
      </c>
      <c r="H467" s="7">
        <v>-2.2385887789414392E-2</v>
      </c>
      <c r="I467" s="7">
        <v>0</v>
      </c>
      <c r="J467" s="7">
        <v>0</v>
      </c>
      <c r="K467" s="7">
        <v>2.0521745021313972E-2</v>
      </c>
      <c r="L467" s="3">
        <f t="shared" si="61"/>
        <v>-4.1320300267400079E-4</v>
      </c>
      <c r="M467" s="3">
        <v>1.3779999999999999</v>
      </c>
      <c r="N467" s="3">
        <v>1.552</v>
      </c>
      <c r="O467" s="3">
        <v>-0.65600000000000003</v>
      </c>
      <c r="P467" s="35">
        <v>0</v>
      </c>
      <c r="Q467" s="35">
        <v>0</v>
      </c>
      <c r="R467" s="35">
        <v>-1.49698E-2</v>
      </c>
      <c r="S467" s="35">
        <v>-4.76502E-3</v>
      </c>
      <c r="T467" s="35">
        <v>0</v>
      </c>
      <c r="U467" s="35">
        <v>0</v>
      </c>
      <c r="V467" s="35">
        <v>4.76502E-3</v>
      </c>
    </row>
    <row r="468" spans="1:22">
      <c r="A468" s="7"/>
      <c r="B468" s="8"/>
      <c r="C468" s="8"/>
      <c r="D468" s="8"/>
      <c r="E468" s="7"/>
      <c r="F468" s="7"/>
      <c r="G468" s="7"/>
      <c r="H468" s="7"/>
      <c r="I468" s="7"/>
      <c r="J468" s="7"/>
      <c r="K468" s="7"/>
    </row>
    <row r="469" spans="1:22">
      <c r="A469" s="7"/>
      <c r="B469" s="8">
        <v>1.4028471761352286</v>
      </c>
      <c r="C469" s="8">
        <v>-0.814665459345566</v>
      </c>
      <c r="D469" s="8">
        <v>-0.7195871750303805</v>
      </c>
      <c r="E469" s="7">
        <v>-1.4990516053215155E-2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3">
        <f t="shared" ref="L469:L507" si="65">B469-M469+C469-N469+D469-O469</f>
        <v>-4.0545824071802627E-4</v>
      </c>
      <c r="M469" s="3">
        <v>1.403</v>
      </c>
      <c r="N469" s="3">
        <v>-0.81499999999999995</v>
      </c>
      <c r="O469" s="3">
        <v>-0.71899999999999997</v>
      </c>
      <c r="P469" s="35">
        <v>-1.49698E-2</v>
      </c>
      <c r="Q469" s="35">
        <v>0</v>
      </c>
      <c r="R469" s="35">
        <v>0</v>
      </c>
      <c r="S469" s="35">
        <v>-4.76502E-3</v>
      </c>
      <c r="T469" s="35">
        <v>4.76502E-3</v>
      </c>
      <c r="U469" s="35">
        <v>0</v>
      </c>
      <c r="V469" s="35">
        <v>0</v>
      </c>
    </row>
    <row r="470" spans="1:22">
      <c r="A470" s="7" t="s">
        <v>133</v>
      </c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-1.4990516053215155E-2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L470" s="3">
        <f t="shared" si="65"/>
        <v>-6.8197807170657099E-4</v>
      </c>
      <c r="M470" s="3">
        <v>0.36799999999999999</v>
      </c>
      <c r="N470" s="3">
        <v>1.2889999999999999</v>
      </c>
      <c r="O470" s="3">
        <v>0.11</v>
      </c>
      <c r="P470" s="35">
        <v>0</v>
      </c>
      <c r="Q470" s="35">
        <v>-1.49698E-2</v>
      </c>
      <c r="R470" s="35">
        <v>0</v>
      </c>
      <c r="S470" s="35">
        <v>-4.76502E-3</v>
      </c>
      <c r="T470" s="35">
        <v>0</v>
      </c>
      <c r="U470" s="35">
        <v>4.76502E-3</v>
      </c>
      <c r="V470" s="35">
        <v>0</v>
      </c>
    </row>
    <row r="471" spans="1:22">
      <c r="A471" s="7"/>
      <c r="B471" s="8">
        <v>1.9865190328797109</v>
      </c>
      <c r="C471" s="8">
        <v>1.2694850305255347</v>
      </c>
      <c r="D471" s="8">
        <v>3.2127045366234341E-2</v>
      </c>
      <c r="E471" s="7">
        <v>0</v>
      </c>
      <c r="F471" s="7">
        <v>0</v>
      </c>
      <c r="G471" s="7">
        <v>-1.4990516053215155E-2</v>
      </c>
      <c r="H471" s="7">
        <v>0</v>
      </c>
      <c r="I471" s="7">
        <v>0</v>
      </c>
      <c r="J471" s="7">
        <v>0</v>
      </c>
      <c r="K471" s="7">
        <v>0</v>
      </c>
      <c r="L471" s="3">
        <f t="shared" si="65"/>
        <v>1.3110877147995414E-4</v>
      </c>
      <c r="M471" s="3">
        <v>1.9870000000000001</v>
      </c>
      <c r="N471" s="3">
        <v>1.2689999999999999</v>
      </c>
      <c r="O471" s="3">
        <v>3.2000000000000001E-2</v>
      </c>
      <c r="P471" s="35">
        <v>0</v>
      </c>
      <c r="Q471" s="35">
        <v>0</v>
      </c>
      <c r="R471" s="35">
        <v>-1.49698E-2</v>
      </c>
      <c r="S471" s="35">
        <v>-4.76502E-3</v>
      </c>
      <c r="T471" s="35">
        <v>0</v>
      </c>
      <c r="U471" s="35">
        <v>0</v>
      </c>
      <c r="V471" s="35">
        <v>4.76502E-3</v>
      </c>
    </row>
    <row r="472" spans="1:22">
      <c r="A472" s="7"/>
      <c r="B472" s="8"/>
      <c r="C472" s="8"/>
      <c r="D472" s="8"/>
      <c r="E472" s="7"/>
      <c r="F472" s="7"/>
      <c r="G472" s="7"/>
      <c r="H472" s="7"/>
      <c r="I472" s="7"/>
      <c r="J472" s="7"/>
      <c r="K472" s="7"/>
    </row>
    <row r="473" spans="1:22">
      <c r="A473" s="7"/>
      <c r="B473" s="8">
        <v>1.4028471761352286</v>
      </c>
      <c r="C473" s="8">
        <v>-0.814665459345566</v>
      </c>
      <c r="D473" s="8">
        <v>-0.7195871750303805</v>
      </c>
      <c r="E473" s="7">
        <v>-1.4990516053215155E-2</v>
      </c>
      <c r="F473" s="7">
        <v>0</v>
      </c>
      <c r="G473" s="7">
        <v>0</v>
      </c>
      <c r="H473" s="7">
        <v>-2.2385887789414392E-2</v>
      </c>
      <c r="I473" s="7">
        <v>2.1796664656245589E-2</v>
      </c>
      <c r="J473" s="7">
        <v>0</v>
      </c>
      <c r="K473" s="7">
        <v>0</v>
      </c>
      <c r="L473" s="3">
        <f t="shared" si="61"/>
        <v>-4.0545824071802627E-4</v>
      </c>
      <c r="M473" s="3">
        <v>1.403</v>
      </c>
      <c r="N473" s="3">
        <v>-0.81499999999999995</v>
      </c>
      <c r="O473" s="3">
        <v>-0.71899999999999997</v>
      </c>
      <c r="P473" s="35">
        <v>-1.49698E-2</v>
      </c>
      <c r="Q473" s="35">
        <v>0</v>
      </c>
      <c r="R473" s="35">
        <v>0</v>
      </c>
      <c r="S473" s="35">
        <v>-4.76502E-3</v>
      </c>
      <c r="T473" s="35">
        <v>4.76502E-3</v>
      </c>
      <c r="U473" s="35">
        <v>0</v>
      </c>
      <c r="V473" s="35">
        <v>0</v>
      </c>
    </row>
    <row r="474" spans="1:22">
      <c r="A474" s="7" t="s">
        <v>134</v>
      </c>
      <c r="B474" s="8">
        <v>0.36768865949079377</v>
      </c>
      <c r="C474" s="8">
        <v>1.2890795247765441</v>
      </c>
      <c r="D474" s="8">
        <v>0.10954983766095538</v>
      </c>
      <c r="E474" s="7">
        <v>0</v>
      </c>
      <c r="F474" s="7">
        <v>-1.4990516053215155E-2</v>
      </c>
      <c r="G474" s="7">
        <v>0</v>
      </c>
      <c r="H474" s="7">
        <v>-2.2385887789414392E-2</v>
      </c>
      <c r="I474" s="7">
        <v>0</v>
      </c>
      <c r="J474" s="7">
        <v>1.5970575730977998E-2</v>
      </c>
      <c r="K474" s="7">
        <v>0</v>
      </c>
      <c r="L474" s="3">
        <f t="shared" si="61"/>
        <v>-6.8197807170657099E-4</v>
      </c>
      <c r="M474" s="3">
        <v>0.36799999999999999</v>
      </c>
      <c r="N474" s="3">
        <v>1.2889999999999999</v>
      </c>
      <c r="O474" s="3">
        <v>0.11</v>
      </c>
      <c r="P474" s="35">
        <v>0</v>
      </c>
      <c r="Q474" s="35">
        <v>-1.49698E-2</v>
      </c>
      <c r="R474" s="35">
        <v>0</v>
      </c>
      <c r="S474" s="35">
        <v>-4.76502E-3</v>
      </c>
      <c r="T474" s="35">
        <v>0</v>
      </c>
      <c r="U474" s="35">
        <v>4.76502E-3</v>
      </c>
      <c r="V474" s="35">
        <v>0</v>
      </c>
    </row>
    <row r="475" spans="1:22">
      <c r="A475" s="7"/>
      <c r="B475" s="8">
        <v>1.3773893306068323</v>
      </c>
      <c r="C475" s="8">
        <v>1.5521003879162059</v>
      </c>
      <c r="D475" s="8">
        <v>-0.65590292152571228</v>
      </c>
      <c r="E475" s="7">
        <v>0</v>
      </c>
      <c r="F475" s="7">
        <v>0</v>
      </c>
      <c r="G475" s="7">
        <v>-1.4990516053215155E-2</v>
      </c>
      <c r="H475" s="7">
        <v>-2.2385887789414392E-2</v>
      </c>
      <c r="I475" s="7">
        <v>0</v>
      </c>
      <c r="J475" s="7">
        <v>0</v>
      </c>
      <c r="K475" s="7">
        <v>2.0521745021313972E-2</v>
      </c>
      <c r="L475" s="3">
        <f t="shared" si="61"/>
        <v>-4.1320300267400079E-4</v>
      </c>
      <c r="M475" s="3">
        <v>1.3779999999999999</v>
      </c>
      <c r="N475" s="3">
        <v>1.552</v>
      </c>
      <c r="O475" s="3">
        <v>-0.65600000000000003</v>
      </c>
      <c r="P475" s="35">
        <v>0</v>
      </c>
      <c r="Q475" s="35">
        <v>0</v>
      </c>
      <c r="R475" s="35">
        <v>-1.49698E-2</v>
      </c>
      <c r="S475" s="35">
        <v>-4.76502E-3</v>
      </c>
      <c r="T475" s="35">
        <v>0</v>
      </c>
      <c r="U475" s="35">
        <v>0</v>
      </c>
      <c r="V475" s="35">
        <v>4.76502E-3</v>
      </c>
    </row>
    <row r="476" spans="1:22">
      <c r="A476" s="7"/>
      <c r="B476" s="8"/>
      <c r="C476" s="8"/>
      <c r="D476" s="8"/>
      <c r="E476" s="7"/>
      <c r="F476" s="7"/>
      <c r="G476" s="7"/>
      <c r="H476" s="7"/>
      <c r="I476" s="7"/>
      <c r="J476" s="7"/>
      <c r="K476" s="7"/>
    </row>
    <row r="477" spans="1:22">
      <c r="A477" s="7"/>
      <c r="B477" s="8">
        <v>1.4028471761352286</v>
      </c>
      <c r="C477" s="8">
        <v>-0.814665459345566</v>
      </c>
      <c r="D477" s="8">
        <v>-0.7195871750303805</v>
      </c>
      <c r="E477" s="7">
        <v>-1.4990516053215155E-2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3">
        <f t="shared" ref="L477:L513" si="66">B477-M477+C477-N477+D477-O477</f>
        <v>-4.0545824071802627E-4</v>
      </c>
      <c r="M477" s="3">
        <v>1.403</v>
      </c>
      <c r="N477" s="3">
        <v>-0.81499999999999995</v>
      </c>
      <c r="O477" s="3">
        <v>-0.71899999999999997</v>
      </c>
      <c r="P477" s="35">
        <v>-1.49698E-2</v>
      </c>
      <c r="Q477" s="35">
        <v>0</v>
      </c>
      <c r="R477" s="35">
        <v>0</v>
      </c>
      <c r="S477" s="35">
        <v>-4.76502E-3</v>
      </c>
      <c r="T477" s="35">
        <v>4.76502E-3</v>
      </c>
      <c r="U477" s="35">
        <v>0</v>
      </c>
      <c r="V477" s="35">
        <v>0</v>
      </c>
    </row>
    <row r="478" spans="1:22">
      <c r="A478" s="7" t="s">
        <v>135</v>
      </c>
      <c r="B478" s="8">
        <v>1.9865190328797109</v>
      </c>
      <c r="C478" s="8">
        <v>1.2694850305255347</v>
      </c>
      <c r="D478" s="8">
        <v>3.2127045366234341E-2</v>
      </c>
      <c r="E478" s="7">
        <v>0</v>
      </c>
      <c r="F478" s="7">
        <v>-1.4990516053215155E-2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3">
        <f t="shared" si="61"/>
        <v>1.3110877147995414E-4</v>
      </c>
      <c r="M478" s="3">
        <v>1.9870000000000001</v>
      </c>
      <c r="N478" s="3">
        <v>1.2689999999999999</v>
      </c>
      <c r="O478" s="3">
        <v>3.2000000000000001E-2</v>
      </c>
      <c r="P478" s="35">
        <v>0</v>
      </c>
      <c r="Q478" s="35">
        <v>-1.49698E-2</v>
      </c>
      <c r="R478" s="35">
        <v>0</v>
      </c>
      <c r="S478" s="35">
        <v>-4.76502E-3</v>
      </c>
      <c r="T478" s="35">
        <v>0</v>
      </c>
      <c r="U478" s="35">
        <v>4.76502E-3</v>
      </c>
      <c r="V478" s="35">
        <v>0</v>
      </c>
    </row>
    <row r="479" spans="1:22">
      <c r="A479" s="7"/>
      <c r="B479" s="8">
        <v>1.3773893306068323</v>
      </c>
      <c r="C479" s="8">
        <v>1.5521003879162059</v>
      </c>
      <c r="D479" s="8">
        <v>-0.65590292152571228</v>
      </c>
      <c r="E479" s="7">
        <v>0</v>
      </c>
      <c r="F479" s="7">
        <v>0</v>
      </c>
      <c r="G479" s="7">
        <v>-1.4990516053215155E-2</v>
      </c>
      <c r="H479" s="7">
        <v>0</v>
      </c>
      <c r="I479" s="7">
        <v>0</v>
      </c>
      <c r="J479" s="7">
        <v>0</v>
      </c>
      <c r="K479" s="7">
        <v>0</v>
      </c>
      <c r="L479" s="3">
        <f t="shared" si="61"/>
        <v>-4.1320300267400079E-4</v>
      </c>
      <c r="M479" s="3">
        <v>1.3779999999999999</v>
      </c>
      <c r="N479" s="3">
        <v>1.552</v>
      </c>
      <c r="O479" s="3">
        <v>-0.65600000000000003</v>
      </c>
      <c r="P479" s="35">
        <v>0</v>
      </c>
      <c r="Q479" s="35">
        <v>0</v>
      </c>
      <c r="R479" s="35">
        <v>-1.49698E-2</v>
      </c>
      <c r="S479" s="35">
        <v>-4.76502E-3</v>
      </c>
      <c r="T479" s="35">
        <v>0</v>
      </c>
      <c r="U479" s="35">
        <v>0</v>
      </c>
      <c r="V479" s="35">
        <v>4.76502E-3</v>
      </c>
    </row>
    <row r="480" spans="1:22">
      <c r="A480" s="7"/>
      <c r="B480" s="8"/>
      <c r="C480" s="8"/>
      <c r="D480" s="8"/>
      <c r="E480" s="7"/>
      <c r="F480" s="7"/>
      <c r="G480" s="7"/>
      <c r="H480" s="7"/>
      <c r="I480" s="7"/>
      <c r="J480" s="7"/>
      <c r="K480" s="7"/>
    </row>
    <row r="481" spans="1:22">
      <c r="A481" s="7"/>
      <c r="B481" s="8">
        <v>0.14897154656832046</v>
      </c>
      <c r="C481" s="8">
        <v>-0.84725762547333594</v>
      </c>
      <c r="D481" s="8">
        <v>1.9759438806851826E-2</v>
      </c>
      <c r="E481" s="7">
        <v>-1.4990516053215155E-2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3">
        <f t="shared" ref="L481:L517" si="67">B481-M481+C481-N481+D481-O481</f>
        <v>4.733599018362962E-4</v>
      </c>
      <c r="M481" s="3">
        <v>0.14899999999999999</v>
      </c>
      <c r="N481" s="3">
        <v>-0.84799999999999998</v>
      </c>
      <c r="O481" s="3">
        <v>0.02</v>
      </c>
      <c r="P481" s="35">
        <v>-1.49698E-2</v>
      </c>
      <c r="Q481" s="35">
        <v>0</v>
      </c>
      <c r="R481" s="35">
        <v>0</v>
      </c>
      <c r="S481" s="35">
        <v>-4.76502E-3</v>
      </c>
      <c r="T481" s="35">
        <v>4.76502E-3</v>
      </c>
      <c r="U481" s="35">
        <v>0</v>
      </c>
      <c r="V481" s="35">
        <v>0</v>
      </c>
    </row>
    <row r="482" spans="1:22">
      <c r="A482" s="7" t="s">
        <v>136</v>
      </c>
      <c r="B482" s="8">
        <v>2.44475956514645</v>
      </c>
      <c r="C482" s="8">
        <v>-0.85548399177677847</v>
      </c>
      <c r="D482" s="8">
        <v>5.2896656816179721E-2</v>
      </c>
      <c r="E482" s="7">
        <v>0</v>
      </c>
      <c r="F482" s="7">
        <v>-1.4990516053215155E-2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L482" s="3">
        <f t="shared" si="61"/>
        <v>1.7223018585137834E-4</v>
      </c>
      <c r="M482" s="3">
        <v>2.4449999999999998</v>
      </c>
      <c r="N482" s="3">
        <v>-0.85599999999999998</v>
      </c>
      <c r="O482" s="3">
        <v>5.2999999999999999E-2</v>
      </c>
      <c r="P482" s="35">
        <v>0</v>
      </c>
      <c r="Q482" s="35">
        <v>-1.49698E-2</v>
      </c>
      <c r="R482" s="35">
        <v>0</v>
      </c>
      <c r="S482" s="35">
        <v>-4.76502E-3</v>
      </c>
      <c r="T482" s="35">
        <v>0</v>
      </c>
      <c r="U482" s="35">
        <v>4.76502E-3</v>
      </c>
      <c r="V482" s="35">
        <v>0</v>
      </c>
    </row>
    <row r="483" spans="1:22">
      <c r="A483" s="7"/>
      <c r="B483" s="8">
        <v>2.8449497700634536</v>
      </c>
      <c r="C483" s="8">
        <v>0.22852225552422287</v>
      </c>
      <c r="D483" s="8">
        <v>6.9737163040410666E-2</v>
      </c>
      <c r="E483" s="7">
        <v>0</v>
      </c>
      <c r="F483" s="7">
        <v>0</v>
      </c>
      <c r="G483" s="7">
        <v>-1.4990516053215155E-2</v>
      </c>
      <c r="H483" s="7">
        <v>0</v>
      </c>
      <c r="I483" s="7">
        <v>0</v>
      </c>
      <c r="J483" s="7">
        <v>0</v>
      </c>
      <c r="K483" s="7">
        <v>0</v>
      </c>
      <c r="L483" s="3">
        <f t="shared" si="61"/>
        <v>2.0918862808694261E-4</v>
      </c>
      <c r="M483" s="3">
        <v>2.8450000000000002</v>
      </c>
      <c r="N483" s="3">
        <v>0.22800000000000001</v>
      </c>
      <c r="O483" s="3">
        <v>7.0000000000000007E-2</v>
      </c>
      <c r="P483" s="35">
        <v>0</v>
      </c>
      <c r="Q483" s="35">
        <v>0</v>
      </c>
      <c r="R483" s="35">
        <v>-1.49698E-2</v>
      </c>
      <c r="S483" s="35">
        <v>-4.76502E-3</v>
      </c>
      <c r="T483" s="35">
        <v>0</v>
      </c>
      <c r="U483" s="35">
        <v>0</v>
      </c>
      <c r="V483" s="35">
        <v>4.76502E-3</v>
      </c>
    </row>
    <row r="484" spans="1:22">
      <c r="A484" s="7"/>
      <c r="B484" s="8"/>
      <c r="C484" s="8"/>
      <c r="D484" s="8"/>
      <c r="E484" s="7"/>
      <c r="F484" s="7"/>
      <c r="G484" s="7"/>
      <c r="H484" s="7"/>
      <c r="I484" s="7"/>
      <c r="J484" s="7"/>
      <c r="K484" s="7"/>
    </row>
    <row r="485" spans="1:22">
      <c r="A485" s="7"/>
      <c r="B485" s="8">
        <v>0.14897154656832046</v>
      </c>
      <c r="C485" s="8">
        <v>-0.84725762547333594</v>
      </c>
      <c r="D485" s="8">
        <v>1.9759438806851826E-2</v>
      </c>
      <c r="E485" s="7">
        <v>-1.4990516053215155E-2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3">
        <f t="shared" ref="L485:L547" si="68">B485-M485+C485-N485+D485-O485</f>
        <v>4.733599018362962E-4</v>
      </c>
      <c r="M485" s="3">
        <v>0.14899999999999999</v>
      </c>
      <c r="N485" s="3">
        <v>-0.84799999999999998</v>
      </c>
      <c r="O485" s="3">
        <v>0.02</v>
      </c>
      <c r="P485" s="35">
        <v>-1.49698E-2</v>
      </c>
      <c r="Q485" s="35">
        <v>0</v>
      </c>
      <c r="R485" s="35">
        <v>0</v>
      </c>
      <c r="S485" s="35">
        <v>-4.76502E-3</v>
      </c>
      <c r="T485" s="35">
        <v>4.76502E-3</v>
      </c>
      <c r="U485" s="35">
        <v>0</v>
      </c>
      <c r="V485" s="35">
        <v>0</v>
      </c>
    </row>
    <row r="486" spans="1:22">
      <c r="A486" s="7" t="s">
        <v>137</v>
      </c>
      <c r="B486" s="8">
        <v>2.44475956514645</v>
      </c>
      <c r="C486" s="8">
        <v>-0.85548399177677847</v>
      </c>
      <c r="D486" s="8">
        <v>5.2896656816179721E-2</v>
      </c>
      <c r="E486" s="7">
        <v>0</v>
      </c>
      <c r="F486" s="7">
        <v>-1.4990516053215155E-2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L486" s="3">
        <f t="shared" si="68"/>
        <v>1.7223018585137834E-4</v>
      </c>
      <c r="M486" s="3">
        <v>2.4449999999999998</v>
      </c>
      <c r="N486" s="3">
        <v>-0.85599999999999998</v>
      </c>
      <c r="O486" s="3">
        <v>5.2999999999999999E-2</v>
      </c>
      <c r="P486" s="35">
        <v>0</v>
      </c>
      <c r="Q486" s="35">
        <v>-1.49698E-2</v>
      </c>
      <c r="R486" s="35">
        <v>0</v>
      </c>
      <c r="S486" s="35">
        <v>-4.76502E-3</v>
      </c>
      <c r="T486" s="35">
        <v>0</v>
      </c>
      <c r="U486" s="35">
        <v>4.76502E-3</v>
      </c>
      <c r="V486" s="35">
        <v>0</v>
      </c>
    </row>
    <row r="487" spans="1:22">
      <c r="A487" s="7"/>
      <c r="B487" s="8">
        <v>0.36768865949079377</v>
      </c>
      <c r="C487" s="8">
        <v>1.2890795247765441</v>
      </c>
      <c r="D487" s="8">
        <v>0.10954983766095538</v>
      </c>
      <c r="E487" s="7">
        <v>0</v>
      </c>
      <c r="F487" s="7">
        <v>0</v>
      </c>
      <c r="G487" s="7">
        <v>-1.4990516053215155E-2</v>
      </c>
      <c r="H487" s="7">
        <v>0</v>
      </c>
      <c r="I487" s="7">
        <v>0</v>
      </c>
      <c r="J487" s="7">
        <v>0</v>
      </c>
      <c r="K487" s="7">
        <v>0</v>
      </c>
      <c r="L487" s="3">
        <f t="shared" si="68"/>
        <v>-6.8197807170657099E-4</v>
      </c>
      <c r="M487" s="3">
        <v>0.36799999999999999</v>
      </c>
      <c r="N487" s="3">
        <v>1.2889999999999999</v>
      </c>
      <c r="O487" s="3">
        <v>0.11</v>
      </c>
      <c r="P487" s="35">
        <v>0</v>
      </c>
      <c r="Q487" s="35">
        <v>0</v>
      </c>
      <c r="R487" s="35">
        <v>-1.49698E-2</v>
      </c>
      <c r="S487" s="35">
        <v>-4.76502E-3</v>
      </c>
      <c r="T487" s="35">
        <v>0</v>
      </c>
      <c r="U487" s="35">
        <v>0</v>
      </c>
      <c r="V487" s="35">
        <v>4.76502E-3</v>
      </c>
    </row>
    <row r="488" spans="1:22">
      <c r="A488" s="7"/>
      <c r="B488" s="8"/>
      <c r="C488" s="8"/>
      <c r="D488" s="8"/>
      <c r="E488" s="7"/>
      <c r="F488" s="7"/>
      <c r="G488" s="7"/>
      <c r="H488" s="7"/>
      <c r="I488" s="7"/>
      <c r="J488" s="7"/>
      <c r="K488" s="7"/>
    </row>
    <row r="489" spans="1:22">
      <c r="A489" s="7"/>
      <c r="B489" s="8">
        <v>0.14897154656832046</v>
      </c>
      <c r="C489" s="8">
        <v>-0.84725762547333594</v>
      </c>
      <c r="D489" s="8">
        <v>1.9759438806851826E-2</v>
      </c>
      <c r="E489" s="7">
        <v>-1.4990516053215155E-2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3">
        <f t="shared" ref="L489:L525" si="69">B489-M489+C489-N489+D489-O489</f>
        <v>4.733599018362962E-4</v>
      </c>
      <c r="M489" s="3">
        <v>0.14899999999999999</v>
      </c>
      <c r="N489" s="3">
        <v>-0.84799999999999998</v>
      </c>
      <c r="O489" s="3">
        <v>0.02</v>
      </c>
      <c r="P489" s="35">
        <v>-1.49698E-2</v>
      </c>
      <c r="Q489" s="35">
        <v>0</v>
      </c>
      <c r="R489" s="35">
        <v>0</v>
      </c>
      <c r="S489" s="35">
        <v>-4.76502E-3</v>
      </c>
      <c r="T489" s="35">
        <v>4.76502E-3</v>
      </c>
      <c r="U489" s="35">
        <v>0</v>
      </c>
      <c r="V489" s="35">
        <v>0</v>
      </c>
    </row>
    <row r="490" spans="1:22">
      <c r="A490" s="7" t="s">
        <v>138</v>
      </c>
      <c r="B490" s="8">
        <v>2.44475956514645</v>
      </c>
      <c r="C490" s="8">
        <v>-0.85548399177677847</v>
      </c>
      <c r="D490" s="8">
        <v>5.2896656816179721E-2</v>
      </c>
      <c r="E490" s="7">
        <v>0</v>
      </c>
      <c r="F490" s="7">
        <v>-1.4990516053215155E-2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L490" s="3">
        <f t="shared" si="68"/>
        <v>1.7223018585137834E-4</v>
      </c>
      <c r="M490" s="3">
        <v>2.4449999999999998</v>
      </c>
      <c r="N490" s="3">
        <v>-0.85599999999999998</v>
      </c>
      <c r="O490" s="3">
        <v>5.2999999999999999E-2</v>
      </c>
      <c r="P490" s="35">
        <v>0</v>
      </c>
      <c r="Q490" s="35">
        <v>-1.49698E-2</v>
      </c>
      <c r="R490" s="35">
        <v>0</v>
      </c>
      <c r="S490" s="35">
        <v>-4.76502E-3</v>
      </c>
      <c r="T490" s="35">
        <v>0</v>
      </c>
      <c r="U490" s="35">
        <v>4.76502E-3</v>
      </c>
      <c r="V490" s="35">
        <v>0</v>
      </c>
    </row>
    <row r="491" spans="1:22">
      <c r="A491" s="7"/>
      <c r="B491" s="8">
        <v>1.9865190328797109</v>
      </c>
      <c r="C491" s="8">
        <v>1.2694850305255347</v>
      </c>
      <c r="D491" s="8">
        <v>3.2127045366234341E-2</v>
      </c>
      <c r="E491" s="7">
        <v>0</v>
      </c>
      <c r="F491" s="7">
        <v>0</v>
      </c>
      <c r="G491" s="7">
        <v>-1.4990516053215155E-2</v>
      </c>
      <c r="H491" s="7">
        <v>0</v>
      </c>
      <c r="I491" s="7">
        <v>0</v>
      </c>
      <c r="J491" s="7">
        <v>0</v>
      </c>
      <c r="K491" s="7">
        <v>0</v>
      </c>
      <c r="L491" s="3">
        <f t="shared" si="68"/>
        <v>1.3110877147995414E-4</v>
      </c>
      <c r="M491" s="3">
        <v>1.9870000000000001</v>
      </c>
      <c r="N491" s="3">
        <v>1.2689999999999999</v>
      </c>
      <c r="O491" s="3">
        <v>3.2000000000000001E-2</v>
      </c>
      <c r="P491" s="35">
        <v>0</v>
      </c>
      <c r="Q491" s="35">
        <v>0</v>
      </c>
      <c r="R491" s="35">
        <v>-1.49698E-2</v>
      </c>
      <c r="S491" s="35">
        <v>-4.76502E-3</v>
      </c>
      <c r="T491" s="35">
        <v>0</v>
      </c>
      <c r="U491" s="35">
        <v>0</v>
      </c>
      <c r="V491" s="35">
        <v>4.76502E-3</v>
      </c>
    </row>
    <row r="492" spans="1:22">
      <c r="A492" s="7"/>
      <c r="B492" s="8"/>
      <c r="C492" s="8"/>
      <c r="D492" s="8"/>
      <c r="E492" s="7"/>
      <c r="F492" s="7"/>
      <c r="G492" s="7"/>
      <c r="H492" s="7"/>
      <c r="I492" s="7"/>
      <c r="J492" s="7"/>
      <c r="K492" s="7"/>
    </row>
    <row r="493" spans="1:22">
      <c r="A493" s="7"/>
      <c r="B493" s="8">
        <v>0.14897154656832046</v>
      </c>
      <c r="C493" s="8">
        <v>-0.84725762547333594</v>
      </c>
      <c r="D493" s="8">
        <v>1.9759438806851826E-2</v>
      </c>
      <c r="E493" s="7">
        <v>-1.4990516053215155E-2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3">
        <f t="shared" ref="L493:L529" si="70">B493-M493+C493-N493+D493-O493</f>
        <v>4.733599018362962E-4</v>
      </c>
      <c r="M493" s="3">
        <v>0.14899999999999999</v>
      </c>
      <c r="N493" s="3">
        <v>-0.84799999999999998</v>
      </c>
      <c r="O493" s="3">
        <v>0.02</v>
      </c>
      <c r="P493" s="35">
        <v>-1.49698E-2</v>
      </c>
      <c r="Q493" s="35">
        <v>0</v>
      </c>
      <c r="R493" s="35">
        <v>0</v>
      </c>
      <c r="S493" s="35">
        <v>-4.76502E-3</v>
      </c>
      <c r="T493" s="35">
        <v>4.76502E-3</v>
      </c>
      <c r="U493" s="35">
        <v>0</v>
      </c>
      <c r="V493" s="35">
        <v>0</v>
      </c>
    </row>
    <row r="494" spans="1:22">
      <c r="A494" s="7" t="s">
        <v>139</v>
      </c>
      <c r="B494" s="8">
        <v>2.44475956514645</v>
      </c>
      <c r="C494" s="8">
        <v>-0.85548399177677847</v>
      </c>
      <c r="D494" s="8">
        <v>5.2896656816179721E-2</v>
      </c>
      <c r="E494" s="7">
        <v>0</v>
      </c>
      <c r="F494" s="7">
        <v>-1.4990516053215155E-2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L494" s="3">
        <f t="shared" si="68"/>
        <v>1.7223018585137834E-4</v>
      </c>
      <c r="M494" s="3">
        <v>2.4449999999999998</v>
      </c>
      <c r="N494" s="3">
        <v>-0.85599999999999998</v>
      </c>
      <c r="O494" s="3">
        <v>5.2999999999999999E-2</v>
      </c>
      <c r="P494" s="35">
        <v>0</v>
      </c>
      <c r="Q494" s="35">
        <v>-1.49698E-2</v>
      </c>
      <c r="R494" s="35">
        <v>0</v>
      </c>
      <c r="S494" s="35">
        <v>-4.76502E-3</v>
      </c>
      <c r="T494" s="35">
        <v>0</v>
      </c>
      <c r="U494" s="35">
        <v>4.76502E-3</v>
      </c>
      <c r="V494" s="35">
        <v>0</v>
      </c>
    </row>
    <row r="495" spans="1:22">
      <c r="A495" s="7"/>
      <c r="B495" s="8">
        <v>1.3773893306068323</v>
      </c>
      <c r="C495" s="8">
        <v>1.5521003879162059</v>
      </c>
      <c r="D495" s="8">
        <v>-0.65590292152571228</v>
      </c>
      <c r="E495" s="7">
        <v>0</v>
      </c>
      <c r="F495" s="7">
        <v>0</v>
      </c>
      <c r="G495" s="7">
        <v>-1.4990516053215155E-2</v>
      </c>
      <c r="H495" s="7">
        <v>0</v>
      </c>
      <c r="I495" s="7">
        <v>0</v>
      </c>
      <c r="J495" s="7">
        <v>0</v>
      </c>
      <c r="K495" s="7">
        <v>0</v>
      </c>
      <c r="L495" s="3">
        <f t="shared" si="68"/>
        <v>-4.1320300267400079E-4</v>
      </c>
      <c r="M495" s="3">
        <v>1.3779999999999999</v>
      </c>
      <c r="N495" s="3">
        <v>1.552</v>
      </c>
      <c r="O495" s="3">
        <v>-0.65600000000000003</v>
      </c>
      <c r="P495" s="35">
        <v>0</v>
      </c>
      <c r="Q495" s="35">
        <v>0</v>
      </c>
      <c r="R495" s="35">
        <v>-1.49698E-2</v>
      </c>
      <c r="S495" s="35">
        <v>-4.76502E-3</v>
      </c>
      <c r="T495" s="35">
        <v>0</v>
      </c>
      <c r="U495" s="35">
        <v>0</v>
      </c>
      <c r="V495" s="35">
        <v>4.76502E-3</v>
      </c>
    </row>
    <row r="496" spans="1:22">
      <c r="A496" s="7"/>
      <c r="B496" s="8"/>
      <c r="C496" s="8"/>
      <c r="D496" s="8"/>
      <c r="E496" s="7"/>
      <c r="F496" s="7"/>
      <c r="G496" s="7"/>
      <c r="H496" s="7"/>
      <c r="I496" s="7"/>
      <c r="J496" s="7"/>
      <c r="K496" s="7"/>
    </row>
    <row r="497" spans="1:22">
      <c r="A497" s="7"/>
      <c r="B497" s="8">
        <v>0.14897154656832046</v>
      </c>
      <c r="C497" s="8">
        <v>-0.84725762547333594</v>
      </c>
      <c r="D497" s="8">
        <v>1.9759438806851826E-2</v>
      </c>
      <c r="E497" s="7">
        <v>-1.4990516053215155E-2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3">
        <f t="shared" ref="L497:L533" si="71">B497-M497+C497-N497+D497-O497</f>
        <v>4.733599018362962E-4</v>
      </c>
      <c r="M497" s="3">
        <v>0.14899999999999999</v>
      </c>
      <c r="N497" s="3">
        <v>-0.84799999999999998</v>
      </c>
      <c r="O497" s="3">
        <v>0.02</v>
      </c>
      <c r="P497" s="35">
        <v>-1.49698E-2</v>
      </c>
      <c r="Q497" s="35">
        <v>0</v>
      </c>
      <c r="R497" s="35">
        <v>0</v>
      </c>
      <c r="S497" s="35">
        <v>-4.76502E-3</v>
      </c>
      <c r="T497" s="35">
        <v>4.76502E-3</v>
      </c>
      <c r="U497" s="35">
        <v>0</v>
      </c>
      <c r="V497" s="35">
        <v>0</v>
      </c>
    </row>
    <row r="498" spans="1:22">
      <c r="A498" s="7" t="s">
        <v>140</v>
      </c>
      <c r="B498" s="8">
        <v>2.8449497700634536</v>
      </c>
      <c r="C498" s="8">
        <v>0.22852225552422287</v>
      </c>
      <c r="D498" s="8">
        <v>6.9737163040410666E-2</v>
      </c>
      <c r="E498" s="7">
        <v>0</v>
      </c>
      <c r="F498" s="7">
        <v>-1.4990516053215155E-2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L498" s="3">
        <f t="shared" si="68"/>
        <v>2.0918862808694261E-4</v>
      </c>
      <c r="M498" s="3">
        <v>2.8450000000000002</v>
      </c>
      <c r="N498" s="3">
        <v>0.22800000000000001</v>
      </c>
      <c r="O498" s="3">
        <v>7.0000000000000007E-2</v>
      </c>
      <c r="P498" s="35">
        <v>0</v>
      </c>
      <c r="Q498" s="35">
        <v>-1.49698E-2</v>
      </c>
      <c r="R498" s="35">
        <v>0</v>
      </c>
      <c r="S498" s="35">
        <v>-4.76502E-3</v>
      </c>
      <c r="T498" s="35">
        <v>0</v>
      </c>
      <c r="U498" s="35">
        <v>4.76502E-3</v>
      </c>
      <c r="V498" s="35">
        <v>0</v>
      </c>
    </row>
    <row r="499" spans="1:22">
      <c r="A499" s="7"/>
      <c r="B499" s="8">
        <v>0.36768865949079377</v>
      </c>
      <c r="C499" s="8">
        <v>1.2890795247765441</v>
      </c>
      <c r="D499" s="8">
        <v>0.10954983766095538</v>
      </c>
      <c r="E499" s="7">
        <v>0</v>
      </c>
      <c r="F499" s="7">
        <v>0</v>
      </c>
      <c r="G499" s="7">
        <v>-1.4990516053215155E-2</v>
      </c>
      <c r="H499" s="7">
        <v>0</v>
      </c>
      <c r="I499" s="7">
        <v>0</v>
      </c>
      <c r="J499" s="7">
        <v>0</v>
      </c>
      <c r="K499" s="7">
        <v>0</v>
      </c>
      <c r="L499" s="3">
        <f t="shared" si="68"/>
        <v>-6.8197807170657099E-4</v>
      </c>
      <c r="M499" s="3">
        <v>0.36799999999999999</v>
      </c>
      <c r="N499" s="3">
        <v>1.2889999999999999</v>
      </c>
      <c r="O499" s="3">
        <v>0.11</v>
      </c>
      <c r="P499" s="35">
        <v>0</v>
      </c>
      <c r="Q499" s="35">
        <v>0</v>
      </c>
      <c r="R499" s="35">
        <v>-1.49698E-2</v>
      </c>
      <c r="S499" s="35">
        <v>-4.76502E-3</v>
      </c>
      <c r="T499" s="35">
        <v>0</v>
      </c>
      <c r="U499" s="35">
        <v>0</v>
      </c>
      <c r="V499" s="35">
        <v>4.76502E-3</v>
      </c>
    </row>
    <row r="500" spans="1:22">
      <c r="A500" s="7"/>
      <c r="B500" s="8"/>
      <c r="C500" s="8"/>
      <c r="D500" s="8"/>
      <c r="E500" s="7"/>
      <c r="F500" s="7"/>
      <c r="G500" s="7"/>
      <c r="H500" s="7"/>
      <c r="I500" s="7"/>
      <c r="J500" s="7"/>
      <c r="K500" s="7"/>
    </row>
    <row r="501" spans="1:22">
      <c r="A501" s="7"/>
      <c r="B501" s="8">
        <v>0.14897154656832046</v>
      </c>
      <c r="C501" s="8">
        <v>-0.84725762547333594</v>
      </c>
      <c r="D501" s="8">
        <v>1.9759438806851826E-2</v>
      </c>
      <c r="E501" s="7">
        <v>-1.4990516053215155E-2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3">
        <f t="shared" ref="L501:L537" si="72">B501-M501+C501-N501+D501-O501</f>
        <v>4.733599018362962E-4</v>
      </c>
      <c r="M501" s="3">
        <v>0.14899999999999999</v>
      </c>
      <c r="N501" s="3">
        <v>-0.84799999999999998</v>
      </c>
      <c r="O501" s="3">
        <v>0.02</v>
      </c>
      <c r="P501" s="35">
        <v>-1.49698E-2</v>
      </c>
      <c r="Q501" s="35">
        <v>0</v>
      </c>
      <c r="R501" s="35">
        <v>0</v>
      </c>
      <c r="S501" s="35">
        <v>-4.76502E-3</v>
      </c>
      <c r="T501" s="35">
        <v>4.76502E-3</v>
      </c>
      <c r="U501" s="35">
        <v>0</v>
      </c>
      <c r="V501" s="35">
        <v>0</v>
      </c>
    </row>
    <row r="502" spans="1:22">
      <c r="A502" s="7" t="s">
        <v>141</v>
      </c>
      <c r="B502" s="8">
        <v>2.8449497700634536</v>
      </c>
      <c r="C502" s="8">
        <v>0.22852225552422287</v>
      </c>
      <c r="D502" s="8">
        <v>6.9737163040410666E-2</v>
      </c>
      <c r="E502" s="7">
        <v>0</v>
      </c>
      <c r="F502" s="7">
        <v>-1.4990516053215155E-2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L502" s="3">
        <f t="shared" si="68"/>
        <v>2.0918862808694261E-4</v>
      </c>
      <c r="M502" s="3">
        <v>2.8450000000000002</v>
      </c>
      <c r="N502" s="3">
        <v>0.22800000000000001</v>
      </c>
      <c r="O502" s="3">
        <v>7.0000000000000007E-2</v>
      </c>
      <c r="P502" s="35">
        <v>0</v>
      </c>
      <c r="Q502" s="35">
        <v>-1.49698E-2</v>
      </c>
      <c r="R502" s="35">
        <v>0</v>
      </c>
      <c r="S502" s="35">
        <v>-4.76502E-3</v>
      </c>
      <c r="T502" s="35">
        <v>0</v>
      </c>
      <c r="U502" s="35">
        <v>4.76502E-3</v>
      </c>
      <c r="V502" s="35">
        <v>0</v>
      </c>
    </row>
    <row r="503" spans="1:22">
      <c r="A503" s="7"/>
      <c r="B503" s="8">
        <v>1.9865190328797109</v>
      </c>
      <c r="C503" s="8">
        <v>1.2694850305255347</v>
      </c>
      <c r="D503" s="8">
        <v>3.2127045366234341E-2</v>
      </c>
      <c r="E503" s="7">
        <v>0</v>
      </c>
      <c r="F503" s="7">
        <v>0</v>
      </c>
      <c r="G503" s="7">
        <v>-1.4990516053215155E-2</v>
      </c>
      <c r="H503" s="7">
        <v>0</v>
      </c>
      <c r="I503" s="7">
        <v>0</v>
      </c>
      <c r="J503" s="7">
        <v>0</v>
      </c>
      <c r="K503" s="7">
        <v>0</v>
      </c>
      <c r="L503" s="3">
        <f t="shared" si="68"/>
        <v>1.3110877147995414E-4</v>
      </c>
      <c r="M503" s="3">
        <v>1.9870000000000001</v>
      </c>
      <c r="N503" s="3">
        <v>1.2689999999999999</v>
      </c>
      <c r="O503" s="3">
        <v>3.2000000000000001E-2</v>
      </c>
      <c r="P503" s="35">
        <v>0</v>
      </c>
      <c r="Q503" s="35">
        <v>0</v>
      </c>
      <c r="R503" s="35">
        <v>-1.49698E-2</v>
      </c>
      <c r="S503" s="35">
        <v>-4.76502E-3</v>
      </c>
      <c r="T503" s="35">
        <v>0</v>
      </c>
      <c r="U503" s="35">
        <v>0</v>
      </c>
      <c r="V503" s="35">
        <v>4.76502E-3</v>
      </c>
    </row>
    <row r="504" spans="1:22">
      <c r="A504" s="7"/>
      <c r="B504" s="8"/>
      <c r="C504" s="8"/>
      <c r="D504" s="8"/>
      <c r="E504" s="7"/>
      <c r="F504" s="7"/>
      <c r="G504" s="7"/>
      <c r="H504" s="7"/>
      <c r="I504" s="7"/>
      <c r="J504" s="7"/>
      <c r="K504" s="7"/>
    </row>
    <row r="505" spans="1:22">
      <c r="A505" s="7"/>
      <c r="B505" s="8">
        <v>0.14897154656832046</v>
      </c>
      <c r="C505" s="8">
        <v>-0.84725762547333594</v>
      </c>
      <c r="D505" s="8">
        <v>1.9759438806851826E-2</v>
      </c>
      <c r="E505" s="7">
        <v>-1.4990516053215155E-2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3">
        <f t="shared" ref="L505" si="73">B505-M505+C505-N505+D505-O505</f>
        <v>4.733599018362962E-4</v>
      </c>
      <c r="M505" s="3">
        <v>0.14899999999999999</v>
      </c>
      <c r="N505" s="3">
        <v>-0.84799999999999998</v>
      </c>
      <c r="O505" s="3">
        <v>0.02</v>
      </c>
      <c r="P505" s="35">
        <v>-1.49698E-2</v>
      </c>
      <c r="Q505" s="35">
        <v>0</v>
      </c>
      <c r="R505" s="35">
        <v>0</v>
      </c>
      <c r="S505" s="35">
        <v>-4.76502E-3</v>
      </c>
      <c r="T505" s="35">
        <v>4.76502E-3</v>
      </c>
      <c r="U505" s="35">
        <v>0</v>
      </c>
      <c r="V505" s="35">
        <v>0</v>
      </c>
    </row>
    <row r="506" spans="1:22">
      <c r="A506" s="7" t="s">
        <v>142</v>
      </c>
      <c r="B506" s="8">
        <v>2.8449497700634536</v>
      </c>
      <c r="C506" s="8">
        <v>0.22852225552422287</v>
      </c>
      <c r="D506" s="8">
        <v>6.9737163040410666E-2</v>
      </c>
      <c r="E506" s="7">
        <v>0</v>
      </c>
      <c r="F506" s="7">
        <v>-1.4990516053215155E-2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L506" s="3">
        <f t="shared" si="65"/>
        <v>2.0918862808694261E-4</v>
      </c>
      <c r="M506" s="3">
        <v>2.8450000000000002</v>
      </c>
      <c r="N506" s="3">
        <v>0.22800000000000001</v>
      </c>
      <c r="O506" s="3">
        <v>7.0000000000000007E-2</v>
      </c>
      <c r="P506" s="35">
        <v>0</v>
      </c>
      <c r="Q506" s="35">
        <v>-1.49698E-2</v>
      </c>
      <c r="R506" s="35">
        <v>0</v>
      </c>
      <c r="S506" s="35">
        <v>-4.76502E-3</v>
      </c>
      <c r="T506" s="35">
        <v>0</v>
      </c>
      <c r="U506" s="35">
        <v>4.76502E-3</v>
      </c>
      <c r="V506" s="35">
        <v>0</v>
      </c>
    </row>
    <row r="507" spans="1:22">
      <c r="A507" s="7"/>
      <c r="B507" s="8">
        <v>1.3773893306068323</v>
      </c>
      <c r="C507" s="8">
        <v>1.5521003879162059</v>
      </c>
      <c r="D507" s="8">
        <v>-0.65590292152571228</v>
      </c>
      <c r="E507" s="7">
        <v>0</v>
      </c>
      <c r="F507" s="7">
        <v>0</v>
      </c>
      <c r="G507" s="7">
        <v>-1.4990516053215155E-2</v>
      </c>
      <c r="H507" s="7">
        <v>0</v>
      </c>
      <c r="I507" s="7">
        <v>0</v>
      </c>
      <c r="J507" s="7">
        <v>0</v>
      </c>
      <c r="K507" s="7">
        <v>0</v>
      </c>
      <c r="L507" s="3">
        <f t="shared" si="65"/>
        <v>-4.1320300267400079E-4</v>
      </c>
      <c r="M507" s="3">
        <v>1.3779999999999999</v>
      </c>
      <c r="N507" s="3">
        <v>1.552</v>
      </c>
      <c r="O507" s="3">
        <v>-0.65600000000000003</v>
      </c>
      <c r="P507" s="35">
        <v>0</v>
      </c>
      <c r="Q507" s="35">
        <v>0</v>
      </c>
      <c r="R507" s="35">
        <v>-1.49698E-2</v>
      </c>
      <c r="S507" s="35">
        <v>-4.76502E-3</v>
      </c>
      <c r="T507" s="35">
        <v>0</v>
      </c>
      <c r="U507" s="35">
        <v>0</v>
      </c>
      <c r="V507" s="35">
        <v>4.76502E-3</v>
      </c>
    </row>
    <row r="508" spans="1:22">
      <c r="A508" s="7"/>
      <c r="B508" s="8"/>
      <c r="C508" s="8"/>
      <c r="D508" s="8"/>
      <c r="E508" s="7"/>
      <c r="F508" s="7"/>
      <c r="G508" s="7"/>
      <c r="H508" s="7"/>
      <c r="I508" s="7"/>
      <c r="J508" s="7"/>
      <c r="K508" s="7"/>
    </row>
    <row r="509" spans="1:22">
      <c r="A509" s="7"/>
      <c r="B509" s="8">
        <v>0.14897154656832046</v>
      </c>
      <c r="C509" s="8">
        <v>-0.84725762547333594</v>
      </c>
      <c r="D509" s="8">
        <v>1.9759438806851826E-2</v>
      </c>
      <c r="E509" s="7">
        <v>-1.4990516053215155E-2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3">
        <f t="shared" si="68"/>
        <v>4.733599018362962E-4</v>
      </c>
      <c r="M509" s="3">
        <v>0.14899999999999999</v>
      </c>
      <c r="N509" s="3">
        <v>-0.84799999999999998</v>
      </c>
      <c r="O509" s="3">
        <v>0.02</v>
      </c>
      <c r="P509" s="35">
        <v>-1.49698E-2</v>
      </c>
      <c r="Q509" s="35">
        <v>0</v>
      </c>
      <c r="R509" s="35">
        <v>0</v>
      </c>
      <c r="S509" s="35">
        <v>-4.76502E-3</v>
      </c>
      <c r="T509" s="35">
        <v>4.76502E-3</v>
      </c>
      <c r="U509" s="35">
        <v>0</v>
      </c>
      <c r="V509" s="35">
        <v>0</v>
      </c>
    </row>
    <row r="510" spans="1:22">
      <c r="A510" s="7" t="s">
        <v>143</v>
      </c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-1.4990516053215155E-2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L510" s="3">
        <f t="shared" si="68"/>
        <v>-6.8197807170657099E-4</v>
      </c>
      <c r="M510" s="3">
        <v>0.36799999999999999</v>
      </c>
      <c r="N510" s="3">
        <v>1.2889999999999999</v>
      </c>
      <c r="O510" s="3">
        <v>0.11</v>
      </c>
      <c r="P510" s="35">
        <v>0</v>
      </c>
      <c r="Q510" s="35">
        <v>-1.49698E-2</v>
      </c>
      <c r="R510" s="35">
        <v>0</v>
      </c>
      <c r="S510" s="35">
        <v>-4.76502E-3</v>
      </c>
      <c r="T510" s="35">
        <v>0</v>
      </c>
      <c r="U510" s="35">
        <v>4.76502E-3</v>
      </c>
      <c r="V510" s="35">
        <v>0</v>
      </c>
    </row>
    <row r="511" spans="1:22">
      <c r="A511" s="7"/>
      <c r="B511" s="8">
        <v>1.9865190328797109</v>
      </c>
      <c r="C511" s="8">
        <v>1.2694850305255347</v>
      </c>
      <c r="D511" s="8">
        <v>3.2127045366234341E-2</v>
      </c>
      <c r="E511" s="7">
        <v>0</v>
      </c>
      <c r="F511" s="7">
        <v>0</v>
      </c>
      <c r="G511" s="7">
        <v>-1.4990516053215155E-2</v>
      </c>
      <c r="H511" s="7">
        <v>0</v>
      </c>
      <c r="I511" s="7">
        <v>0</v>
      </c>
      <c r="J511" s="7">
        <v>0</v>
      </c>
      <c r="K511" s="7">
        <v>0</v>
      </c>
      <c r="L511" s="3">
        <f t="shared" si="68"/>
        <v>1.3110877147995414E-4</v>
      </c>
      <c r="M511" s="3">
        <v>1.9870000000000001</v>
      </c>
      <c r="N511" s="3">
        <v>1.2689999999999999</v>
      </c>
      <c r="O511" s="3">
        <v>3.2000000000000001E-2</v>
      </c>
      <c r="P511" s="35">
        <v>0</v>
      </c>
      <c r="Q511" s="35">
        <v>0</v>
      </c>
      <c r="R511" s="35">
        <v>-1.49698E-2</v>
      </c>
      <c r="S511" s="35">
        <v>-4.76502E-3</v>
      </c>
      <c r="T511" s="35">
        <v>0</v>
      </c>
      <c r="U511" s="35">
        <v>0</v>
      </c>
      <c r="V511" s="35">
        <v>4.76502E-3</v>
      </c>
    </row>
    <row r="512" spans="1:22">
      <c r="A512" s="7"/>
      <c r="B512" s="8"/>
      <c r="C512" s="8"/>
      <c r="D512" s="8"/>
      <c r="E512" s="7"/>
      <c r="F512" s="7"/>
      <c r="G512" s="7"/>
      <c r="H512" s="7"/>
      <c r="I512" s="7"/>
      <c r="J512" s="7"/>
      <c r="K512" s="7"/>
    </row>
    <row r="513" spans="1:22">
      <c r="A513" s="7"/>
      <c r="B513" s="8">
        <v>0.14897154656832046</v>
      </c>
      <c r="C513" s="8">
        <v>-0.84725762547333594</v>
      </c>
      <c r="D513" s="8">
        <v>1.9759438806851826E-2</v>
      </c>
      <c r="E513" s="7">
        <v>-1.4990516053215155E-2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3">
        <f t="shared" si="66"/>
        <v>4.733599018362962E-4</v>
      </c>
      <c r="M513" s="3">
        <v>0.14899999999999999</v>
      </c>
      <c r="N513" s="3">
        <v>-0.84799999999999998</v>
      </c>
      <c r="O513" s="3">
        <v>0.02</v>
      </c>
      <c r="P513" s="35">
        <v>-1.49698E-2</v>
      </c>
      <c r="Q513" s="35">
        <v>0</v>
      </c>
      <c r="R513" s="35">
        <v>0</v>
      </c>
      <c r="S513" s="35">
        <v>-4.76502E-3</v>
      </c>
      <c r="T513" s="35">
        <v>4.76502E-3</v>
      </c>
      <c r="U513" s="35">
        <v>0</v>
      </c>
      <c r="V513" s="35">
        <v>0</v>
      </c>
    </row>
    <row r="514" spans="1:22">
      <c r="A514" s="7" t="s">
        <v>144</v>
      </c>
      <c r="B514" s="8">
        <v>0.36768865949079377</v>
      </c>
      <c r="C514" s="8">
        <v>1.2890795247765441</v>
      </c>
      <c r="D514" s="8">
        <v>0.10954983766095538</v>
      </c>
      <c r="E514" s="7">
        <v>0</v>
      </c>
      <c r="F514" s="7">
        <v>-1.4990516053215155E-2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L514" s="3">
        <f t="shared" si="68"/>
        <v>-6.8197807170657099E-4</v>
      </c>
      <c r="M514" s="3">
        <v>0.36799999999999999</v>
      </c>
      <c r="N514" s="3">
        <v>1.2889999999999999</v>
      </c>
      <c r="O514" s="3">
        <v>0.11</v>
      </c>
      <c r="P514" s="35">
        <v>0</v>
      </c>
      <c r="Q514" s="35">
        <v>-1.49698E-2</v>
      </c>
      <c r="R514" s="35">
        <v>0</v>
      </c>
      <c r="S514" s="35">
        <v>-4.76502E-3</v>
      </c>
      <c r="T514" s="35">
        <v>0</v>
      </c>
      <c r="U514" s="35">
        <v>4.76502E-3</v>
      </c>
      <c r="V514" s="35">
        <v>0</v>
      </c>
    </row>
    <row r="515" spans="1:22">
      <c r="A515" s="7"/>
      <c r="B515" s="8">
        <v>1.3773893306068323</v>
      </c>
      <c r="C515" s="8">
        <v>1.5521003879162059</v>
      </c>
      <c r="D515" s="8">
        <v>-0.65590292152571228</v>
      </c>
      <c r="E515" s="7">
        <v>0</v>
      </c>
      <c r="F515" s="7">
        <v>0</v>
      </c>
      <c r="G515" s="7">
        <v>-1.4990516053215155E-2</v>
      </c>
      <c r="H515" s="7">
        <v>0</v>
      </c>
      <c r="I515" s="7">
        <v>0</v>
      </c>
      <c r="J515" s="7">
        <v>0</v>
      </c>
      <c r="K515" s="7">
        <v>0</v>
      </c>
      <c r="L515" s="3">
        <f t="shared" si="68"/>
        <v>-4.1320300267400079E-4</v>
      </c>
      <c r="M515" s="3">
        <v>1.3779999999999999</v>
      </c>
      <c r="N515" s="3">
        <v>1.552</v>
      </c>
      <c r="O515" s="3">
        <v>-0.65600000000000003</v>
      </c>
      <c r="P515" s="35">
        <v>0</v>
      </c>
      <c r="Q515" s="35">
        <v>0</v>
      </c>
      <c r="R515" s="35">
        <v>-1.49698E-2</v>
      </c>
      <c r="S515" s="35">
        <v>-4.76502E-3</v>
      </c>
      <c r="T515" s="35">
        <v>0</v>
      </c>
      <c r="U515" s="35">
        <v>0</v>
      </c>
      <c r="V515" s="35">
        <v>4.76502E-3</v>
      </c>
    </row>
    <row r="516" spans="1:22">
      <c r="A516" s="7"/>
      <c r="B516" s="8"/>
      <c r="C516" s="8"/>
      <c r="D516" s="8"/>
      <c r="E516" s="7"/>
      <c r="F516" s="7"/>
      <c r="G516" s="7"/>
      <c r="H516" s="7"/>
      <c r="I516" s="7"/>
      <c r="J516" s="7"/>
      <c r="K516" s="7"/>
    </row>
    <row r="517" spans="1:22">
      <c r="A517" s="7"/>
      <c r="B517" s="8">
        <v>0.14897154656832046</v>
      </c>
      <c r="C517" s="8">
        <v>-0.84725762547333594</v>
      </c>
      <c r="D517" s="8">
        <v>1.9759438806851826E-2</v>
      </c>
      <c r="E517" s="7">
        <v>-1.4990516053215155E-2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3">
        <f t="shared" si="67"/>
        <v>4.733599018362962E-4</v>
      </c>
      <c r="M517" s="3">
        <v>0.14899999999999999</v>
      </c>
      <c r="N517" s="3">
        <v>-0.84799999999999998</v>
      </c>
      <c r="O517" s="3">
        <v>0.02</v>
      </c>
      <c r="P517" s="35">
        <v>-1.49698E-2</v>
      </c>
      <c r="Q517" s="35">
        <v>0</v>
      </c>
      <c r="R517" s="35">
        <v>0</v>
      </c>
      <c r="S517" s="35">
        <v>-4.76502E-3</v>
      </c>
      <c r="T517" s="35">
        <v>4.76502E-3</v>
      </c>
      <c r="U517" s="35">
        <v>0</v>
      </c>
      <c r="V517" s="35">
        <v>0</v>
      </c>
    </row>
    <row r="518" spans="1:22">
      <c r="A518" s="7" t="s">
        <v>145</v>
      </c>
      <c r="B518" s="8">
        <v>1.9865190328797109</v>
      </c>
      <c r="C518" s="8">
        <v>1.2694850305255347</v>
      </c>
      <c r="D518" s="8">
        <v>3.2127045366234341E-2</v>
      </c>
      <c r="E518" s="7">
        <v>0</v>
      </c>
      <c r="F518" s="7">
        <v>-1.4990516053215155E-2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3">
        <f t="shared" si="68"/>
        <v>1.3110877147995414E-4</v>
      </c>
      <c r="M518" s="3">
        <v>1.9870000000000001</v>
      </c>
      <c r="N518" s="3">
        <v>1.2689999999999999</v>
      </c>
      <c r="O518" s="3">
        <v>3.2000000000000001E-2</v>
      </c>
      <c r="P518" s="35">
        <v>0</v>
      </c>
      <c r="Q518" s="35">
        <v>-1.49698E-2</v>
      </c>
      <c r="R518" s="35">
        <v>0</v>
      </c>
      <c r="S518" s="35">
        <v>-4.76502E-3</v>
      </c>
      <c r="T518" s="35">
        <v>0</v>
      </c>
      <c r="U518" s="35">
        <v>4.76502E-3</v>
      </c>
      <c r="V518" s="35">
        <v>0</v>
      </c>
    </row>
    <row r="519" spans="1:22">
      <c r="A519" s="7"/>
      <c r="B519" s="8">
        <v>1.3773893306068323</v>
      </c>
      <c r="C519" s="8">
        <v>1.5521003879162059</v>
      </c>
      <c r="D519" s="8">
        <v>-0.65590292152571228</v>
      </c>
      <c r="E519" s="7">
        <v>0</v>
      </c>
      <c r="F519" s="7">
        <v>0</v>
      </c>
      <c r="G519" s="7">
        <v>-1.4990516053215155E-2</v>
      </c>
      <c r="H519" s="7">
        <v>0</v>
      </c>
      <c r="I519" s="7">
        <v>0</v>
      </c>
      <c r="J519" s="7">
        <v>0</v>
      </c>
      <c r="K519" s="7">
        <v>0</v>
      </c>
      <c r="L519" s="3">
        <f t="shared" si="68"/>
        <v>-4.1320300267400079E-4</v>
      </c>
      <c r="M519" s="3">
        <v>1.3779999999999999</v>
      </c>
      <c r="N519" s="3">
        <v>1.552</v>
      </c>
      <c r="O519" s="3">
        <v>-0.65600000000000003</v>
      </c>
      <c r="P519" s="35">
        <v>0</v>
      </c>
      <c r="Q519" s="35">
        <v>0</v>
      </c>
      <c r="R519" s="35">
        <v>-1.49698E-2</v>
      </c>
      <c r="S519" s="35">
        <v>-4.76502E-3</v>
      </c>
      <c r="T519" s="35">
        <v>0</v>
      </c>
      <c r="U519" s="35">
        <v>0</v>
      </c>
      <c r="V519" s="35">
        <v>4.76502E-3</v>
      </c>
    </row>
    <row r="520" spans="1:22">
      <c r="A520" s="7"/>
      <c r="B520" s="8"/>
      <c r="C520" s="8"/>
      <c r="D520" s="8"/>
      <c r="E520" s="7"/>
      <c r="F520" s="7"/>
      <c r="G520" s="7"/>
      <c r="H520" s="7"/>
      <c r="I520" s="7"/>
      <c r="J520" s="7"/>
      <c r="K520" s="7"/>
    </row>
    <row r="521" spans="1:22">
      <c r="A521" s="7"/>
      <c r="B521" s="8">
        <v>2.44475956514645</v>
      </c>
      <c r="C521" s="8">
        <v>-0.85548399177677847</v>
      </c>
      <c r="D521" s="8">
        <v>5.2896656816179721E-2</v>
      </c>
      <c r="E521" s="7">
        <v>-1.4990516053215155E-2</v>
      </c>
      <c r="F521" s="7">
        <v>0</v>
      </c>
      <c r="G521" s="7">
        <v>0</v>
      </c>
      <c r="H521" s="7">
        <v>-2.2385887789414392E-2</v>
      </c>
      <c r="I521" s="7">
        <v>2.2872089329671663E-2</v>
      </c>
      <c r="J521" s="7">
        <v>0</v>
      </c>
      <c r="K521" s="7">
        <v>0</v>
      </c>
      <c r="L521" s="3">
        <f t="shared" si="68"/>
        <v>1.7223018585137834E-4</v>
      </c>
      <c r="M521" s="3">
        <v>2.4449999999999998</v>
      </c>
      <c r="N521" s="3">
        <v>-0.85599999999999998</v>
      </c>
      <c r="O521" s="3">
        <v>5.2999999999999999E-2</v>
      </c>
      <c r="P521" s="35">
        <v>-1.49698E-2</v>
      </c>
      <c r="Q521" s="35">
        <v>0</v>
      </c>
      <c r="R521" s="35">
        <v>0</v>
      </c>
      <c r="S521" s="35">
        <v>-4.76502E-3</v>
      </c>
      <c r="T521" s="35">
        <v>4.76502E-3</v>
      </c>
      <c r="U521" s="35">
        <v>0</v>
      </c>
      <c r="V521" s="35">
        <v>0</v>
      </c>
    </row>
    <row r="522" spans="1:22">
      <c r="A522" s="7" t="s">
        <v>146</v>
      </c>
      <c r="B522" s="8">
        <v>2.8449497700634536</v>
      </c>
      <c r="C522" s="8">
        <v>0.22852225552422287</v>
      </c>
      <c r="D522" s="8">
        <v>6.9737163040410666E-2</v>
      </c>
      <c r="E522" s="7">
        <v>0</v>
      </c>
      <c r="F522" s="7">
        <v>-1.4990516053215155E-2</v>
      </c>
      <c r="G522" s="7">
        <v>0</v>
      </c>
      <c r="H522" s="7">
        <v>-2.2385887789414392E-2</v>
      </c>
      <c r="I522" s="7">
        <v>0</v>
      </c>
      <c r="J522" s="7">
        <v>1.6236379226863738E-2</v>
      </c>
      <c r="K522" s="7">
        <v>0</v>
      </c>
      <c r="L522" s="3">
        <f t="shared" si="68"/>
        <v>2.0918862808694261E-4</v>
      </c>
      <c r="M522" s="3">
        <v>2.8450000000000002</v>
      </c>
      <c r="N522" s="3">
        <v>0.22800000000000001</v>
      </c>
      <c r="O522" s="3">
        <v>7.0000000000000007E-2</v>
      </c>
      <c r="P522" s="35">
        <v>0</v>
      </c>
      <c r="Q522" s="35">
        <v>-1.49698E-2</v>
      </c>
      <c r="R522" s="35">
        <v>0</v>
      </c>
      <c r="S522" s="35">
        <v>-4.76502E-3</v>
      </c>
      <c r="T522" s="35">
        <v>0</v>
      </c>
      <c r="U522" s="35">
        <v>4.76502E-3</v>
      </c>
      <c r="V522" s="35">
        <v>0</v>
      </c>
    </row>
    <row r="523" spans="1:22">
      <c r="A523" s="7"/>
      <c r="B523" s="8">
        <v>0.36768865949079377</v>
      </c>
      <c r="C523" s="8">
        <v>1.2890795247765441</v>
      </c>
      <c r="D523" s="8">
        <v>0.10954983766095538</v>
      </c>
      <c r="E523" s="7">
        <v>0</v>
      </c>
      <c r="F523" s="7">
        <v>0</v>
      </c>
      <c r="G523" s="7">
        <v>-1.4990516053215155E-2</v>
      </c>
      <c r="H523" s="7">
        <v>-2.2385887789414392E-2</v>
      </c>
      <c r="I523" s="7">
        <v>0</v>
      </c>
      <c r="J523" s="7">
        <v>0</v>
      </c>
      <c r="K523" s="7">
        <v>1.5970575730977998E-2</v>
      </c>
      <c r="L523" s="3">
        <f t="shared" si="68"/>
        <v>-6.8197807170657099E-4</v>
      </c>
      <c r="M523" s="3">
        <v>0.36799999999999999</v>
      </c>
      <c r="N523" s="3">
        <v>1.2889999999999999</v>
      </c>
      <c r="O523" s="3">
        <v>0.11</v>
      </c>
      <c r="P523" s="35">
        <v>0</v>
      </c>
      <c r="Q523" s="35">
        <v>0</v>
      </c>
      <c r="R523" s="35">
        <v>-1.49698E-2</v>
      </c>
      <c r="S523" s="35">
        <v>-4.76502E-3</v>
      </c>
      <c r="T523" s="35">
        <v>0</v>
      </c>
      <c r="U523" s="35">
        <v>0</v>
      </c>
      <c r="V523" s="35">
        <v>4.76502E-3</v>
      </c>
    </row>
    <row r="524" spans="1:22">
      <c r="A524" s="7"/>
      <c r="B524" s="8"/>
      <c r="C524" s="8"/>
      <c r="D524" s="8"/>
      <c r="E524" s="7"/>
      <c r="F524" s="7"/>
      <c r="G524" s="7"/>
      <c r="H524" s="7"/>
      <c r="I524" s="7"/>
      <c r="J524" s="7"/>
      <c r="K524" s="7"/>
    </row>
    <row r="525" spans="1:22">
      <c r="A525" s="7"/>
      <c r="B525" s="8">
        <v>2.44475956514645</v>
      </c>
      <c r="C525" s="8">
        <v>-0.85548399177677847</v>
      </c>
      <c r="D525" s="8">
        <v>5.2896656816179721E-2</v>
      </c>
      <c r="E525" s="7">
        <v>-1.4990516053215155E-2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3">
        <f t="shared" si="69"/>
        <v>1.7223018585137834E-4</v>
      </c>
      <c r="M525" s="3">
        <v>2.4449999999999998</v>
      </c>
      <c r="N525" s="3">
        <v>-0.85599999999999998</v>
      </c>
      <c r="O525" s="3">
        <v>5.2999999999999999E-2</v>
      </c>
      <c r="P525" s="35">
        <v>-1.49698E-2</v>
      </c>
      <c r="Q525" s="35">
        <v>0</v>
      </c>
      <c r="R525" s="35">
        <v>0</v>
      </c>
      <c r="S525" s="35">
        <v>-4.76502E-3</v>
      </c>
      <c r="T525" s="35">
        <v>4.76502E-3</v>
      </c>
      <c r="U525" s="35">
        <v>0</v>
      </c>
      <c r="V525" s="35">
        <v>0</v>
      </c>
    </row>
    <row r="526" spans="1:22">
      <c r="A526" s="7" t="s">
        <v>147</v>
      </c>
      <c r="B526" s="8">
        <v>2.8449497700634536</v>
      </c>
      <c r="C526" s="8">
        <v>0.22852225552422287</v>
      </c>
      <c r="D526" s="8">
        <v>6.9737163040410666E-2</v>
      </c>
      <c r="E526" s="7">
        <v>0</v>
      </c>
      <c r="F526" s="7">
        <v>-1.4990516053215155E-2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L526" s="3">
        <f t="shared" si="68"/>
        <v>2.0918862808694261E-4</v>
      </c>
      <c r="M526" s="3">
        <v>2.8450000000000002</v>
      </c>
      <c r="N526" s="3">
        <v>0.22800000000000001</v>
      </c>
      <c r="O526" s="3">
        <v>7.0000000000000007E-2</v>
      </c>
      <c r="P526" s="35">
        <v>0</v>
      </c>
      <c r="Q526" s="35">
        <v>-1.49698E-2</v>
      </c>
      <c r="R526" s="35">
        <v>0</v>
      </c>
      <c r="S526" s="35">
        <v>-4.76502E-3</v>
      </c>
      <c r="T526" s="35">
        <v>0</v>
      </c>
      <c r="U526" s="35">
        <v>4.76502E-3</v>
      </c>
      <c r="V526" s="35">
        <v>0</v>
      </c>
    </row>
    <row r="527" spans="1:22">
      <c r="A527" s="7"/>
      <c r="B527" s="8">
        <v>1.9865190328797109</v>
      </c>
      <c r="C527" s="8">
        <v>1.2694850305255347</v>
      </c>
      <c r="D527" s="8">
        <v>3.2127045366234341E-2</v>
      </c>
      <c r="E527" s="7">
        <v>0</v>
      </c>
      <c r="F527" s="7">
        <v>0</v>
      </c>
      <c r="G527" s="7">
        <v>-1.4990516053215155E-2</v>
      </c>
      <c r="H527" s="7">
        <v>0</v>
      </c>
      <c r="I527" s="7">
        <v>0</v>
      </c>
      <c r="J527" s="7">
        <v>0</v>
      </c>
      <c r="K527" s="7">
        <v>0</v>
      </c>
      <c r="L527" s="3">
        <f t="shared" si="68"/>
        <v>1.3110877147995414E-4</v>
      </c>
      <c r="M527" s="3">
        <v>1.9870000000000001</v>
      </c>
      <c r="N527" s="3">
        <v>1.2689999999999999</v>
      </c>
      <c r="O527" s="3">
        <v>3.2000000000000001E-2</v>
      </c>
      <c r="P527" s="35">
        <v>0</v>
      </c>
      <c r="Q527" s="35">
        <v>0</v>
      </c>
      <c r="R527" s="35">
        <v>-1.49698E-2</v>
      </c>
      <c r="S527" s="35">
        <v>-4.76502E-3</v>
      </c>
      <c r="T527" s="35">
        <v>0</v>
      </c>
      <c r="U527" s="35">
        <v>0</v>
      </c>
      <c r="V527" s="35">
        <v>4.76502E-3</v>
      </c>
    </row>
    <row r="528" spans="1:22">
      <c r="A528" s="7"/>
      <c r="B528" s="8"/>
      <c r="C528" s="8"/>
      <c r="D528" s="8"/>
      <c r="E528" s="7"/>
      <c r="F528" s="7"/>
      <c r="G528" s="7"/>
      <c r="H528" s="7"/>
      <c r="I528" s="7"/>
      <c r="J528" s="7"/>
      <c r="K528" s="7"/>
    </row>
    <row r="529" spans="1:22">
      <c r="A529" s="7"/>
      <c r="B529" s="8">
        <v>2.44475956514645</v>
      </c>
      <c r="C529" s="8">
        <v>-0.85548399177677847</v>
      </c>
      <c r="D529" s="8">
        <v>5.2896656816179721E-2</v>
      </c>
      <c r="E529" s="7">
        <v>-1.4990516053215155E-2</v>
      </c>
      <c r="F529" s="7">
        <v>0</v>
      </c>
      <c r="G529" s="7">
        <v>0</v>
      </c>
      <c r="H529" s="7">
        <v>-2.2385887789414392E-2</v>
      </c>
      <c r="I529" s="7">
        <v>2.2872089329671663E-2</v>
      </c>
      <c r="J529" s="7">
        <v>0</v>
      </c>
      <c r="K529" s="7">
        <v>0</v>
      </c>
      <c r="L529" s="3">
        <f t="shared" si="70"/>
        <v>1.7223018585137834E-4</v>
      </c>
      <c r="M529" s="3">
        <v>2.4449999999999998</v>
      </c>
      <c r="N529" s="3">
        <v>-0.85599999999999998</v>
      </c>
      <c r="O529" s="3">
        <v>5.2999999999999999E-2</v>
      </c>
      <c r="P529" s="35">
        <v>-1.49698E-2</v>
      </c>
      <c r="Q529" s="35">
        <v>0</v>
      </c>
      <c r="R529" s="35">
        <v>0</v>
      </c>
      <c r="S529" s="35">
        <v>-4.76502E-3</v>
      </c>
      <c r="T529" s="35">
        <v>4.76502E-3</v>
      </c>
      <c r="U529" s="35">
        <v>0</v>
      </c>
      <c r="V529" s="35">
        <v>0</v>
      </c>
    </row>
    <row r="530" spans="1:22">
      <c r="A530" s="7" t="s">
        <v>148</v>
      </c>
      <c r="B530" s="8">
        <v>2.8449497700634536</v>
      </c>
      <c r="C530" s="8">
        <v>0.22852225552422287</v>
      </c>
      <c r="D530" s="8">
        <v>6.9737163040410666E-2</v>
      </c>
      <c r="E530" s="7">
        <v>0</v>
      </c>
      <c r="F530" s="7">
        <v>-1.4990516053215155E-2</v>
      </c>
      <c r="G530" s="7">
        <v>0</v>
      </c>
      <c r="H530" s="7">
        <v>-2.2385887789414392E-2</v>
      </c>
      <c r="I530" s="7">
        <v>0</v>
      </c>
      <c r="J530" s="7">
        <v>1.6236379226863738E-2</v>
      </c>
      <c r="K530" s="7">
        <v>0</v>
      </c>
      <c r="L530" s="3">
        <f t="shared" si="68"/>
        <v>2.0918862808694261E-4</v>
      </c>
      <c r="M530" s="3">
        <v>2.8450000000000002</v>
      </c>
      <c r="N530" s="3">
        <v>0.22800000000000001</v>
      </c>
      <c r="O530" s="3">
        <v>7.0000000000000007E-2</v>
      </c>
      <c r="P530" s="35">
        <v>0</v>
      </c>
      <c r="Q530" s="35">
        <v>-1.49698E-2</v>
      </c>
      <c r="R530" s="35">
        <v>0</v>
      </c>
      <c r="S530" s="35">
        <v>-4.76502E-3</v>
      </c>
      <c r="T530" s="35">
        <v>0</v>
      </c>
      <c r="U530" s="35">
        <v>4.76502E-3</v>
      </c>
      <c r="V530" s="35">
        <v>0</v>
      </c>
    </row>
    <row r="531" spans="1:22">
      <c r="A531" s="7"/>
      <c r="B531" s="8">
        <v>1.3773893306068323</v>
      </c>
      <c r="C531" s="8">
        <v>1.5521003879162059</v>
      </c>
      <c r="D531" s="8">
        <v>-0.65590292152571228</v>
      </c>
      <c r="E531" s="7">
        <v>0</v>
      </c>
      <c r="F531" s="7">
        <v>0</v>
      </c>
      <c r="G531" s="7">
        <v>-1.4990516053215155E-2</v>
      </c>
      <c r="H531" s="7">
        <v>-2.2385887789414392E-2</v>
      </c>
      <c r="I531" s="7">
        <v>0</v>
      </c>
      <c r="J531" s="7">
        <v>0</v>
      </c>
      <c r="K531" s="7">
        <v>2.0521745021313972E-2</v>
      </c>
      <c r="L531" s="3">
        <f t="shared" si="68"/>
        <v>-4.1320300267400079E-4</v>
      </c>
      <c r="M531" s="3">
        <v>1.3779999999999999</v>
      </c>
      <c r="N531" s="3">
        <v>1.552</v>
      </c>
      <c r="O531" s="3">
        <v>-0.65600000000000003</v>
      </c>
      <c r="P531" s="35">
        <v>0</v>
      </c>
      <c r="Q531" s="35">
        <v>0</v>
      </c>
      <c r="R531" s="35">
        <v>-1.49698E-2</v>
      </c>
      <c r="S531" s="35">
        <v>-4.76502E-3</v>
      </c>
      <c r="T531" s="35">
        <v>0</v>
      </c>
      <c r="U531" s="35">
        <v>0</v>
      </c>
      <c r="V531" s="35">
        <v>4.76502E-3</v>
      </c>
    </row>
    <row r="532" spans="1:22">
      <c r="A532" s="7"/>
      <c r="B532" s="8"/>
      <c r="C532" s="8"/>
      <c r="D532" s="8"/>
      <c r="E532" s="7"/>
      <c r="F532" s="7"/>
      <c r="G532" s="7"/>
      <c r="H532" s="7"/>
      <c r="I532" s="7"/>
      <c r="J532" s="7"/>
      <c r="K532" s="7"/>
    </row>
    <row r="533" spans="1:22">
      <c r="A533" s="7"/>
      <c r="B533" s="8">
        <v>2.44475956514645</v>
      </c>
      <c r="C533" s="8">
        <v>-0.85548399177677847</v>
      </c>
      <c r="D533" s="8">
        <v>5.2896656816179721E-2</v>
      </c>
      <c r="E533" s="7">
        <v>-1.4990516053215155E-2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3">
        <f t="shared" si="71"/>
        <v>1.7223018585137834E-4</v>
      </c>
      <c r="M533" s="3">
        <v>2.4449999999999998</v>
      </c>
      <c r="N533" s="3">
        <v>-0.85599999999999998</v>
      </c>
      <c r="O533" s="3">
        <v>5.2999999999999999E-2</v>
      </c>
      <c r="P533" s="35">
        <v>-1.49698E-2</v>
      </c>
      <c r="Q533" s="35">
        <v>0</v>
      </c>
      <c r="R533" s="35">
        <v>0</v>
      </c>
      <c r="S533" s="35">
        <v>-4.76502E-3</v>
      </c>
      <c r="T533" s="35">
        <v>4.76502E-3</v>
      </c>
      <c r="U533" s="35">
        <v>0</v>
      </c>
      <c r="V533" s="35">
        <v>0</v>
      </c>
    </row>
    <row r="534" spans="1:22">
      <c r="A534" s="7" t="s">
        <v>149</v>
      </c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-1.4990516053215155E-2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3">
        <f t="shared" si="68"/>
        <v>-6.8197807170657099E-4</v>
      </c>
      <c r="M534" s="3">
        <v>0.36799999999999999</v>
      </c>
      <c r="N534" s="3">
        <v>1.2889999999999999</v>
      </c>
      <c r="O534" s="3">
        <v>0.11</v>
      </c>
      <c r="P534" s="35">
        <v>0</v>
      </c>
      <c r="Q534" s="35">
        <v>-1.49698E-2</v>
      </c>
      <c r="R534" s="35">
        <v>0</v>
      </c>
      <c r="S534" s="35">
        <v>-4.76502E-3</v>
      </c>
      <c r="T534" s="35">
        <v>0</v>
      </c>
      <c r="U534" s="35">
        <v>4.76502E-3</v>
      </c>
      <c r="V534" s="35">
        <v>0</v>
      </c>
    </row>
    <row r="535" spans="1:22">
      <c r="A535" s="7"/>
      <c r="B535" s="8">
        <v>1.9865190328797109</v>
      </c>
      <c r="C535" s="8">
        <v>1.2694850305255347</v>
      </c>
      <c r="D535" s="8">
        <v>3.2127045366234341E-2</v>
      </c>
      <c r="E535" s="7">
        <v>0</v>
      </c>
      <c r="F535" s="7">
        <v>0</v>
      </c>
      <c r="G535" s="7">
        <v>-1.4990516053215155E-2</v>
      </c>
      <c r="H535" s="7">
        <v>0</v>
      </c>
      <c r="I535" s="7">
        <v>0</v>
      </c>
      <c r="J535" s="7">
        <v>0</v>
      </c>
      <c r="K535" s="7">
        <v>0</v>
      </c>
      <c r="L535" s="3">
        <f t="shared" si="68"/>
        <v>1.3110877147995414E-4</v>
      </c>
      <c r="M535" s="3">
        <v>1.9870000000000001</v>
      </c>
      <c r="N535" s="3">
        <v>1.2689999999999999</v>
      </c>
      <c r="O535" s="3">
        <v>3.2000000000000001E-2</v>
      </c>
      <c r="P535" s="35">
        <v>0</v>
      </c>
      <c r="Q535" s="35">
        <v>0</v>
      </c>
      <c r="R535" s="35">
        <v>-1.49698E-2</v>
      </c>
      <c r="S535" s="35">
        <v>-4.76502E-3</v>
      </c>
      <c r="T535" s="35">
        <v>0</v>
      </c>
      <c r="U535" s="35">
        <v>0</v>
      </c>
      <c r="V535" s="35">
        <v>4.76502E-3</v>
      </c>
    </row>
    <row r="536" spans="1:22">
      <c r="A536" s="7"/>
      <c r="B536" s="8"/>
      <c r="C536" s="8"/>
      <c r="D536" s="8"/>
      <c r="E536" s="7"/>
      <c r="F536" s="7"/>
      <c r="G536" s="7"/>
      <c r="H536" s="7"/>
      <c r="I536" s="7"/>
      <c r="J536" s="7"/>
      <c r="K536" s="7"/>
    </row>
    <row r="537" spans="1:22">
      <c r="A537" s="7"/>
      <c r="B537" s="8">
        <v>2.44475956514645</v>
      </c>
      <c r="C537" s="8">
        <v>-0.85548399177677847</v>
      </c>
      <c r="D537" s="8">
        <v>5.2896656816179721E-2</v>
      </c>
      <c r="E537" s="7">
        <v>-1.4990516053215155E-2</v>
      </c>
      <c r="F537" s="7">
        <v>0</v>
      </c>
      <c r="G537" s="7">
        <v>0</v>
      </c>
      <c r="H537" s="7">
        <v>-2.2385887789414392E-2</v>
      </c>
      <c r="I537" s="7">
        <v>2.2872089329671663E-2</v>
      </c>
      <c r="J537" s="7">
        <v>0</v>
      </c>
      <c r="K537" s="7">
        <v>0</v>
      </c>
      <c r="L537" s="3">
        <f t="shared" si="72"/>
        <v>1.7223018585137834E-4</v>
      </c>
      <c r="M537" s="3">
        <v>2.4449999999999998</v>
      </c>
      <c r="N537" s="3">
        <v>-0.85599999999999998</v>
      </c>
      <c r="O537" s="3">
        <v>5.2999999999999999E-2</v>
      </c>
      <c r="P537" s="35">
        <v>-1.49698E-2</v>
      </c>
      <c r="Q537" s="35">
        <v>0</v>
      </c>
      <c r="R537" s="35">
        <v>0</v>
      </c>
      <c r="S537" s="35">
        <v>-4.76502E-3</v>
      </c>
      <c r="T537" s="35">
        <v>4.76502E-3</v>
      </c>
      <c r="U537" s="35">
        <v>0</v>
      </c>
      <c r="V537" s="35">
        <v>0</v>
      </c>
    </row>
    <row r="538" spans="1:22">
      <c r="A538" s="7" t="s">
        <v>150</v>
      </c>
      <c r="B538" s="8">
        <v>0.36768865949079377</v>
      </c>
      <c r="C538" s="8">
        <v>1.2890795247765441</v>
      </c>
      <c r="D538" s="8">
        <v>0.10954983766095538</v>
      </c>
      <c r="E538" s="7">
        <v>0</v>
      </c>
      <c r="F538" s="7">
        <v>-1.4990516053215155E-2</v>
      </c>
      <c r="G538" s="7">
        <v>0</v>
      </c>
      <c r="H538" s="7">
        <v>-2.2385887789414392E-2</v>
      </c>
      <c r="I538" s="7">
        <v>0</v>
      </c>
      <c r="J538" s="7">
        <v>1.5970575730977998E-2</v>
      </c>
      <c r="K538" s="7">
        <v>0</v>
      </c>
      <c r="L538" s="3">
        <f t="shared" si="68"/>
        <v>-6.8197807170657099E-4</v>
      </c>
      <c r="M538" s="3">
        <v>0.36799999999999999</v>
      </c>
      <c r="N538" s="3">
        <v>1.2889999999999999</v>
      </c>
      <c r="O538" s="3">
        <v>0.11</v>
      </c>
      <c r="P538" s="35">
        <v>0</v>
      </c>
      <c r="Q538" s="35">
        <v>-1.49698E-2</v>
      </c>
      <c r="R538" s="35">
        <v>0</v>
      </c>
      <c r="S538" s="35">
        <v>-4.76502E-3</v>
      </c>
      <c r="T538" s="35">
        <v>0</v>
      </c>
      <c r="U538" s="35">
        <v>4.76502E-3</v>
      </c>
      <c r="V538" s="35">
        <v>0</v>
      </c>
    </row>
    <row r="539" spans="1:22">
      <c r="A539" s="7"/>
      <c r="B539" s="8">
        <v>1.3773893306068323</v>
      </c>
      <c r="C539" s="8">
        <v>1.5521003879162059</v>
      </c>
      <c r="D539" s="8">
        <v>-0.65590292152571228</v>
      </c>
      <c r="E539" s="7">
        <v>0</v>
      </c>
      <c r="F539" s="7">
        <v>0</v>
      </c>
      <c r="G539" s="7">
        <v>-1.4990516053215155E-2</v>
      </c>
      <c r="H539" s="7">
        <v>-2.2385887789414392E-2</v>
      </c>
      <c r="I539" s="7">
        <v>0</v>
      </c>
      <c r="J539" s="7">
        <v>0</v>
      </c>
      <c r="K539" s="7">
        <v>2.0521745021313972E-2</v>
      </c>
      <c r="L539" s="3">
        <f t="shared" si="68"/>
        <v>-4.1320300267400079E-4</v>
      </c>
      <c r="M539" s="3">
        <v>1.3779999999999999</v>
      </c>
      <c r="N539" s="3">
        <v>1.552</v>
      </c>
      <c r="O539" s="3">
        <v>-0.65600000000000003</v>
      </c>
      <c r="P539" s="35">
        <v>0</v>
      </c>
      <c r="Q539" s="35">
        <v>0</v>
      </c>
      <c r="R539" s="35">
        <v>-1.49698E-2</v>
      </c>
      <c r="S539" s="35">
        <v>-4.76502E-3</v>
      </c>
      <c r="T539" s="35">
        <v>0</v>
      </c>
      <c r="U539" s="35">
        <v>0</v>
      </c>
      <c r="V539" s="35">
        <v>4.76502E-3</v>
      </c>
    </row>
    <row r="540" spans="1:22">
      <c r="A540" s="7"/>
      <c r="B540" s="8"/>
      <c r="C540" s="8"/>
      <c r="D540" s="8"/>
      <c r="E540" s="7"/>
      <c r="F540" s="7"/>
      <c r="G540" s="7"/>
      <c r="H540" s="7"/>
      <c r="I540" s="7"/>
      <c r="J540" s="7"/>
      <c r="K540" s="7"/>
    </row>
    <row r="541" spans="1:22">
      <c r="A541" s="7"/>
      <c r="B541" s="8">
        <v>2.44475956514645</v>
      </c>
      <c r="C541" s="8">
        <v>-0.85548399177677847</v>
      </c>
      <c r="D541" s="8">
        <v>5.2896656816179721E-2</v>
      </c>
      <c r="E541" s="7">
        <v>-1.4990516053215155E-2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3">
        <f t="shared" ref="L541:L579" si="74">B541-M541+C541-N541+D541-O541</f>
        <v>1.7223018585137834E-4</v>
      </c>
      <c r="M541" s="3">
        <v>2.4449999999999998</v>
      </c>
      <c r="N541" s="3">
        <v>-0.85599999999999998</v>
      </c>
      <c r="O541" s="3">
        <v>5.2999999999999999E-2</v>
      </c>
      <c r="P541" s="35">
        <v>-1.49698E-2</v>
      </c>
      <c r="Q541" s="35">
        <v>0</v>
      </c>
      <c r="R541" s="35">
        <v>0</v>
      </c>
      <c r="S541" s="35">
        <v>-4.76502E-3</v>
      </c>
      <c r="T541" s="35">
        <v>4.76502E-3</v>
      </c>
      <c r="U541" s="35">
        <v>0</v>
      </c>
      <c r="V541" s="35">
        <v>0</v>
      </c>
    </row>
    <row r="542" spans="1:22">
      <c r="A542" s="7" t="s">
        <v>151</v>
      </c>
      <c r="B542" s="8">
        <v>1.9865190328797109</v>
      </c>
      <c r="C542" s="8">
        <v>1.2694850305255347</v>
      </c>
      <c r="D542" s="8">
        <v>3.2127045366234341E-2</v>
      </c>
      <c r="E542" s="7">
        <v>0</v>
      </c>
      <c r="F542" s="7">
        <v>-1.4990516053215155E-2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L542" s="3">
        <f t="shared" si="74"/>
        <v>1.3110877147995414E-4</v>
      </c>
      <c r="M542" s="3">
        <v>1.9870000000000001</v>
      </c>
      <c r="N542" s="3">
        <v>1.2689999999999999</v>
      </c>
      <c r="O542" s="3">
        <v>3.2000000000000001E-2</v>
      </c>
      <c r="P542" s="35">
        <v>0</v>
      </c>
      <c r="Q542" s="35">
        <v>-1.49698E-2</v>
      </c>
      <c r="R542" s="35">
        <v>0</v>
      </c>
      <c r="S542" s="35">
        <v>-4.76502E-3</v>
      </c>
      <c r="T542" s="35">
        <v>0</v>
      </c>
      <c r="U542" s="35">
        <v>4.76502E-3</v>
      </c>
      <c r="V542" s="35">
        <v>0</v>
      </c>
    </row>
    <row r="543" spans="1:22">
      <c r="A543" s="7"/>
      <c r="B543" s="8">
        <v>1.3773893306068323</v>
      </c>
      <c r="C543" s="8">
        <v>1.5521003879162059</v>
      </c>
      <c r="D543" s="8">
        <v>-0.65590292152571228</v>
      </c>
      <c r="E543" s="7">
        <v>0</v>
      </c>
      <c r="F543" s="7">
        <v>0</v>
      </c>
      <c r="G543" s="7">
        <v>-1.4990516053215155E-2</v>
      </c>
      <c r="H543" s="7">
        <v>0</v>
      </c>
      <c r="I543" s="7">
        <v>0</v>
      </c>
      <c r="J543" s="7">
        <v>0</v>
      </c>
      <c r="K543" s="7">
        <v>0</v>
      </c>
      <c r="L543" s="3">
        <f t="shared" si="74"/>
        <v>-4.1320300267400079E-4</v>
      </c>
      <c r="M543" s="3">
        <v>1.3779999999999999</v>
      </c>
      <c r="N543" s="3">
        <v>1.552</v>
      </c>
      <c r="O543" s="3">
        <v>-0.65600000000000003</v>
      </c>
      <c r="P543" s="35">
        <v>0</v>
      </c>
      <c r="Q543" s="35">
        <v>0</v>
      </c>
      <c r="R543" s="35">
        <v>-1.49698E-2</v>
      </c>
      <c r="S543" s="35">
        <v>-4.76502E-3</v>
      </c>
      <c r="T543" s="35">
        <v>0</v>
      </c>
      <c r="U543" s="35">
        <v>0</v>
      </c>
      <c r="V543" s="35">
        <v>4.76502E-3</v>
      </c>
    </row>
    <row r="544" spans="1:22">
      <c r="A544" s="7"/>
      <c r="B544" s="8"/>
      <c r="C544" s="8"/>
      <c r="D544" s="8"/>
      <c r="E544" s="7"/>
      <c r="F544" s="7"/>
      <c r="G544" s="7"/>
      <c r="H544" s="7"/>
      <c r="I544" s="7"/>
      <c r="J544" s="7"/>
      <c r="K544" s="7"/>
    </row>
    <row r="545" spans="1:22">
      <c r="A545" s="7"/>
      <c r="B545" s="8">
        <v>2.8449497700634536</v>
      </c>
      <c r="C545" s="8">
        <v>0.22852225552422287</v>
      </c>
      <c r="D545" s="8">
        <v>6.9737163040410666E-2</v>
      </c>
      <c r="E545" s="7">
        <v>-1.4990516053215155E-2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3">
        <f t="shared" si="68"/>
        <v>2.0918862808694261E-4</v>
      </c>
      <c r="M545" s="3">
        <v>2.8450000000000002</v>
      </c>
      <c r="N545" s="3">
        <v>0.22800000000000001</v>
      </c>
      <c r="O545" s="3">
        <v>7.0000000000000007E-2</v>
      </c>
      <c r="P545" s="35">
        <v>-1.49698E-2</v>
      </c>
      <c r="Q545" s="35">
        <v>0</v>
      </c>
      <c r="R545" s="35">
        <v>0</v>
      </c>
      <c r="S545" s="35">
        <v>-4.76502E-3</v>
      </c>
      <c r="T545" s="35">
        <v>4.76502E-3</v>
      </c>
      <c r="U545" s="35">
        <v>0</v>
      </c>
      <c r="V545" s="35">
        <v>0</v>
      </c>
    </row>
    <row r="546" spans="1:22">
      <c r="A546" s="7" t="s">
        <v>152</v>
      </c>
      <c r="B546" s="8">
        <v>0.36768865949079377</v>
      </c>
      <c r="C546" s="8">
        <v>1.2890795247765441</v>
      </c>
      <c r="D546" s="8">
        <v>0.10954983766095538</v>
      </c>
      <c r="E546" s="7">
        <v>0</v>
      </c>
      <c r="F546" s="7">
        <v>-1.4990516053215155E-2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3">
        <f t="shared" si="68"/>
        <v>-6.8197807170657099E-4</v>
      </c>
      <c r="M546" s="3">
        <v>0.36799999999999999</v>
      </c>
      <c r="N546" s="3">
        <v>1.2889999999999999</v>
      </c>
      <c r="O546" s="3">
        <v>0.11</v>
      </c>
      <c r="P546" s="35">
        <v>0</v>
      </c>
      <c r="Q546" s="35">
        <v>-1.49698E-2</v>
      </c>
      <c r="R546" s="35">
        <v>0</v>
      </c>
      <c r="S546" s="35">
        <v>-4.76502E-3</v>
      </c>
      <c r="T546" s="35">
        <v>0</v>
      </c>
      <c r="U546" s="35">
        <v>4.76502E-3</v>
      </c>
      <c r="V546" s="35">
        <v>0</v>
      </c>
    </row>
    <row r="547" spans="1:22">
      <c r="A547" s="7"/>
      <c r="B547" s="8">
        <v>1.9865190328797109</v>
      </c>
      <c r="C547" s="8">
        <v>1.2694850305255347</v>
      </c>
      <c r="D547" s="8">
        <v>3.2127045366234341E-2</v>
      </c>
      <c r="E547" s="7">
        <v>0</v>
      </c>
      <c r="F547" s="7">
        <v>0</v>
      </c>
      <c r="G547" s="7">
        <v>-1.4990516053215155E-2</v>
      </c>
      <c r="H547" s="7">
        <v>0</v>
      </c>
      <c r="I547" s="7">
        <v>0</v>
      </c>
      <c r="J547" s="7">
        <v>0</v>
      </c>
      <c r="K547" s="7">
        <v>0</v>
      </c>
      <c r="L547" s="3">
        <f t="shared" si="68"/>
        <v>1.3110877147995414E-4</v>
      </c>
      <c r="M547" s="3">
        <v>1.9870000000000001</v>
      </c>
      <c r="N547" s="3">
        <v>1.2689999999999999</v>
      </c>
      <c r="O547" s="3">
        <v>3.2000000000000001E-2</v>
      </c>
      <c r="P547" s="35">
        <v>0</v>
      </c>
      <c r="Q547" s="35">
        <v>0</v>
      </c>
      <c r="R547" s="35">
        <v>-1.49698E-2</v>
      </c>
      <c r="S547" s="35">
        <v>-4.76502E-3</v>
      </c>
      <c r="T547" s="35">
        <v>0</v>
      </c>
      <c r="U547" s="35">
        <v>0</v>
      </c>
      <c r="V547" s="35">
        <v>4.76502E-3</v>
      </c>
    </row>
    <row r="548" spans="1:22">
      <c r="A548" s="7"/>
      <c r="B548" s="8"/>
      <c r="C548" s="8"/>
      <c r="D548" s="8"/>
      <c r="E548" s="7"/>
      <c r="F548" s="7"/>
      <c r="G548" s="7"/>
      <c r="H548" s="7"/>
      <c r="I548" s="7"/>
      <c r="J548" s="7"/>
      <c r="K548" s="7"/>
    </row>
    <row r="549" spans="1:22">
      <c r="A549" s="7"/>
      <c r="B549" s="8">
        <v>2.8449497700634536</v>
      </c>
      <c r="C549" s="8">
        <v>0.22852225552422287</v>
      </c>
      <c r="D549" s="8">
        <v>6.9737163040410666E-2</v>
      </c>
      <c r="E549" s="7">
        <v>-1.4990516053215155E-2</v>
      </c>
      <c r="F549" s="7">
        <v>0</v>
      </c>
      <c r="G549" s="7">
        <v>0</v>
      </c>
      <c r="H549" s="7">
        <v>-2.2385887789414392E-2</v>
      </c>
      <c r="I549" s="7">
        <v>1.6236379226863738E-2</v>
      </c>
      <c r="J549" s="7">
        <v>0</v>
      </c>
      <c r="K549" s="7">
        <v>0</v>
      </c>
      <c r="L549" s="3">
        <f t="shared" ref="L549:L611" si="75">B549-M549+C549-N549+D549-O549</f>
        <v>2.0918862808694261E-4</v>
      </c>
      <c r="M549" s="3">
        <v>2.8450000000000002</v>
      </c>
      <c r="N549" s="3">
        <v>0.22800000000000001</v>
      </c>
      <c r="O549" s="3">
        <v>7.0000000000000007E-2</v>
      </c>
      <c r="P549" s="35">
        <v>-1.49698E-2</v>
      </c>
      <c r="Q549" s="35">
        <v>0</v>
      </c>
      <c r="R549" s="35">
        <v>0</v>
      </c>
      <c r="S549" s="35">
        <v>-4.76502E-3</v>
      </c>
      <c r="T549" s="35">
        <v>4.76502E-3</v>
      </c>
      <c r="U549" s="35">
        <v>0</v>
      </c>
      <c r="V549" s="35">
        <v>0</v>
      </c>
    </row>
    <row r="550" spans="1:22">
      <c r="A550" s="7" t="s">
        <v>153</v>
      </c>
      <c r="B550" s="8">
        <v>0.36768865949079377</v>
      </c>
      <c r="C550" s="8">
        <v>1.2890795247765441</v>
      </c>
      <c r="D550" s="8">
        <v>0.10954983766095538</v>
      </c>
      <c r="E550" s="7">
        <v>0</v>
      </c>
      <c r="F550" s="7">
        <v>-1.4990516053215155E-2</v>
      </c>
      <c r="G550" s="7">
        <v>0</v>
      </c>
      <c r="H550" s="7">
        <v>-2.2385887789414392E-2</v>
      </c>
      <c r="I550" s="7">
        <v>0</v>
      </c>
      <c r="J550" s="7">
        <v>1.5970575730977998E-2</v>
      </c>
      <c r="K550" s="7">
        <v>0</v>
      </c>
      <c r="L550" s="3">
        <f t="shared" si="75"/>
        <v>-6.8197807170657099E-4</v>
      </c>
      <c r="M550" s="3">
        <v>0.36799999999999999</v>
      </c>
      <c r="N550" s="3">
        <v>1.2889999999999999</v>
      </c>
      <c r="O550" s="3">
        <v>0.11</v>
      </c>
      <c r="P550" s="35">
        <v>0</v>
      </c>
      <c r="Q550" s="35">
        <v>-1.49698E-2</v>
      </c>
      <c r="R550" s="35">
        <v>0</v>
      </c>
      <c r="S550" s="35">
        <v>-4.76502E-3</v>
      </c>
      <c r="T550" s="35">
        <v>0</v>
      </c>
      <c r="U550" s="35">
        <v>4.76502E-3</v>
      </c>
      <c r="V550" s="35">
        <v>0</v>
      </c>
    </row>
    <row r="551" spans="1:22">
      <c r="A551" s="7"/>
      <c r="B551" s="8">
        <v>1.3773893306068323</v>
      </c>
      <c r="C551" s="8">
        <v>1.5521003879162059</v>
      </c>
      <c r="D551" s="8">
        <v>-0.65590292152571228</v>
      </c>
      <c r="E551" s="7">
        <v>0</v>
      </c>
      <c r="F551" s="7">
        <v>0</v>
      </c>
      <c r="G551" s="7">
        <v>-1.4990516053215155E-2</v>
      </c>
      <c r="H551" s="7">
        <v>-2.2385887789414392E-2</v>
      </c>
      <c r="I551" s="7">
        <v>0</v>
      </c>
      <c r="J551" s="7">
        <v>0</v>
      </c>
      <c r="K551" s="7">
        <v>2.0521745021313972E-2</v>
      </c>
      <c r="L551" s="3">
        <f t="shared" si="75"/>
        <v>-4.1320300267400079E-4</v>
      </c>
      <c r="M551" s="3">
        <v>1.3779999999999999</v>
      </c>
      <c r="N551" s="3">
        <v>1.552</v>
      </c>
      <c r="O551" s="3">
        <v>-0.65600000000000003</v>
      </c>
      <c r="P551" s="35">
        <v>0</v>
      </c>
      <c r="Q551" s="35">
        <v>0</v>
      </c>
      <c r="R551" s="35">
        <v>-1.49698E-2</v>
      </c>
      <c r="S551" s="35">
        <v>-4.76502E-3</v>
      </c>
      <c r="T551" s="35">
        <v>0</v>
      </c>
      <c r="U551" s="35">
        <v>0</v>
      </c>
      <c r="V551" s="35">
        <v>4.76502E-3</v>
      </c>
    </row>
    <row r="552" spans="1:22">
      <c r="A552" s="7"/>
      <c r="B552" s="8"/>
      <c r="C552" s="8"/>
      <c r="D552" s="8"/>
      <c r="E552" s="7"/>
      <c r="F552" s="7"/>
      <c r="G552" s="7"/>
      <c r="H552" s="7"/>
      <c r="I552" s="7"/>
      <c r="J552" s="7"/>
      <c r="K552" s="7"/>
    </row>
    <row r="553" spans="1:22">
      <c r="A553" s="7"/>
      <c r="B553" s="8">
        <v>2.8449497700634536</v>
      </c>
      <c r="C553" s="8">
        <v>0.22852225552422287</v>
      </c>
      <c r="D553" s="8">
        <v>6.9737163040410666E-2</v>
      </c>
      <c r="E553" s="7">
        <v>-1.4990516053215155E-2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3">
        <f t="shared" ref="L553:L589" si="76">B553-M553+C553-N553+D553-O553</f>
        <v>2.0918862808694261E-4</v>
      </c>
      <c r="M553" s="3">
        <v>2.8450000000000002</v>
      </c>
      <c r="N553" s="3">
        <v>0.22800000000000001</v>
      </c>
      <c r="O553" s="3">
        <v>7.0000000000000007E-2</v>
      </c>
      <c r="P553" s="35">
        <v>-1.49698E-2</v>
      </c>
      <c r="Q553" s="35">
        <v>0</v>
      </c>
      <c r="R553" s="35">
        <v>0</v>
      </c>
      <c r="S553" s="35">
        <v>-4.76502E-3</v>
      </c>
      <c r="T553" s="35">
        <v>4.76502E-3</v>
      </c>
      <c r="U553" s="35">
        <v>0</v>
      </c>
      <c r="V553" s="35">
        <v>0</v>
      </c>
    </row>
    <row r="554" spans="1:22">
      <c r="A554" s="7" t="s">
        <v>154</v>
      </c>
      <c r="B554" s="8">
        <v>1.9865190328797109</v>
      </c>
      <c r="C554" s="8">
        <v>1.2694850305255347</v>
      </c>
      <c r="D554" s="8">
        <v>3.2127045366234341E-2</v>
      </c>
      <c r="E554" s="7">
        <v>0</v>
      </c>
      <c r="F554" s="7">
        <v>-1.4990516053215155E-2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L554" s="3">
        <f t="shared" si="75"/>
        <v>1.3110877147995414E-4</v>
      </c>
      <c r="M554" s="3">
        <v>1.9870000000000001</v>
      </c>
      <c r="N554" s="3">
        <v>1.2689999999999999</v>
      </c>
      <c r="O554" s="3">
        <v>3.2000000000000001E-2</v>
      </c>
      <c r="P554" s="35">
        <v>0</v>
      </c>
      <c r="Q554" s="35">
        <v>-1.49698E-2</v>
      </c>
      <c r="R554" s="35">
        <v>0</v>
      </c>
      <c r="S554" s="35">
        <v>-4.76502E-3</v>
      </c>
      <c r="T554" s="35">
        <v>0</v>
      </c>
      <c r="U554" s="35">
        <v>4.76502E-3</v>
      </c>
      <c r="V554" s="35">
        <v>0</v>
      </c>
    </row>
    <row r="555" spans="1:22">
      <c r="A555" s="7"/>
      <c r="B555" s="8">
        <v>1.3773893306068323</v>
      </c>
      <c r="C555" s="8">
        <v>1.5521003879162059</v>
      </c>
      <c r="D555" s="8">
        <v>-0.65590292152571228</v>
      </c>
      <c r="E555" s="7">
        <v>0</v>
      </c>
      <c r="F555" s="7">
        <v>0</v>
      </c>
      <c r="G555" s="7">
        <v>-1.4990516053215155E-2</v>
      </c>
      <c r="H555" s="7">
        <v>0</v>
      </c>
      <c r="I555" s="7">
        <v>0</v>
      </c>
      <c r="J555" s="7">
        <v>0</v>
      </c>
      <c r="K555" s="7">
        <v>0</v>
      </c>
      <c r="L555" s="3">
        <f t="shared" si="75"/>
        <v>-4.1320300267400079E-4</v>
      </c>
      <c r="M555" s="3">
        <v>1.3779999999999999</v>
      </c>
      <c r="N555" s="3">
        <v>1.552</v>
      </c>
      <c r="O555" s="3">
        <v>-0.65600000000000003</v>
      </c>
      <c r="P555" s="35">
        <v>0</v>
      </c>
      <c r="Q555" s="35">
        <v>0</v>
      </c>
      <c r="R555" s="35">
        <v>-1.49698E-2</v>
      </c>
      <c r="S555" s="35">
        <v>-4.76502E-3</v>
      </c>
      <c r="T555" s="35">
        <v>0</v>
      </c>
      <c r="U555" s="35">
        <v>0</v>
      </c>
      <c r="V555" s="35">
        <v>4.76502E-3</v>
      </c>
    </row>
    <row r="556" spans="1:22">
      <c r="A556" s="7"/>
      <c r="B556" s="8"/>
      <c r="C556" s="8"/>
      <c r="D556" s="8"/>
      <c r="E556" s="7"/>
      <c r="F556" s="7"/>
      <c r="G556" s="7"/>
      <c r="H556" s="7"/>
      <c r="I556" s="7"/>
      <c r="J556" s="7"/>
      <c r="K556" s="7"/>
    </row>
    <row r="557" spans="1:22">
      <c r="A557" s="7"/>
      <c r="B557" s="8">
        <v>0.36768865949079377</v>
      </c>
      <c r="C557" s="8">
        <v>1.2890795247765441</v>
      </c>
      <c r="D557" s="8">
        <v>0.10954983766095538</v>
      </c>
      <c r="E557" s="7">
        <v>-1.4990516053215155E-2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3">
        <f t="shared" ref="L557:L593" si="77">B557-M557+C557-N557+D557-O557</f>
        <v>-6.8197807170657099E-4</v>
      </c>
      <c r="M557" s="3">
        <v>0.36799999999999999</v>
      </c>
      <c r="N557" s="3">
        <v>1.2889999999999999</v>
      </c>
      <c r="O557" s="3">
        <v>0.11</v>
      </c>
      <c r="P557" s="35">
        <v>-1.49698E-2</v>
      </c>
      <c r="Q557" s="35">
        <v>0</v>
      </c>
      <c r="R557" s="35">
        <v>0</v>
      </c>
      <c r="S557" s="35">
        <v>-4.76502E-3</v>
      </c>
      <c r="T557" s="35">
        <v>4.76502E-3</v>
      </c>
      <c r="U557" s="35">
        <v>0</v>
      </c>
      <c r="V557" s="35">
        <v>0</v>
      </c>
    </row>
    <row r="558" spans="1:22">
      <c r="A558" s="7" t="s">
        <v>155</v>
      </c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-1.4990516053215155E-2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L558" s="3">
        <f t="shared" si="75"/>
        <v>1.3110877147995414E-4</v>
      </c>
      <c r="M558" s="3">
        <v>1.9870000000000001</v>
      </c>
      <c r="N558" s="3">
        <v>1.2689999999999999</v>
      </c>
      <c r="O558" s="3">
        <v>3.2000000000000001E-2</v>
      </c>
      <c r="P558" s="35">
        <v>0</v>
      </c>
      <c r="Q558" s="35">
        <v>-1.49698E-2</v>
      </c>
      <c r="R558" s="35">
        <v>0</v>
      </c>
      <c r="S558" s="35">
        <v>-4.76502E-3</v>
      </c>
      <c r="T558" s="35">
        <v>0</v>
      </c>
      <c r="U558" s="35">
        <v>4.76502E-3</v>
      </c>
      <c r="V558" s="35">
        <v>0</v>
      </c>
    </row>
    <row r="559" spans="1:22">
      <c r="A559" s="7"/>
      <c r="B559" s="8">
        <v>1.3773893306068323</v>
      </c>
      <c r="C559" s="8">
        <v>1.5521003879162059</v>
      </c>
      <c r="D559" s="8">
        <v>-0.65590292152571228</v>
      </c>
      <c r="E559" s="7">
        <v>0</v>
      </c>
      <c r="F559" s="7">
        <v>0</v>
      </c>
      <c r="G559" s="7">
        <v>-1.4990516053215155E-2</v>
      </c>
      <c r="H559" s="7">
        <v>0</v>
      </c>
      <c r="I559" s="7">
        <v>0</v>
      </c>
      <c r="J559" s="7">
        <v>0</v>
      </c>
      <c r="K559" s="7">
        <v>0</v>
      </c>
      <c r="L559" s="3">
        <f t="shared" si="75"/>
        <v>-4.1320300267400079E-4</v>
      </c>
      <c r="M559" s="3">
        <v>1.3779999999999999</v>
      </c>
      <c r="N559" s="3">
        <v>1.552</v>
      </c>
      <c r="O559" s="3">
        <v>-0.65600000000000003</v>
      </c>
      <c r="P559" s="35">
        <v>0</v>
      </c>
      <c r="Q559" s="35">
        <v>0</v>
      </c>
      <c r="R559" s="35">
        <v>-1.49698E-2</v>
      </c>
      <c r="S559" s="35">
        <v>-4.76502E-3</v>
      </c>
      <c r="T559" s="35">
        <v>0</v>
      </c>
      <c r="U559" s="35">
        <v>0</v>
      </c>
      <c r="V559" s="35">
        <v>4.76502E-3</v>
      </c>
    </row>
    <row r="560" spans="1:22">
      <c r="A560" s="7"/>
      <c r="B560" s="8"/>
      <c r="C560" s="8"/>
      <c r="D560" s="8"/>
      <c r="E560" s="7"/>
      <c r="F560" s="7"/>
      <c r="G560" s="7"/>
      <c r="H560" s="7"/>
      <c r="I560" s="7"/>
      <c r="J560" s="7"/>
      <c r="K560" s="7"/>
    </row>
    <row r="561" spans="1:22">
      <c r="A561" s="7"/>
      <c r="B561" s="8">
        <v>-1.4421025939282253</v>
      </c>
      <c r="C561" s="8">
        <v>-1.0431877148697888</v>
      </c>
      <c r="D561" s="8">
        <v>-0.78932433807079116</v>
      </c>
      <c r="E561" s="7">
        <v>-1.4990516053215155E-2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3">
        <f t="shared" ref="L561:L597" si="78">B561-M561+C561-N561+D561-O561</f>
        <v>-6.1464686880530195E-4</v>
      </c>
      <c r="M561" s="3">
        <v>-1.4419999999999999</v>
      </c>
      <c r="N561" s="3">
        <v>-1.0429999999999999</v>
      </c>
      <c r="O561" s="3">
        <v>-0.78900000000000003</v>
      </c>
      <c r="P561" s="35">
        <v>-1.49698E-2</v>
      </c>
      <c r="Q561" s="35">
        <v>0</v>
      </c>
      <c r="R561" s="35">
        <v>0</v>
      </c>
      <c r="S561" s="35">
        <v>-4.76502E-3</v>
      </c>
      <c r="T561" s="35">
        <v>4.76502E-3</v>
      </c>
      <c r="U561" s="35">
        <v>0</v>
      </c>
      <c r="V561" s="35">
        <v>0</v>
      </c>
    </row>
    <row r="562" spans="1:22">
      <c r="A562" s="7" t="s">
        <v>156</v>
      </c>
      <c r="B562" s="8">
        <v>-2.6959782234951333</v>
      </c>
      <c r="C562" s="8">
        <v>-1.0757798809975587</v>
      </c>
      <c r="D562" s="8">
        <v>-4.997772423355884E-2</v>
      </c>
      <c r="E562" s="7">
        <v>0</v>
      </c>
      <c r="F562" s="7">
        <v>-1.4990516053215155E-2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L562" s="3">
        <f t="shared" si="75"/>
        <v>2.6417127374940563E-4</v>
      </c>
      <c r="M562" s="3">
        <v>-2.6960000000000002</v>
      </c>
      <c r="N562" s="3">
        <v>-1.0760000000000001</v>
      </c>
      <c r="O562" s="3">
        <v>-0.05</v>
      </c>
      <c r="P562" s="35">
        <v>0</v>
      </c>
      <c r="Q562" s="35">
        <v>-1.49698E-2</v>
      </c>
      <c r="R562" s="35">
        <v>0</v>
      </c>
      <c r="S562" s="35">
        <v>-4.76502E-3</v>
      </c>
      <c r="T562" s="35">
        <v>0</v>
      </c>
      <c r="U562" s="35">
        <v>4.76502E-3</v>
      </c>
      <c r="V562" s="35">
        <v>0</v>
      </c>
    </row>
    <row r="563" spans="1:22">
      <c r="A563" s="7"/>
      <c r="B563" s="8">
        <v>-0.40019020491700363</v>
      </c>
      <c r="C563" s="8">
        <v>-1.0840062473010013</v>
      </c>
      <c r="D563" s="8">
        <v>-1.6840506224230944E-2</v>
      </c>
      <c r="E563" s="7">
        <v>0</v>
      </c>
      <c r="F563" s="7">
        <v>0</v>
      </c>
      <c r="G563" s="7">
        <v>-1.4990516053215155E-2</v>
      </c>
      <c r="H563" s="7">
        <v>0</v>
      </c>
      <c r="I563" s="7">
        <v>0</v>
      </c>
      <c r="J563" s="7">
        <v>0</v>
      </c>
      <c r="K563" s="7">
        <v>0</v>
      </c>
      <c r="L563" s="3">
        <f t="shared" si="75"/>
        <v>-3.6958442235626721E-5</v>
      </c>
      <c r="M563" s="3">
        <v>-0.4</v>
      </c>
      <c r="N563" s="3">
        <v>-1.0840000000000001</v>
      </c>
      <c r="O563" s="3">
        <v>-1.7000000000000001E-2</v>
      </c>
      <c r="P563" s="35">
        <v>0</v>
      </c>
      <c r="Q563" s="35">
        <v>0</v>
      </c>
      <c r="R563" s="35">
        <v>-1.49698E-2</v>
      </c>
      <c r="S563" s="35">
        <v>-4.76502E-3</v>
      </c>
      <c r="T563" s="35">
        <v>0</v>
      </c>
      <c r="U563" s="35">
        <v>0</v>
      </c>
      <c r="V563" s="35">
        <v>4.76502E-3</v>
      </c>
    </row>
    <row r="564" spans="1:22">
      <c r="A564" s="7"/>
      <c r="B564" s="8"/>
      <c r="C564" s="8"/>
      <c r="D564" s="8"/>
      <c r="E564" s="7"/>
      <c r="F564" s="7"/>
      <c r="G564" s="7"/>
      <c r="H564" s="7"/>
      <c r="I564" s="7"/>
      <c r="J564" s="7"/>
      <c r="K564" s="7"/>
    </row>
    <row r="565" spans="1:22">
      <c r="A565" s="7"/>
      <c r="B565" s="8">
        <v>-1.4421025939282253</v>
      </c>
      <c r="C565" s="8">
        <v>-1.0431877148697888</v>
      </c>
      <c r="D565" s="8">
        <v>-0.78932433807079116</v>
      </c>
      <c r="E565" s="7">
        <v>-1.4990516053215155E-2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3">
        <f t="shared" ref="L565:L601" si="79">B565-M565+C565-N565+D565-O565</f>
        <v>-6.1464686880530195E-4</v>
      </c>
      <c r="M565" s="3">
        <v>-1.4419999999999999</v>
      </c>
      <c r="N565" s="3">
        <v>-1.0429999999999999</v>
      </c>
      <c r="O565" s="3">
        <v>-0.78900000000000003</v>
      </c>
      <c r="P565" s="35">
        <v>-1.49698E-2</v>
      </c>
      <c r="Q565" s="35">
        <v>0</v>
      </c>
      <c r="R565" s="35">
        <v>0</v>
      </c>
      <c r="S565" s="35">
        <v>-4.76502E-3</v>
      </c>
      <c r="T565" s="35">
        <v>4.76502E-3</v>
      </c>
      <c r="U565" s="35">
        <v>0</v>
      </c>
      <c r="V565" s="35">
        <v>0</v>
      </c>
    </row>
    <row r="566" spans="1:22">
      <c r="A566" s="7" t="s">
        <v>157</v>
      </c>
      <c r="B566" s="8">
        <v>-2.6959782234951333</v>
      </c>
      <c r="C566" s="8">
        <v>-1.0757798809975587</v>
      </c>
      <c r="D566" s="8">
        <v>-4.997772423355884E-2</v>
      </c>
      <c r="E566" s="7">
        <v>0</v>
      </c>
      <c r="F566" s="7">
        <v>-1.4990516053215155E-2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L566" s="3">
        <f t="shared" si="75"/>
        <v>2.6417127374940563E-4</v>
      </c>
      <c r="M566" s="3">
        <v>-2.6960000000000002</v>
      </c>
      <c r="N566" s="3">
        <v>-1.0760000000000001</v>
      </c>
      <c r="O566" s="3">
        <v>-0.05</v>
      </c>
      <c r="P566" s="35">
        <v>0</v>
      </c>
      <c r="Q566" s="35">
        <v>-1.49698E-2</v>
      </c>
      <c r="R566" s="35">
        <v>0</v>
      </c>
      <c r="S566" s="35">
        <v>-4.76502E-3</v>
      </c>
      <c r="T566" s="35">
        <v>0</v>
      </c>
      <c r="U566" s="35">
        <v>4.76502E-3</v>
      </c>
      <c r="V566" s="35">
        <v>0</v>
      </c>
    </row>
    <row r="567" spans="1:22">
      <c r="A567" s="7"/>
      <c r="B567" s="8">
        <v>-2.8449497700634536</v>
      </c>
      <c r="C567" s="8">
        <v>-0.22852225552422287</v>
      </c>
      <c r="D567" s="8">
        <v>-6.9737163040410666E-2</v>
      </c>
      <c r="E567" s="7">
        <v>0</v>
      </c>
      <c r="F567" s="7">
        <v>0</v>
      </c>
      <c r="G567" s="7">
        <v>-1.4990516053215155E-2</v>
      </c>
      <c r="H567" s="7">
        <v>0</v>
      </c>
      <c r="I567" s="7">
        <v>0</v>
      </c>
      <c r="J567" s="7">
        <v>0</v>
      </c>
      <c r="K567" s="7">
        <v>0</v>
      </c>
      <c r="L567" s="3">
        <f t="shared" si="75"/>
        <v>-2.0918862808694261E-4</v>
      </c>
      <c r="M567" s="3">
        <v>-2.8450000000000002</v>
      </c>
      <c r="N567" s="3">
        <v>-0.22800000000000001</v>
      </c>
      <c r="O567" s="3">
        <v>-7.0000000000000007E-2</v>
      </c>
      <c r="P567" s="35">
        <v>0</v>
      </c>
      <c r="Q567" s="35">
        <v>0</v>
      </c>
      <c r="R567" s="35">
        <v>-1.49698E-2</v>
      </c>
      <c r="S567" s="35">
        <v>-4.76502E-3</v>
      </c>
      <c r="T567" s="35">
        <v>0</v>
      </c>
      <c r="U567" s="35">
        <v>0</v>
      </c>
      <c r="V567" s="35">
        <v>4.76502E-3</v>
      </c>
    </row>
    <row r="568" spans="1:22">
      <c r="A568" s="7"/>
      <c r="B568" s="8"/>
      <c r="C568" s="8"/>
      <c r="D568" s="8"/>
      <c r="E568" s="7"/>
      <c r="F568" s="7"/>
      <c r="G568" s="7"/>
      <c r="H568" s="7"/>
      <c r="I568" s="7"/>
      <c r="J568" s="7"/>
      <c r="K568" s="7"/>
    </row>
    <row r="569" spans="1:22">
      <c r="A569" s="7"/>
      <c r="B569" s="8">
        <v>-1.4421025939282253</v>
      </c>
      <c r="C569" s="8">
        <v>-1.0431877148697888</v>
      </c>
      <c r="D569" s="8">
        <v>-0.78932433807079116</v>
      </c>
      <c r="E569" s="7">
        <v>-1.4990516053215155E-2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3">
        <f t="shared" ref="L569:L605" si="80">B569-M569+C569-N569+D569-O569</f>
        <v>-6.1464686880530195E-4</v>
      </c>
      <c r="M569" s="3">
        <v>-1.4419999999999999</v>
      </c>
      <c r="N569" s="3">
        <v>-1.0429999999999999</v>
      </c>
      <c r="O569" s="3">
        <v>-0.78900000000000003</v>
      </c>
      <c r="P569" s="35">
        <v>-1.49698E-2</v>
      </c>
      <c r="Q569" s="35">
        <v>0</v>
      </c>
      <c r="R569" s="35">
        <v>0</v>
      </c>
      <c r="S569" s="35">
        <v>-4.76502E-3</v>
      </c>
      <c r="T569" s="35">
        <v>4.76502E-3</v>
      </c>
      <c r="U569" s="35">
        <v>0</v>
      </c>
      <c r="V569" s="35">
        <v>0</v>
      </c>
    </row>
    <row r="570" spans="1:22">
      <c r="A570" s="7" t="s">
        <v>158</v>
      </c>
      <c r="B570" s="8">
        <v>-2.6959782234951333</v>
      </c>
      <c r="C570" s="8">
        <v>-1.0757798809975587</v>
      </c>
      <c r="D570" s="8">
        <v>-4.997772423355884E-2</v>
      </c>
      <c r="E570" s="7">
        <v>0</v>
      </c>
      <c r="F570" s="7">
        <v>-1.4990516053215155E-2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L570" s="3">
        <f t="shared" si="75"/>
        <v>2.6417127374940563E-4</v>
      </c>
      <c r="M570" s="3">
        <v>-2.6960000000000002</v>
      </c>
      <c r="N570" s="3">
        <v>-1.0760000000000001</v>
      </c>
      <c r="O570" s="3">
        <v>-0.05</v>
      </c>
      <c r="P570" s="35">
        <v>0</v>
      </c>
      <c r="Q570" s="35">
        <v>-1.49698E-2</v>
      </c>
      <c r="R570" s="35">
        <v>0</v>
      </c>
      <c r="S570" s="35">
        <v>-4.76502E-3</v>
      </c>
      <c r="T570" s="35">
        <v>0</v>
      </c>
      <c r="U570" s="35">
        <v>4.76502E-3</v>
      </c>
      <c r="V570" s="35">
        <v>0</v>
      </c>
    </row>
    <row r="571" spans="1:22">
      <c r="A571" s="7"/>
      <c r="B571" s="8">
        <v>-2.4772611105726599</v>
      </c>
      <c r="C571" s="8">
        <v>1.0605572692523213</v>
      </c>
      <c r="D571" s="8">
        <v>3.9812674620544719E-2</v>
      </c>
      <c r="E571" s="7">
        <v>0</v>
      </c>
      <c r="F571" s="7">
        <v>0</v>
      </c>
      <c r="G571" s="7">
        <v>-1.4990516053215155E-2</v>
      </c>
      <c r="H571" s="7">
        <v>0</v>
      </c>
      <c r="I571" s="7">
        <v>0</v>
      </c>
      <c r="J571" s="7">
        <v>0</v>
      </c>
      <c r="K571" s="7">
        <v>0</v>
      </c>
      <c r="L571" s="3">
        <f t="shared" si="75"/>
        <v>-8.9116669979390911E-4</v>
      </c>
      <c r="M571" s="3">
        <v>-2.4769999999999999</v>
      </c>
      <c r="N571" s="3">
        <v>1.0609999999999999</v>
      </c>
      <c r="O571" s="3">
        <v>0.04</v>
      </c>
      <c r="P571" s="35">
        <v>0</v>
      </c>
      <c r="Q571" s="35">
        <v>0</v>
      </c>
      <c r="R571" s="35">
        <v>-1.49698E-2</v>
      </c>
      <c r="S571" s="35">
        <v>-4.76502E-3</v>
      </c>
      <c r="T571" s="35">
        <v>0</v>
      </c>
      <c r="U571" s="35">
        <v>0</v>
      </c>
      <c r="V571" s="35">
        <v>4.76502E-3</v>
      </c>
    </row>
    <row r="572" spans="1:22">
      <c r="A572" s="7"/>
      <c r="B572" s="8"/>
      <c r="C572" s="8"/>
      <c r="D572" s="8"/>
      <c r="E572" s="7"/>
      <c r="F572" s="7"/>
      <c r="G572" s="7"/>
      <c r="H572" s="7"/>
      <c r="I572" s="7"/>
      <c r="J572" s="7"/>
      <c r="K572" s="7"/>
    </row>
    <row r="573" spans="1:22">
      <c r="A573" s="7"/>
      <c r="B573" s="8">
        <v>-1.4421025939282253</v>
      </c>
      <c r="C573" s="8">
        <v>-1.0431877148697888</v>
      </c>
      <c r="D573" s="8">
        <v>-0.78932433807079116</v>
      </c>
      <c r="E573" s="7">
        <v>-1.4990516053215155E-2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3">
        <f t="shared" ref="L573:L609" si="81">B573-M573+C573-N573+D573-O573</f>
        <v>-6.1464686880530195E-4</v>
      </c>
      <c r="M573" s="3">
        <v>-1.4419999999999999</v>
      </c>
      <c r="N573" s="3">
        <v>-1.0429999999999999</v>
      </c>
      <c r="O573" s="3">
        <v>-0.78900000000000003</v>
      </c>
      <c r="P573" s="35">
        <v>-1.49698E-2</v>
      </c>
      <c r="Q573" s="35">
        <v>0</v>
      </c>
      <c r="R573" s="35">
        <v>0</v>
      </c>
      <c r="S573" s="35">
        <v>-4.76502E-3</v>
      </c>
      <c r="T573" s="35">
        <v>4.76502E-3</v>
      </c>
      <c r="U573" s="35">
        <v>0</v>
      </c>
      <c r="V573" s="35">
        <v>0</v>
      </c>
    </row>
    <row r="574" spans="1:22">
      <c r="A574" s="7" t="s">
        <v>159</v>
      </c>
      <c r="B574" s="8">
        <v>-2.6959782234951333</v>
      </c>
      <c r="C574" s="8">
        <v>-1.0757798809975587</v>
      </c>
      <c r="D574" s="8">
        <v>-4.997772423355884E-2</v>
      </c>
      <c r="E574" s="7">
        <v>0</v>
      </c>
      <c r="F574" s="7">
        <v>-1.4990516053215155E-2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L574" s="3">
        <f t="shared" si="75"/>
        <v>2.6417127374940563E-4</v>
      </c>
      <c r="M574" s="3">
        <v>-2.6960000000000002</v>
      </c>
      <c r="N574" s="3">
        <v>-1.0760000000000001</v>
      </c>
      <c r="O574" s="3">
        <v>-0.05</v>
      </c>
      <c r="P574" s="35">
        <v>0</v>
      </c>
      <c r="Q574" s="35">
        <v>-1.49698E-2</v>
      </c>
      <c r="R574" s="35">
        <v>0</v>
      </c>
      <c r="S574" s="35">
        <v>-4.76502E-3</v>
      </c>
      <c r="T574" s="35">
        <v>0</v>
      </c>
      <c r="U574" s="35">
        <v>4.76502E-3</v>
      </c>
      <c r="V574" s="35">
        <v>0</v>
      </c>
    </row>
    <row r="575" spans="1:22">
      <c r="A575" s="7"/>
      <c r="B575" s="8">
        <v>-0.85843073718374274</v>
      </c>
      <c r="C575" s="8">
        <v>1.040962775001312</v>
      </c>
      <c r="D575" s="8">
        <v>-3.7610117674176324E-2</v>
      </c>
      <c r="E575" s="7">
        <v>0</v>
      </c>
      <c r="F575" s="7">
        <v>0</v>
      </c>
      <c r="G575" s="7">
        <v>-1.4990516053215155E-2</v>
      </c>
      <c r="H575" s="7">
        <v>0</v>
      </c>
      <c r="I575" s="7">
        <v>0</v>
      </c>
      <c r="J575" s="7">
        <v>0</v>
      </c>
      <c r="K575" s="7">
        <v>0</v>
      </c>
      <c r="L575" s="3">
        <f t="shared" si="75"/>
        <v>-7.807985660693989E-5</v>
      </c>
      <c r="M575" s="3">
        <v>-0.85799999999999998</v>
      </c>
      <c r="N575" s="3">
        <v>1.0409999999999999</v>
      </c>
      <c r="O575" s="3">
        <v>-3.7999999999999999E-2</v>
      </c>
      <c r="P575" s="35">
        <v>0</v>
      </c>
      <c r="Q575" s="35">
        <v>0</v>
      </c>
      <c r="R575" s="35">
        <v>-1.49698E-2</v>
      </c>
      <c r="S575" s="35">
        <v>-4.76502E-3</v>
      </c>
      <c r="T575" s="35">
        <v>0</v>
      </c>
      <c r="U575" s="35">
        <v>0</v>
      </c>
      <c r="V575" s="35">
        <v>4.76502E-3</v>
      </c>
    </row>
    <row r="576" spans="1:22">
      <c r="A576" s="7"/>
      <c r="B576" s="8"/>
      <c r="C576" s="8"/>
      <c r="D576" s="8"/>
      <c r="E576" s="7"/>
      <c r="F576" s="7"/>
      <c r="G576" s="7"/>
      <c r="H576" s="7"/>
      <c r="I576" s="7"/>
      <c r="J576" s="7"/>
      <c r="K576" s="7"/>
    </row>
    <row r="577" spans="1:22">
      <c r="A577" s="7"/>
      <c r="B577" s="8">
        <v>-1.4421025939282253</v>
      </c>
      <c r="C577" s="8">
        <v>-1.0431877148697888</v>
      </c>
      <c r="D577" s="8">
        <v>-0.78932433807079116</v>
      </c>
      <c r="E577" s="7">
        <v>-1.4990516053215155E-2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3">
        <f t="shared" ref="L577" si="82">B577-M577+C577-N577+D577-O577</f>
        <v>-6.1464686880530195E-4</v>
      </c>
      <c r="M577" s="3">
        <v>-1.4419999999999999</v>
      </c>
      <c r="N577" s="3">
        <v>-1.0429999999999999</v>
      </c>
      <c r="O577" s="3">
        <v>-0.78900000000000003</v>
      </c>
      <c r="P577" s="35">
        <v>-1.49698E-2</v>
      </c>
      <c r="Q577" s="35">
        <v>0</v>
      </c>
      <c r="R577" s="35">
        <v>0</v>
      </c>
      <c r="S577" s="35">
        <v>-4.76502E-3</v>
      </c>
      <c r="T577" s="35">
        <v>4.76502E-3</v>
      </c>
      <c r="U577" s="35">
        <v>0</v>
      </c>
      <c r="V577" s="35">
        <v>0</v>
      </c>
    </row>
    <row r="578" spans="1:22">
      <c r="A578" s="7" t="s">
        <v>160</v>
      </c>
      <c r="B578" s="8">
        <v>-2.6959782234951333</v>
      </c>
      <c r="C578" s="8">
        <v>-1.0757798809975587</v>
      </c>
      <c r="D578" s="8">
        <v>-4.997772423355884E-2</v>
      </c>
      <c r="E578" s="7">
        <v>0</v>
      </c>
      <c r="F578" s="7">
        <v>-1.4990516053215155E-2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L578" s="3">
        <f t="shared" si="74"/>
        <v>2.6417127374940563E-4</v>
      </c>
      <c r="M578" s="3">
        <v>-2.6960000000000002</v>
      </c>
      <c r="N578" s="3">
        <v>-1.0760000000000001</v>
      </c>
      <c r="O578" s="3">
        <v>-0.05</v>
      </c>
      <c r="P578" s="35">
        <v>0</v>
      </c>
      <c r="Q578" s="35">
        <v>-1.49698E-2</v>
      </c>
      <c r="R578" s="35">
        <v>0</v>
      </c>
      <c r="S578" s="35">
        <v>-4.76502E-3</v>
      </c>
      <c r="T578" s="35">
        <v>0</v>
      </c>
      <c r="U578" s="35">
        <v>4.76502E-3</v>
      </c>
      <c r="V578" s="35">
        <v>0</v>
      </c>
    </row>
    <row r="579" spans="1:22">
      <c r="A579" s="7"/>
      <c r="B579" s="8">
        <v>-1.4675604394566215</v>
      </c>
      <c r="C579" s="8">
        <v>1.3235781323919831</v>
      </c>
      <c r="D579" s="8">
        <v>-0.72564008456612294</v>
      </c>
      <c r="E579" s="7">
        <v>0</v>
      </c>
      <c r="F579" s="7">
        <v>0</v>
      </c>
      <c r="G579" s="7">
        <v>-1.4990516053215155E-2</v>
      </c>
      <c r="H579" s="7">
        <v>0</v>
      </c>
      <c r="I579" s="7">
        <v>0</v>
      </c>
      <c r="J579" s="7">
        <v>0</v>
      </c>
      <c r="K579" s="7">
        <v>0</v>
      </c>
      <c r="L579" s="3">
        <f t="shared" si="74"/>
        <v>-6.2239163076138748E-4</v>
      </c>
      <c r="M579" s="3">
        <v>-1.4670000000000001</v>
      </c>
      <c r="N579" s="3">
        <v>1.3240000000000001</v>
      </c>
      <c r="O579" s="3">
        <v>-0.72599999999999998</v>
      </c>
      <c r="P579" s="35">
        <v>0</v>
      </c>
      <c r="Q579" s="35">
        <v>0</v>
      </c>
      <c r="R579" s="35">
        <v>-1.49698E-2</v>
      </c>
      <c r="S579" s="35">
        <v>-4.76502E-3</v>
      </c>
      <c r="T579" s="35">
        <v>0</v>
      </c>
      <c r="U579" s="35">
        <v>0</v>
      </c>
      <c r="V579" s="35">
        <v>4.76502E-3</v>
      </c>
    </row>
    <row r="580" spans="1:22">
      <c r="A580" s="7"/>
      <c r="B580" s="8"/>
      <c r="C580" s="8"/>
      <c r="D580" s="8"/>
      <c r="E580" s="7"/>
      <c r="F580" s="7"/>
      <c r="G580" s="7"/>
      <c r="H580" s="7"/>
      <c r="I580" s="7"/>
      <c r="J580" s="7"/>
      <c r="K580" s="7"/>
    </row>
    <row r="581" spans="1:22">
      <c r="A581" s="7"/>
      <c r="B581" s="8">
        <v>-1.4421025939282253</v>
      </c>
      <c r="C581" s="8">
        <v>-1.0431877148697888</v>
      </c>
      <c r="D581" s="8">
        <v>-0.78932433807079116</v>
      </c>
      <c r="E581" s="7">
        <v>-1.4990516053215155E-2</v>
      </c>
      <c r="F581" s="7">
        <v>0</v>
      </c>
      <c r="G581" s="7">
        <v>0</v>
      </c>
      <c r="H581" s="7">
        <v>-1.6236379226863738E-2</v>
      </c>
      <c r="I581" s="7">
        <v>2.1796664656245589E-2</v>
      </c>
      <c r="J581" s="7">
        <v>0</v>
      </c>
      <c r="K581" s="7">
        <v>0</v>
      </c>
      <c r="L581" s="3">
        <f t="shared" si="75"/>
        <v>-6.1464686880530195E-4</v>
      </c>
      <c r="M581" s="3">
        <v>-1.4419999999999999</v>
      </c>
      <c r="N581" s="3">
        <v>-1.0429999999999999</v>
      </c>
      <c r="O581" s="3">
        <v>-0.78900000000000003</v>
      </c>
      <c r="P581" s="35">
        <v>-1.49698E-2</v>
      </c>
      <c r="Q581" s="35">
        <v>0</v>
      </c>
      <c r="R581" s="35">
        <v>0</v>
      </c>
      <c r="S581" s="35">
        <v>-4.76502E-3</v>
      </c>
      <c r="T581" s="35">
        <v>4.76502E-3</v>
      </c>
      <c r="U581" s="35">
        <v>0</v>
      </c>
      <c r="V581" s="35">
        <v>0</v>
      </c>
    </row>
    <row r="582" spans="1:22">
      <c r="A582" s="7" t="s">
        <v>161</v>
      </c>
      <c r="B582" s="8">
        <v>-0.40019020491700363</v>
      </c>
      <c r="C582" s="8">
        <v>-1.0840062473010013</v>
      </c>
      <c r="D582" s="8">
        <v>-1.6840506224230944E-2</v>
      </c>
      <c r="E582" s="7">
        <v>0</v>
      </c>
      <c r="F582" s="7">
        <v>-1.4990516053215155E-2</v>
      </c>
      <c r="G582" s="7">
        <v>0</v>
      </c>
      <c r="H582" s="7">
        <v>-1.6236379226863738E-2</v>
      </c>
      <c r="I582" s="7">
        <v>0</v>
      </c>
      <c r="J582" s="7">
        <v>2.2872089329671663E-2</v>
      </c>
      <c r="K582" s="7">
        <v>0</v>
      </c>
      <c r="L582" s="3">
        <f t="shared" si="75"/>
        <v>-3.6958442235626721E-5</v>
      </c>
      <c r="M582" s="3">
        <v>-0.4</v>
      </c>
      <c r="N582" s="3">
        <v>-1.0840000000000001</v>
      </c>
      <c r="O582" s="3">
        <v>-1.7000000000000001E-2</v>
      </c>
      <c r="P582" s="35">
        <v>0</v>
      </c>
      <c r="Q582" s="35">
        <v>-1.49698E-2</v>
      </c>
      <c r="R582" s="35">
        <v>0</v>
      </c>
      <c r="S582" s="35">
        <v>-4.76502E-3</v>
      </c>
      <c r="T582" s="35">
        <v>0</v>
      </c>
      <c r="U582" s="35">
        <v>4.76502E-3</v>
      </c>
      <c r="V582" s="35">
        <v>0</v>
      </c>
    </row>
    <row r="583" spans="1:22">
      <c r="A583" s="7"/>
      <c r="B583" s="8">
        <v>-2.8449497700634536</v>
      </c>
      <c r="C583" s="8">
        <v>-0.22852225552422287</v>
      </c>
      <c r="D583" s="8">
        <v>-6.9737163040410666E-2</v>
      </c>
      <c r="E583" s="7">
        <v>0</v>
      </c>
      <c r="F583" s="7">
        <v>0</v>
      </c>
      <c r="G583" s="7">
        <v>-1.4990516053215155E-2</v>
      </c>
      <c r="H583" s="7">
        <v>-1.6236379226863738E-2</v>
      </c>
      <c r="I583" s="7">
        <v>0</v>
      </c>
      <c r="J583" s="7">
        <v>0</v>
      </c>
      <c r="K583" s="7">
        <v>2.2385887789414392E-2</v>
      </c>
      <c r="L583" s="3">
        <f t="shared" si="75"/>
        <v>-2.0918862808694261E-4</v>
      </c>
      <c r="M583" s="3">
        <v>-2.8450000000000002</v>
      </c>
      <c r="N583" s="3">
        <v>-0.22800000000000001</v>
      </c>
      <c r="O583" s="3">
        <v>-7.0000000000000007E-2</v>
      </c>
      <c r="P583" s="35">
        <v>0</v>
      </c>
      <c r="Q583" s="35">
        <v>0</v>
      </c>
      <c r="R583" s="35">
        <v>-1.49698E-2</v>
      </c>
      <c r="S583" s="35">
        <v>-4.76502E-3</v>
      </c>
      <c r="T583" s="35">
        <v>0</v>
      </c>
      <c r="U583" s="35">
        <v>0</v>
      </c>
      <c r="V583" s="35">
        <v>4.76502E-3</v>
      </c>
    </row>
    <row r="584" spans="1:22">
      <c r="A584" s="7"/>
      <c r="B584" s="8"/>
      <c r="C584" s="8"/>
      <c r="D584" s="8"/>
      <c r="E584" s="7"/>
      <c r="F584" s="7"/>
      <c r="G584" s="7"/>
      <c r="H584" s="7"/>
      <c r="I584" s="7"/>
      <c r="J584" s="7"/>
      <c r="K584" s="7"/>
    </row>
    <row r="585" spans="1:22">
      <c r="A585" s="7"/>
      <c r="B585" s="8">
        <v>-1.4421025939282253</v>
      </c>
      <c r="C585" s="8">
        <v>-1.0431877148697888</v>
      </c>
      <c r="D585" s="8">
        <v>-0.78932433807079116</v>
      </c>
      <c r="E585" s="7">
        <v>-1.4990516053215155E-2</v>
      </c>
      <c r="F585" s="7">
        <v>0</v>
      </c>
      <c r="G585" s="7">
        <v>0</v>
      </c>
      <c r="H585" s="7">
        <v>-1.6236379226863738E-2</v>
      </c>
      <c r="I585" s="7">
        <v>2.1796664656245589E-2</v>
      </c>
      <c r="J585" s="7">
        <v>0</v>
      </c>
      <c r="K585" s="7">
        <v>0</v>
      </c>
      <c r="L585" s="3">
        <f t="shared" si="75"/>
        <v>-6.1464686880530195E-4</v>
      </c>
      <c r="M585" s="3">
        <v>-1.4419999999999999</v>
      </c>
      <c r="N585" s="3">
        <v>-1.0429999999999999</v>
      </c>
      <c r="O585" s="3">
        <v>-0.78900000000000003</v>
      </c>
      <c r="P585" s="35">
        <v>-1.49698E-2</v>
      </c>
      <c r="Q585" s="35">
        <v>0</v>
      </c>
      <c r="R585" s="35">
        <v>0</v>
      </c>
      <c r="S585" s="35">
        <v>-4.76502E-3</v>
      </c>
      <c r="T585" s="35">
        <v>4.76502E-3</v>
      </c>
      <c r="U585" s="35">
        <v>0</v>
      </c>
      <c r="V585" s="35">
        <v>0</v>
      </c>
    </row>
    <row r="586" spans="1:22">
      <c r="A586" s="7" t="s">
        <v>162</v>
      </c>
      <c r="B586" s="8">
        <v>-0.40019020491700363</v>
      </c>
      <c r="C586" s="8">
        <v>-1.0840062473010013</v>
      </c>
      <c r="D586" s="8">
        <v>-1.6840506224230944E-2</v>
      </c>
      <c r="E586" s="7">
        <v>0</v>
      </c>
      <c r="F586" s="7">
        <v>-1.4990516053215155E-2</v>
      </c>
      <c r="G586" s="7">
        <v>0</v>
      </c>
      <c r="H586" s="7">
        <v>-1.6236379226863738E-2</v>
      </c>
      <c r="I586" s="7">
        <v>0</v>
      </c>
      <c r="J586" s="7">
        <v>2.2872089329671663E-2</v>
      </c>
      <c r="K586" s="7">
        <v>0</v>
      </c>
      <c r="L586" s="3">
        <f t="shared" si="75"/>
        <v>-3.6958442235626721E-5</v>
      </c>
      <c r="M586" s="3">
        <v>-0.4</v>
      </c>
      <c r="N586" s="3">
        <v>-1.0840000000000001</v>
      </c>
      <c r="O586" s="3">
        <v>-1.7000000000000001E-2</v>
      </c>
      <c r="P586" s="35">
        <v>0</v>
      </c>
      <c r="Q586" s="35">
        <v>-1.49698E-2</v>
      </c>
      <c r="R586" s="35">
        <v>0</v>
      </c>
      <c r="S586" s="35">
        <v>-4.76502E-3</v>
      </c>
      <c r="T586" s="35">
        <v>0</v>
      </c>
      <c r="U586" s="35">
        <v>4.76502E-3</v>
      </c>
      <c r="V586" s="35">
        <v>0</v>
      </c>
    </row>
    <row r="587" spans="1:22">
      <c r="A587" s="7"/>
      <c r="B587" s="8">
        <v>-2.4772611105726599</v>
      </c>
      <c r="C587" s="8">
        <v>1.0605572692523213</v>
      </c>
      <c r="D587" s="8">
        <v>3.9812674620544719E-2</v>
      </c>
      <c r="E587" s="7">
        <v>0</v>
      </c>
      <c r="F587" s="7">
        <v>0</v>
      </c>
      <c r="G587" s="7">
        <v>-1.4990516053215155E-2</v>
      </c>
      <c r="H587" s="7">
        <v>-1.6236379226863738E-2</v>
      </c>
      <c r="I587" s="7">
        <v>0</v>
      </c>
      <c r="J587" s="7">
        <v>0</v>
      </c>
      <c r="K587" s="7">
        <v>1.5970575730977998E-2</v>
      </c>
      <c r="L587" s="3">
        <f t="shared" si="75"/>
        <v>-8.9116669979390911E-4</v>
      </c>
      <c r="M587" s="3">
        <v>-2.4769999999999999</v>
      </c>
      <c r="N587" s="3">
        <v>1.0609999999999999</v>
      </c>
      <c r="O587" s="3">
        <v>0.04</v>
      </c>
      <c r="P587" s="35">
        <v>0</v>
      </c>
      <c r="Q587" s="35">
        <v>0</v>
      </c>
      <c r="R587" s="35">
        <v>-1.49698E-2</v>
      </c>
      <c r="S587" s="35">
        <v>-4.76502E-3</v>
      </c>
      <c r="T587" s="35">
        <v>0</v>
      </c>
      <c r="U587" s="35">
        <v>0</v>
      </c>
      <c r="V587" s="35">
        <v>4.76502E-3</v>
      </c>
    </row>
    <row r="588" spans="1:22">
      <c r="A588" s="7"/>
      <c r="B588" s="8"/>
      <c r="C588" s="8"/>
      <c r="D588" s="8"/>
      <c r="E588" s="7"/>
      <c r="F588" s="7"/>
      <c r="G588" s="7"/>
      <c r="H588" s="7"/>
      <c r="I588" s="7"/>
      <c r="J588" s="7"/>
      <c r="K588" s="7"/>
    </row>
    <row r="589" spans="1:22">
      <c r="A589" s="7"/>
      <c r="B589" s="8">
        <v>-1.4421025939282253</v>
      </c>
      <c r="C589" s="8">
        <v>-1.0431877148697888</v>
      </c>
      <c r="D589" s="8">
        <v>-0.78932433807079116</v>
      </c>
      <c r="E589" s="7">
        <v>-1.4990516053215155E-2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3">
        <f t="shared" si="76"/>
        <v>-6.1464686880530195E-4</v>
      </c>
      <c r="M589" s="3">
        <v>-1.4419999999999999</v>
      </c>
      <c r="N589" s="3">
        <v>-1.0429999999999999</v>
      </c>
      <c r="O589" s="3">
        <v>-0.78900000000000003</v>
      </c>
      <c r="P589" s="35">
        <v>-1.49698E-2</v>
      </c>
      <c r="Q589" s="35">
        <v>0</v>
      </c>
      <c r="R589" s="35">
        <v>0</v>
      </c>
      <c r="S589" s="35">
        <v>-4.76502E-3</v>
      </c>
      <c r="T589" s="35">
        <v>4.76502E-3</v>
      </c>
      <c r="U589" s="35">
        <v>0</v>
      </c>
      <c r="V589" s="35">
        <v>0</v>
      </c>
    </row>
    <row r="590" spans="1:22">
      <c r="A590" s="7" t="s">
        <v>163</v>
      </c>
      <c r="B590" s="8">
        <v>-0.40019020491700363</v>
      </c>
      <c r="C590" s="8">
        <v>-1.0840062473010013</v>
      </c>
      <c r="D590" s="8">
        <v>-1.6840506224230944E-2</v>
      </c>
      <c r="E590" s="7">
        <v>0</v>
      </c>
      <c r="F590" s="7">
        <v>-1.4990516053215155E-2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L590" s="3">
        <f t="shared" si="75"/>
        <v>-3.6958442235626721E-5</v>
      </c>
      <c r="M590" s="3">
        <v>-0.4</v>
      </c>
      <c r="N590" s="3">
        <v>-1.0840000000000001</v>
      </c>
      <c r="O590" s="3">
        <v>-1.7000000000000001E-2</v>
      </c>
      <c r="P590" s="35">
        <v>0</v>
      </c>
      <c r="Q590" s="35">
        <v>-1.49698E-2</v>
      </c>
      <c r="R590" s="35">
        <v>0</v>
      </c>
      <c r="S590" s="35">
        <v>-4.76502E-3</v>
      </c>
      <c r="T590" s="35">
        <v>0</v>
      </c>
      <c r="U590" s="35">
        <v>4.76502E-3</v>
      </c>
      <c r="V590" s="35">
        <v>0</v>
      </c>
    </row>
    <row r="591" spans="1:22">
      <c r="A591" s="7"/>
      <c r="B591" s="8">
        <v>-0.85843073718374274</v>
      </c>
      <c r="C591" s="8">
        <v>1.040962775001312</v>
      </c>
      <c r="D591" s="8">
        <v>-3.7610117674176324E-2</v>
      </c>
      <c r="E591" s="7">
        <v>0</v>
      </c>
      <c r="F591" s="7">
        <v>0</v>
      </c>
      <c r="G591" s="7">
        <v>-1.4990516053215155E-2</v>
      </c>
      <c r="H591" s="7">
        <v>0</v>
      </c>
      <c r="I591" s="7">
        <v>0</v>
      </c>
      <c r="J591" s="7">
        <v>0</v>
      </c>
      <c r="K591" s="7">
        <v>0</v>
      </c>
      <c r="L591" s="3">
        <f t="shared" si="75"/>
        <v>-7.807985660693989E-5</v>
      </c>
      <c r="M591" s="3">
        <v>-0.85799999999999998</v>
      </c>
      <c r="N591" s="3">
        <v>1.0409999999999999</v>
      </c>
      <c r="O591" s="3">
        <v>-3.7999999999999999E-2</v>
      </c>
      <c r="P591" s="35">
        <v>0</v>
      </c>
      <c r="Q591" s="35">
        <v>0</v>
      </c>
      <c r="R591" s="35">
        <v>-1.49698E-2</v>
      </c>
      <c r="S591" s="35">
        <v>-4.76502E-3</v>
      </c>
      <c r="T591" s="35">
        <v>0</v>
      </c>
      <c r="U591" s="35">
        <v>0</v>
      </c>
      <c r="V591" s="35">
        <v>4.76502E-3</v>
      </c>
    </row>
    <row r="592" spans="1:22">
      <c r="A592" s="7"/>
      <c r="B592" s="8"/>
      <c r="C592" s="8"/>
      <c r="D592" s="8"/>
      <c r="E592" s="7"/>
      <c r="F592" s="7"/>
      <c r="G592" s="7"/>
      <c r="H592" s="7"/>
      <c r="I592" s="7"/>
      <c r="J592" s="7"/>
      <c r="K592" s="7"/>
    </row>
    <row r="593" spans="1:22">
      <c r="A593" s="7"/>
      <c r="B593" s="8">
        <v>-1.4421025939282253</v>
      </c>
      <c r="C593" s="8">
        <v>-1.0431877148697888</v>
      </c>
      <c r="D593" s="8">
        <v>-0.78932433807079116</v>
      </c>
      <c r="E593" s="7">
        <v>-1.4990516053215155E-2</v>
      </c>
      <c r="F593" s="7">
        <v>0</v>
      </c>
      <c r="G593" s="7">
        <v>0</v>
      </c>
      <c r="H593" s="7">
        <v>-1.6236379226863738E-2</v>
      </c>
      <c r="I593" s="7">
        <v>2.1796664656245589E-2</v>
      </c>
      <c r="J593" s="7">
        <v>0</v>
      </c>
      <c r="K593" s="7">
        <v>0</v>
      </c>
      <c r="L593" s="3">
        <f t="shared" si="77"/>
        <v>-6.1464686880530195E-4</v>
      </c>
      <c r="M593" s="3">
        <v>-1.4419999999999999</v>
      </c>
      <c r="N593" s="3">
        <v>-1.0429999999999999</v>
      </c>
      <c r="O593" s="3">
        <v>-0.78900000000000003</v>
      </c>
      <c r="P593" s="35">
        <v>-1.49698E-2</v>
      </c>
      <c r="Q593" s="35">
        <v>0</v>
      </c>
      <c r="R593" s="35">
        <v>0</v>
      </c>
      <c r="S593" s="35">
        <v>-4.76502E-3</v>
      </c>
      <c r="T593" s="35">
        <v>4.76502E-3</v>
      </c>
      <c r="U593" s="35">
        <v>0</v>
      </c>
      <c r="V593" s="35">
        <v>0</v>
      </c>
    </row>
    <row r="594" spans="1:22">
      <c r="A594" s="7" t="s">
        <v>164</v>
      </c>
      <c r="B594" s="8">
        <v>-0.40019020491700363</v>
      </c>
      <c r="C594" s="8">
        <v>-1.0840062473010013</v>
      </c>
      <c r="D594" s="8">
        <v>-1.6840506224230944E-2</v>
      </c>
      <c r="E594" s="7">
        <v>0</v>
      </c>
      <c r="F594" s="7">
        <v>-1.4990516053215155E-2</v>
      </c>
      <c r="G594" s="7">
        <v>0</v>
      </c>
      <c r="H594" s="7">
        <v>-1.6236379226863738E-2</v>
      </c>
      <c r="I594" s="7">
        <v>0</v>
      </c>
      <c r="J594" s="7">
        <v>2.2872089329671663E-2</v>
      </c>
      <c r="K594" s="7">
        <v>0</v>
      </c>
      <c r="L594" s="3">
        <f t="shared" si="75"/>
        <v>-3.6958442235626721E-5</v>
      </c>
      <c r="M594" s="3">
        <v>-0.4</v>
      </c>
      <c r="N594" s="3">
        <v>-1.0840000000000001</v>
      </c>
      <c r="O594" s="3">
        <v>-1.7000000000000001E-2</v>
      </c>
      <c r="P594" s="35">
        <v>0</v>
      </c>
      <c r="Q594" s="35">
        <v>-1.49698E-2</v>
      </c>
      <c r="R594" s="35">
        <v>0</v>
      </c>
      <c r="S594" s="35">
        <v>-4.76502E-3</v>
      </c>
      <c r="T594" s="35">
        <v>0</v>
      </c>
      <c r="U594" s="35">
        <v>4.76502E-3</v>
      </c>
      <c r="V594" s="35">
        <v>0</v>
      </c>
    </row>
    <row r="595" spans="1:22">
      <c r="A595" s="7"/>
      <c r="B595" s="8">
        <v>-1.4675604394566215</v>
      </c>
      <c r="C595" s="8">
        <v>1.3235781323919831</v>
      </c>
      <c r="D595" s="8">
        <v>-0.72564008456612294</v>
      </c>
      <c r="E595" s="7">
        <v>0</v>
      </c>
      <c r="F595" s="7">
        <v>0</v>
      </c>
      <c r="G595" s="7">
        <v>-1.4990516053215155E-2</v>
      </c>
      <c r="H595" s="7">
        <v>-1.6236379226863738E-2</v>
      </c>
      <c r="I595" s="7">
        <v>0</v>
      </c>
      <c r="J595" s="7">
        <v>0</v>
      </c>
      <c r="K595" s="7">
        <v>2.0521745021313972E-2</v>
      </c>
      <c r="L595" s="3">
        <f t="shared" si="75"/>
        <v>-6.2239163076138748E-4</v>
      </c>
      <c r="M595" s="3">
        <v>-1.4670000000000001</v>
      </c>
      <c r="N595" s="3">
        <v>1.3240000000000001</v>
      </c>
      <c r="O595" s="3">
        <v>-0.72599999999999998</v>
      </c>
      <c r="P595" s="35">
        <v>0</v>
      </c>
      <c r="Q595" s="35">
        <v>0</v>
      </c>
      <c r="R595" s="35">
        <v>-1.49698E-2</v>
      </c>
      <c r="S595" s="35">
        <v>-4.76502E-3</v>
      </c>
      <c r="T595" s="35">
        <v>0</v>
      </c>
      <c r="U595" s="35">
        <v>0</v>
      </c>
      <c r="V595" s="35">
        <v>4.76502E-3</v>
      </c>
    </row>
    <row r="596" spans="1:22">
      <c r="A596" s="7"/>
      <c r="B596" s="8"/>
      <c r="C596" s="8"/>
      <c r="D596" s="8"/>
      <c r="E596" s="7"/>
      <c r="F596" s="7"/>
      <c r="G596" s="7"/>
      <c r="H596" s="7"/>
      <c r="I596" s="7"/>
      <c r="J596" s="7"/>
      <c r="K596" s="7"/>
    </row>
    <row r="597" spans="1:22">
      <c r="A597" s="7"/>
      <c r="B597" s="8">
        <v>-1.4421025939282253</v>
      </c>
      <c r="C597" s="8">
        <v>-1.0431877148697888</v>
      </c>
      <c r="D597" s="8">
        <v>-0.78932433807079116</v>
      </c>
      <c r="E597" s="7">
        <v>-1.4990516053215155E-2</v>
      </c>
      <c r="F597" s="7">
        <v>0</v>
      </c>
      <c r="G597" s="7">
        <v>0</v>
      </c>
      <c r="H597" s="7">
        <v>-1.6236379226863738E-2</v>
      </c>
      <c r="I597" s="7">
        <v>2.1796664656245589E-2</v>
      </c>
      <c r="J597" s="7">
        <v>0</v>
      </c>
      <c r="K597" s="7">
        <v>0</v>
      </c>
      <c r="L597" s="3">
        <f t="shared" si="78"/>
        <v>-6.1464686880530195E-4</v>
      </c>
      <c r="M597" s="3">
        <v>-1.4419999999999999</v>
      </c>
      <c r="N597" s="3">
        <v>-1.0429999999999999</v>
      </c>
      <c r="O597" s="3">
        <v>-0.78900000000000003</v>
      </c>
      <c r="P597" s="35">
        <v>-1.49698E-2</v>
      </c>
      <c r="Q597" s="35">
        <v>0</v>
      </c>
      <c r="R597" s="35">
        <v>0</v>
      </c>
      <c r="S597" s="35">
        <v>-4.76502E-3</v>
      </c>
      <c r="T597" s="35">
        <v>4.76502E-3</v>
      </c>
      <c r="U597" s="35">
        <v>0</v>
      </c>
      <c r="V597" s="35">
        <v>0</v>
      </c>
    </row>
    <row r="598" spans="1:22">
      <c r="A598" s="7" t="s">
        <v>165</v>
      </c>
      <c r="B598" s="8">
        <v>-2.8449497700634536</v>
      </c>
      <c r="C598" s="8">
        <v>-0.22852225552422287</v>
      </c>
      <c r="D598" s="8">
        <v>-6.9737163040410666E-2</v>
      </c>
      <c r="E598" s="7">
        <v>0</v>
      </c>
      <c r="F598" s="7">
        <v>-1.4990516053215155E-2</v>
      </c>
      <c r="G598" s="7">
        <v>0</v>
      </c>
      <c r="H598" s="7">
        <v>-1.6236379226863738E-2</v>
      </c>
      <c r="I598" s="7">
        <v>0</v>
      </c>
      <c r="J598" s="7">
        <v>2.2385887789414392E-2</v>
      </c>
      <c r="K598" s="7">
        <v>0</v>
      </c>
      <c r="L598" s="3">
        <f t="shared" si="75"/>
        <v>-2.0918862808694261E-4</v>
      </c>
      <c r="M598" s="3">
        <v>-2.8450000000000002</v>
      </c>
      <c r="N598" s="3">
        <v>-0.22800000000000001</v>
      </c>
      <c r="O598" s="3">
        <v>-7.0000000000000007E-2</v>
      </c>
      <c r="P598" s="35">
        <v>0</v>
      </c>
      <c r="Q598" s="35">
        <v>-1.49698E-2</v>
      </c>
      <c r="R598" s="35">
        <v>0</v>
      </c>
      <c r="S598" s="35">
        <v>-4.76502E-3</v>
      </c>
      <c r="T598" s="35">
        <v>0</v>
      </c>
      <c r="U598" s="35">
        <v>4.76502E-3</v>
      </c>
      <c r="V598" s="35">
        <v>0</v>
      </c>
    </row>
    <row r="599" spans="1:22">
      <c r="A599" s="7"/>
      <c r="B599" s="8">
        <v>-2.4772611105726599</v>
      </c>
      <c r="C599" s="8">
        <v>1.0605572692523213</v>
      </c>
      <c r="D599" s="8">
        <v>3.9812674620544719E-2</v>
      </c>
      <c r="E599" s="7">
        <v>0</v>
      </c>
      <c r="F599" s="7">
        <v>0</v>
      </c>
      <c r="G599" s="7">
        <v>-1.4990516053215155E-2</v>
      </c>
      <c r="H599" s="7">
        <v>-1.6236379226863738E-2</v>
      </c>
      <c r="I599" s="7">
        <v>0</v>
      </c>
      <c r="J599" s="7">
        <v>0</v>
      </c>
      <c r="K599" s="7">
        <v>1.5970575730977998E-2</v>
      </c>
      <c r="L599" s="3">
        <f t="shared" si="75"/>
        <v>-8.9116669979390911E-4</v>
      </c>
      <c r="M599" s="3">
        <v>-2.4769999999999999</v>
      </c>
      <c r="N599" s="3">
        <v>1.0609999999999999</v>
      </c>
      <c r="O599" s="3">
        <v>0.04</v>
      </c>
      <c r="P599" s="35">
        <v>0</v>
      </c>
      <c r="Q599" s="35">
        <v>0</v>
      </c>
      <c r="R599" s="35">
        <v>-1.49698E-2</v>
      </c>
      <c r="S599" s="35">
        <v>-4.76502E-3</v>
      </c>
      <c r="T599" s="35">
        <v>0</v>
      </c>
      <c r="U599" s="35">
        <v>0</v>
      </c>
      <c r="V599" s="35">
        <v>4.76502E-3</v>
      </c>
    </row>
    <row r="600" spans="1:22">
      <c r="A600" s="7"/>
      <c r="B600" s="8"/>
      <c r="C600" s="8"/>
      <c r="D600" s="8"/>
      <c r="E600" s="7"/>
      <c r="F600" s="7"/>
      <c r="G600" s="7"/>
      <c r="H600" s="7"/>
      <c r="I600" s="7"/>
      <c r="J600" s="7"/>
      <c r="K600" s="7"/>
    </row>
    <row r="601" spans="1:22">
      <c r="A601" s="7"/>
      <c r="B601" s="8">
        <v>-1.4421025939282253</v>
      </c>
      <c r="C601" s="8">
        <v>-1.0431877148697888</v>
      </c>
      <c r="D601" s="8">
        <v>-0.78932433807079116</v>
      </c>
      <c r="E601" s="7">
        <v>-1.4990516053215155E-2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3">
        <f t="shared" si="79"/>
        <v>-6.1464686880530195E-4</v>
      </c>
      <c r="M601" s="3">
        <v>-1.4419999999999999</v>
      </c>
      <c r="N601" s="3">
        <v>-1.0429999999999999</v>
      </c>
      <c r="O601" s="3">
        <v>-0.78900000000000003</v>
      </c>
      <c r="P601" s="35">
        <v>-1.49698E-2</v>
      </c>
      <c r="Q601" s="35">
        <v>0</v>
      </c>
      <c r="R601" s="35">
        <v>0</v>
      </c>
      <c r="S601" s="35">
        <v>-4.76502E-3</v>
      </c>
      <c r="T601" s="35">
        <v>4.76502E-3</v>
      </c>
      <c r="U601" s="35">
        <v>0</v>
      </c>
      <c r="V601" s="35">
        <v>0</v>
      </c>
    </row>
    <row r="602" spans="1:22">
      <c r="A602" s="7" t="s">
        <v>166</v>
      </c>
      <c r="B602" s="8">
        <v>-2.8449497700634536</v>
      </c>
      <c r="C602" s="8">
        <v>-0.22852225552422287</v>
      </c>
      <c r="D602" s="8">
        <v>-6.9737163040410666E-2</v>
      </c>
      <c r="E602" s="7">
        <v>0</v>
      </c>
      <c r="F602" s="7">
        <v>-1.4990516053215155E-2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3">
        <f t="shared" si="75"/>
        <v>-2.0918862808694261E-4</v>
      </c>
      <c r="M602" s="3">
        <v>-2.8450000000000002</v>
      </c>
      <c r="N602" s="3">
        <v>-0.22800000000000001</v>
      </c>
      <c r="O602" s="3">
        <v>-7.0000000000000007E-2</v>
      </c>
      <c r="P602" s="35">
        <v>0</v>
      </c>
      <c r="Q602" s="35">
        <v>-1.49698E-2</v>
      </c>
      <c r="R602" s="35">
        <v>0</v>
      </c>
      <c r="S602" s="35">
        <v>-4.76502E-3</v>
      </c>
      <c r="T602" s="35">
        <v>0</v>
      </c>
      <c r="U602" s="35">
        <v>4.76502E-3</v>
      </c>
      <c r="V602" s="35">
        <v>0</v>
      </c>
    </row>
    <row r="603" spans="1:22">
      <c r="A603" s="7"/>
      <c r="B603" s="8">
        <v>-0.85843073718374274</v>
      </c>
      <c r="C603" s="8">
        <v>1.040962775001312</v>
      </c>
      <c r="D603" s="8">
        <v>-3.7610117674176324E-2</v>
      </c>
      <c r="E603" s="7">
        <v>0</v>
      </c>
      <c r="F603" s="7">
        <v>0</v>
      </c>
      <c r="G603" s="7">
        <v>-1.4990516053215155E-2</v>
      </c>
      <c r="H603" s="7">
        <v>0</v>
      </c>
      <c r="I603" s="7">
        <v>0</v>
      </c>
      <c r="J603" s="7">
        <v>0</v>
      </c>
      <c r="K603" s="7">
        <v>0</v>
      </c>
      <c r="L603" s="3">
        <f t="shared" si="75"/>
        <v>-7.807985660693989E-5</v>
      </c>
      <c r="M603" s="3">
        <v>-0.85799999999999998</v>
      </c>
      <c r="N603" s="3">
        <v>1.0409999999999999</v>
      </c>
      <c r="O603" s="3">
        <v>-3.7999999999999999E-2</v>
      </c>
      <c r="P603" s="35">
        <v>0</v>
      </c>
      <c r="Q603" s="35">
        <v>0</v>
      </c>
      <c r="R603" s="35">
        <v>-1.49698E-2</v>
      </c>
      <c r="S603" s="35">
        <v>-4.76502E-3</v>
      </c>
      <c r="T603" s="35">
        <v>0</v>
      </c>
      <c r="U603" s="35">
        <v>0</v>
      </c>
      <c r="V603" s="35">
        <v>4.76502E-3</v>
      </c>
    </row>
    <row r="604" spans="1:22">
      <c r="A604" s="7"/>
      <c r="B604" s="8"/>
      <c r="C604" s="8"/>
      <c r="D604" s="8"/>
      <c r="E604" s="7"/>
      <c r="F604" s="7"/>
      <c r="G604" s="7"/>
      <c r="H604" s="7"/>
      <c r="I604" s="7"/>
      <c r="J604" s="7"/>
      <c r="K604" s="7"/>
    </row>
    <row r="605" spans="1:22">
      <c r="A605" s="7"/>
      <c r="B605" s="8">
        <v>-1.4421025939282253</v>
      </c>
      <c r="C605" s="8">
        <v>-1.0431877148697888</v>
      </c>
      <c r="D605" s="8">
        <v>-0.78932433807079116</v>
      </c>
      <c r="E605" s="7">
        <v>-1.4990516053215155E-2</v>
      </c>
      <c r="F605" s="7">
        <v>0</v>
      </c>
      <c r="G605" s="7">
        <v>0</v>
      </c>
      <c r="H605" s="7">
        <v>-1.6236379226863738E-2</v>
      </c>
      <c r="I605" s="7">
        <v>2.1796664656245589E-2</v>
      </c>
      <c r="J605" s="7">
        <v>0</v>
      </c>
      <c r="K605" s="7">
        <v>0</v>
      </c>
      <c r="L605" s="3">
        <f t="shared" si="80"/>
        <v>-6.1464686880530195E-4</v>
      </c>
      <c r="M605" s="3">
        <v>-1.4419999999999999</v>
      </c>
      <c r="N605" s="3">
        <v>-1.0429999999999999</v>
      </c>
      <c r="O605" s="3">
        <v>-0.78900000000000003</v>
      </c>
      <c r="P605" s="35">
        <v>-1.49698E-2</v>
      </c>
      <c r="Q605" s="35">
        <v>0</v>
      </c>
      <c r="R605" s="35">
        <v>0</v>
      </c>
      <c r="S605" s="35">
        <v>-4.76502E-3</v>
      </c>
      <c r="T605" s="35">
        <v>4.76502E-3</v>
      </c>
      <c r="U605" s="35">
        <v>0</v>
      </c>
      <c r="V605" s="35">
        <v>0</v>
      </c>
    </row>
    <row r="606" spans="1:22">
      <c r="A606" s="7" t="s">
        <v>167</v>
      </c>
      <c r="B606" s="8">
        <v>-2.8449497700634536</v>
      </c>
      <c r="C606" s="8">
        <v>-0.22852225552422287</v>
      </c>
      <c r="D606" s="8">
        <v>-6.9737163040410666E-2</v>
      </c>
      <c r="E606" s="7">
        <v>0</v>
      </c>
      <c r="F606" s="7">
        <v>-1.4990516053215155E-2</v>
      </c>
      <c r="G606" s="7">
        <v>0</v>
      </c>
      <c r="H606" s="7">
        <v>-1.6236379226863738E-2</v>
      </c>
      <c r="I606" s="7">
        <v>0</v>
      </c>
      <c r="J606" s="7">
        <v>2.2385887789414392E-2</v>
      </c>
      <c r="K606" s="7">
        <v>0</v>
      </c>
      <c r="L606" s="3">
        <f t="shared" si="75"/>
        <v>-2.0918862808694261E-4</v>
      </c>
      <c r="M606" s="3">
        <v>-2.8450000000000002</v>
      </c>
      <c r="N606" s="3">
        <v>-0.22800000000000001</v>
      </c>
      <c r="O606" s="3">
        <v>-7.0000000000000007E-2</v>
      </c>
      <c r="P606" s="35">
        <v>0</v>
      </c>
      <c r="Q606" s="35">
        <v>-1.49698E-2</v>
      </c>
      <c r="R606" s="35">
        <v>0</v>
      </c>
      <c r="S606" s="35">
        <v>-4.76502E-3</v>
      </c>
      <c r="T606" s="35">
        <v>0</v>
      </c>
      <c r="U606" s="35">
        <v>4.76502E-3</v>
      </c>
      <c r="V606" s="35">
        <v>0</v>
      </c>
    </row>
    <row r="607" spans="1:22">
      <c r="A607" s="7"/>
      <c r="B607" s="8">
        <v>-1.4675604394566215</v>
      </c>
      <c r="C607" s="8">
        <v>1.3235781323919831</v>
      </c>
      <c r="D607" s="8">
        <v>-0.72564008456612294</v>
      </c>
      <c r="E607" s="7">
        <v>0</v>
      </c>
      <c r="F607" s="7">
        <v>0</v>
      </c>
      <c r="G607" s="7">
        <v>-1.4990516053215155E-2</v>
      </c>
      <c r="H607" s="7">
        <v>-1.6236379226863738E-2</v>
      </c>
      <c r="I607" s="7">
        <v>0</v>
      </c>
      <c r="J607" s="7">
        <v>0</v>
      </c>
      <c r="K607" s="7">
        <v>2.0521745021313972E-2</v>
      </c>
      <c r="L607" s="3">
        <f t="shared" si="75"/>
        <v>-6.2239163076138748E-4</v>
      </c>
      <c r="M607" s="3">
        <v>-1.4670000000000001</v>
      </c>
      <c r="N607" s="3">
        <v>1.3240000000000001</v>
      </c>
      <c r="O607" s="3">
        <v>-0.72599999999999998</v>
      </c>
      <c r="P607" s="35">
        <v>0</v>
      </c>
      <c r="Q607" s="35">
        <v>0</v>
      </c>
      <c r="R607" s="35">
        <v>-1.49698E-2</v>
      </c>
      <c r="S607" s="35">
        <v>-4.76502E-3</v>
      </c>
      <c r="T607" s="35">
        <v>0</v>
      </c>
      <c r="U607" s="35">
        <v>0</v>
      </c>
      <c r="V607" s="35">
        <v>4.76502E-3</v>
      </c>
    </row>
    <row r="608" spans="1:22">
      <c r="A608" s="7"/>
      <c r="B608" s="8"/>
      <c r="C608" s="8"/>
      <c r="D608" s="8"/>
      <c r="E608" s="7"/>
      <c r="F608" s="7"/>
      <c r="G608" s="7"/>
      <c r="H608" s="7"/>
      <c r="I608" s="7"/>
      <c r="J608" s="7"/>
      <c r="K608" s="7"/>
    </row>
    <row r="609" spans="1:22">
      <c r="A609" s="7"/>
      <c r="B609" s="8">
        <v>-1.4421025939282253</v>
      </c>
      <c r="C609" s="8">
        <v>-1.0431877148697888</v>
      </c>
      <c r="D609" s="8">
        <v>-0.78932433807079116</v>
      </c>
      <c r="E609" s="7">
        <v>-1.4990516053215155E-2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3">
        <f t="shared" si="81"/>
        <v>-6.1464686880530195E-4</v>
      </c>
      <c r="M609" s="3">
        <v>-1.4419999999999999</v>
      </c>
      <c r="N609" s="3">
        <v>-1.0429999999999999</v>
      </c>
      <c r="O609" s="3">
        <v>-0.78900000000000003</v>
      </c>
      <c r="P609" s="35">
        <v>-1.49698E-2</v>
      </c>
      <c r="Q609" s="35">
        <v>0</v>
      </c>
      <c r="R609" s="35">
        <v>0</v>
      </c>
      <c r="S609" s="35">
        <v>-4.76502E-3</v>
      </c>
      <c r="T609" s="35">
        <v>4.76502E-3</v>
      </c>
      <c r="U609" s="35">
        <v>0</v>
      </c>
      <c r="V609" s="35">
        <v>0</v>
      </c>
    </row>
    <row r="610" spans="1:22">
      <c r="A610" s="7" t="s">
        <v>168</v>
      </c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-1.4990516053215155E-2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L610" s="3">
        <f t="shared" si="75"/>
        <v>-8.9116669979390911E-4</v>
      </c>
      <c r="M610" s="3">
        <v>-2.4769999999999999</v>
      </c>
      <c r="N610" s="3">
        <v>1.0609999999999999</v>
      </c>
      <c r="O610" s="3">
        <v>0.04</v>
      </c>
      <c r="P610" s="35">
        <v>0</v>
      </c>
      <c r="Q610" s="35">
        <v>-1.49698E-2</v>
      </c>
      <c r="R610" s="35">
        <v>0</v>
      </c>
      <c r="S610" s="35">
        <v>-4.76502E-3</v>
      </c>
      <c r="T610" s="35">
        <v>0</v>
      </c>
      <c r="U610" s="35">
        <v>4.76502E-3</v>
      </c>
      <c r="V610" s="35">
        <v>0</v>
      </c>
    </row>
    <row r="611" spans="1:22">
      <c r="A611" s="7"/>
      <c r="B611" s="8">
        <v>-0.85843073718374274</v>
      </c>
      <c r="C611" s="8">
        <v>1.040962775001312</v>
      </c>
      <c r="D611" s="8">
        <v>-3.7610117674176324E-2</v>
      </c>
      <c r="E611" s="7">
        <v>0</v>
      </c>
      <c r="F611" s="7">
        <v>0</v>
      </c>
      <c r="G611" s="7">
        <v>-1.4990516053215155E-2</v>
      </c>
      <c r="H611" s="7">
        <v>0</v>
      </c>
      <c r="I611" s="7">
        <v>0</v>
      </c>
      <c r="J611" s="7">
        <v>0</v>
      </c>
      <c r="K611" s="7">
        <v>0</v>
      </c>
      <c r="L611" s="3">
        <f t="shared" si="75"/>
        <v>-7.807985660693989E-5</v>
      </c>
      <c r="M611" s="3">
        <v>-0.85799999999999998</v>
      </c>
      <c r="N611" s="3">
        <v>1.0409999999999999</v>
      </c>
      <c r="O611" s="3">
        <v>-3.7999999999999999E-2</v>
      </c>
      <c r="P611" s="35">
        <v>0</v>
      </c>
      <c r="Q611" s="35">
        <v>0</v>
      </c>
      <c r="R611" s="35">
        <v>-1.49698E-2</v>
      </c>
      <c r="S611" s="35">
        <v>-4.76502E-3</v>
      </c>
      <c r="T611" s="35">
        <v>0</v>
      </c>
      <c r="U611" s="35">
        <v>0</v>
      </c>
      <c r="V611" s="35">
        <v>4.76502E-3</v>
      </c>
    </row>
    <row r="612" spans="1:22">
      <c r="A612" s="7"/>
      <c r="B612" s="8"/>
      <c r="C612" s="8"/>
      <c r="D612" s="8"/>
      <c r="E612" s="7"/>
      <c r="F612" s="7"/>
      <c r="G612" s="7"/>
      <c r="H612" s="7"/>
      <c r="I612" s="7"/>
      <c r="J612" s="7"/>
      <c r="K612" s="7"/>
    </row>
    <row r="613" spans="1:22">
      <c r="A613" s="7"/>
      <c r="B613" s="8">
        <v>-1.4421025939282253</v>
      </c>
      <c r="C613" s="8">
        <v>-1.0431877148697888</v>
      </c>
      <c r="D613" s="8">
        <v>-0.78932433807079116</v>
      </c>
      <c r="E613" s="7">
        <v>-1.4990516053215155E-2</v>
      </c>
      <c r="F613" s="7">
        <v>0</v>
      </c>
      <c r="G613" s="7">
        <v>0</v>
      </c>
      <c r="H613" s="7">
        <v>-1.6236379226863738E-2</v>
      </c>
      <c r="I613" s="7">
        <v>2.1796664656245589E-2</v>
      </c>
      <c r="J613" s="7">
        <v>0</v>
      </c>
      <c r="K613" s="7">
        <v>0</v>
      </c>
      <c r="L613" s="3">
        <f t="shared" ref="L613:L651" si="83">B613-M613+C613-N613+D613-O613</f>
        <v>-6.1464686880530195E-4</v>
      </c>
      <c r="M613" s="3">
        <v>-1.4419999999999999</v>
      </c>
      <c r="N613" s="3">
        <v>-1.0429999999999999</v>
      </c>
      <c r="O613" s="3">
        <v>-0.78900000000000003</v>
      </c>
      <c r="P613" s="35">
        <v>-1.49698E-2</v>
      </c>
      <c r="Q613" s="35">
        <v>0</v>
      </c>
      <c r="R613" s="35">
        <v>0</v>
      </c>
      <c r="S613" s="35">
        <v>-4.76502E-3</v>
      </c>
      <c r="T613" s="35">
        <v>4.76502E-3</v>
      </c>
      <c r="U613" s="35">
        <v>0</v>
      </c>
      <c r="V613" s="35">
        <v>0</v>
      </c>
    </row>
    <row r="614" spans="1:22">
      <c r="A614" s="7" t="s">
        <v>169</v>
      </c>
      <c r="B614" s="8">
        <v>-2.4772611105726599</v>
      </c>
      <c r="C614" s="8">
        <v>1.0605572692523213</v>
      </c>
      <c r="D614" s="8">
        <v>3.9812674620544719E-2</v>
      </c>
      <c r="E614" s="7">
        <v>0</v>
      </c>
      <c r="F614" s="7">
        <v>-1.4990516053215155E-2</v>
      </c>
      <c r="G614" s="7">
        <v>0</v>
      </c>
      <c r="H614" s="7">
        <v>-1.6236379226863738E-2</v>
      </c>
      <c r="I614" s="7">
        <v>0</v>
      </c>
      <c r="J614" s="7">
        <v>1.5970575730977998E-2</v>
      </c>
      <c r="K614" s="7">
        <v>0</v>
      </c>
      <c r="L614" s="3">
        <f t="shared" si="83"/>
        <v>-8.9116669979390911E-4</v>
      </c>
      <c r="M614" s="3">
        <v>-2.4769999999999999</v>
      </c>
      <c r="N614" s="3">
        <v>1.0609999999999999</v>
      </c>
      <c r="O614" s="3">
        <v>0.04</v>
      </c>
      <c r="P614" s="35">
        <v>0</v>
      </c>
      <c r="Q614" s="35">
        <v>-1.49698E-2</v>
      </c>
      <c r="R614" s="35">
        <v>0</v>
      </c>
      <c r="S614" s="35">
        <v>-4.76502E-3</v>
      </c>
      <c r="T614" s="35">
        <v>0</v>
      </c>
      <c r="U614" s="35">
        <v>4.76502E-3</v>
      </c>
      <c r="V614" s="35">
        <v>0</v>
      </c>
    </row>
    <row r="615" spans="1:22">
      <c r="A615" s="7"/>
      <c r="B615" s="8">
        <v>-1.4675604394566215</v>
      </c>
      <c r="C615" s="8">
        <v>1.3235781323919831</v>
      </c>
      <c r="D615" s="8">
        <v>-0.72564008456612294</v>
      </c>
      <c r="E615" s="7">
        <v>0</v>
      </c>
      <c r="F615" s="7">
        <v>0</v>
      </c>
      <c r="G615" s="7">
        <v>-1.4990516053215155E-2</v>
      </c>
      <c r="H615" s="7">
        <v>-1.6236379226863738E-2</v>
      </c>
      <c r="I615" s="7">
        <v>0</v>
      </c>
      <c r="J615" s="7">
        <v>0</v>
      </c>
      <c r="K615" s="7">
        <v>2.0521745021313972E-2</v>
      </c>
      <c r="L615" s="3">
        <f t="shared" si="83"/>
        <v>-6.2239163076138748E-4</v>
      </c>
      <c r="M615" s="3">
        <v>-1.4670000000000001</v>
      </c>
      <c r="N615" s="3">
        <v>1.3240000000000001</v>
      </c>
      <c r="O615" s="3">
        <v>-0.72599999999999998</v>
      </c>
      <c r="P615" s="35">
        <v>0</v>
      </c>
      <c r="Q615" s="35">
        <v>0</v>
      </c>
      <c r="R615" s="35">
        <v>-1.49698E-2</v>
      </c>
      <c r="S615" s="35">
        <v>-4.76502E-3</v>
      </c>
      <c r="T615" s="35">
        <v>0</v>
      </c>
      <c r="U615" s="35">
        <v>0</v>
      </c>
      <c r="V615" s="35">
        <v>4.76502E-3</v>
      </c>
    </row>
    <row r="616" spans="1:22">
      <c r="A616" s="7"/>
      <c r="B616" s="8"/>
      <c r="C616" s="8"/>
      <c r="D616" s="8"/>
      <c r="E616" s="7"/>
      <c r="F616" s="7"/>
      <c r="G616" s="7"/>
      <c r="H616" s="7"/>
      <c r="I616" s="7"/>
      <c r="J616" s="7"/>
      <c r="K616" s="7"/>
    </row>
    <row r="617" spans="1:22">
      <c r="A617" s="7"/>
      <c r="B617" s="8">
        <v>-1.4421025939282253</v>
      </c>
      <c r="C617" s="8">
        <v>-1.0431877148697888</v>
      </c>
      <c r="D617" s="8">
        <v>-0.78932433807079116</v>
      </c>
      <c r="E617" s="7">
        <v>-1.4990516053215155E-2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3">
        <f t="shared" ref="L617:L679" si="84">B617-M617+C617-N617+D617-O617</f>
        <v>-6.1464686880530195E-4</v>
      </c>
      <c r="M617" s="3">
        <v>-1.4419999999999999</v>
      </c>
      <c r="N617" s="3">
        <v>-1.0429999999999999</v>
      </c>
      <c r="O617" s="3">
        <v>-0.78900000000000003</v>
      </c>
      <c r="P617" s="35">
        <v>-1.49698E-2</v>
      </c>
      <c r="Q617" s="35">
        <v>0</v>
      </c>
      <c r="R617" s="35">
        <v>0</v>
      </c>
      <c r="S617" s="35">
        <v>-4.76502E-3</v>
      </c>
      <c r="T617" s="35">
        <v>4.76502E-3</v>
      </c>
      <c r="U617" s="35">
        <v>0</v>
      </c>
      <c r="V617" s="35">
        <v>0</v>
      </c>
    </row>
    <row r="618" spans="1:22">
      <c r="A618" s="7" t="s">
        <v>170</v>
      </c>
      <c r="B618" s="8">
        <v>-0.85843073718374274</v>
      </c>
      <c r="C618" s="8">
        <v>1.040962775001312</v>
      </c>
      <c r="D618" s="8">
        <v>-3.7610117674176324E-2</v>
      </c>
      <c r="E618" s="7">
        <v>0</v>
      </c>
      <c r="F618" s="7">
        <v>-1.4990516053215155E-2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L618" s="3">
        <f t="shared" si="84"/>
        <v>-7.807985660693989E-5</v>
      </c>
      <c r="M618" s="3">
        <v>-0.85799999999999998</v>
      </c>
      <c r="N618" s="3">
        <v>1.0409999999999999</v>
      </c>
      <c r="O618" s="3">
        <v>-3.7999999999999999E-2</v>
      </c>
      <c r="P618" s="35">
        <v>0</v>
      </c>
      <c r="Q618" s="35">
        <v>-1.49698E-2</v>
      </c>
      <c r="R618" s="35">
        <v>0</v>
      </c>
      <c r="S618" s="35">
        <v>-4.76502E-3</v>
      </c>
      <c r="T618" s="35">
        <v>0</v>
      </c>
      <c r="U618" s="35">
        <v>4.76502E-3</v>
      </c>
      <c r="V618" s="35">
        <v>0</v>
      </c>
    </row>
    <row r="619" spans="1:22">
      <c r="A619" s="7"/>
      <c r="B619" s="8">
        <v>-1.4675604394566215</v>
      </c>
      <c r="C619" s="8">
        <v>1.3235781323919831</v>
      </c>
      <c r="D619" s="8">
        <v>-0.72564008456612294</v>
      </c>
      <c r="E619" s="7">
        <v>0</v>
      </c>
      <c r="F619" s="7">
        <v>0</v>
      </c>
      <c r="G619" s="7">
        <v>-1.4990516053215155E-2</v>
      </c>
      <c r="H619" s="7">
        <v>0</v>
      </c>
      <c r="I619" s="7">
        <v>0</v>
      </c>
      <c r="J619" s="7">
        <v>0</v>
      </c>
      <c r="K619" s="7">
        <v>0</v>
      </c>
      <c r="L619" s="3">
        <f t="shared" si="84"/>
        <v>-6.2239163076138748E-4</v>
      </c>
      <c r="M619" s="3">
        <v>-1.4670000000000001</v>
      </c>
      <c r="N619" s="3">
        <v>1.3240000000000001</v>
      </c>
      <c r="O619" s="3">
        <v>-0.72599999999999998</v>
      </c>
      <c r="P619" s="35">
        <v>0</v>
      </c>
      <c r="Q619" s="35">
        <v>0</v>
      </c>
      <c r="R619" s="35">
        <v>-1.49698E-2</v>
      </c>
      <c r="S619" s="35">
        <v>-4.76502E-3</v>
      </c>
      <c r="T619" s="35">
        <v>0</v>
      </c>
      <c r="U619" s="35">
        <v>0</v>
      </c>
      <c r="V619" s="35">
        <v>4.76502E-3</v>
      </c>
    </row>
    <row r="620" spans="1:22">
      <c r="A620" s="7"/>
      <c r="B620" s="8"/>
      <c r="C620" s="8"/>
      <c r="D620" s="8"/>
      <c r="E620" s="7"/>
      <c r="F620" s="7"/>
      <c r="G620" s="7"/>
      <c r="H620" s="7"/>
      <c r="I620" s="7"/>
      <c r="J620" s="7"/>
      <c r="K620" s="7"/>
    </row>
    <row r="621" spans="1:22">
      <c r="A621" s="7"/>
      <c r="B621" s="8">
        <v>-2.6959782234951333</v>
      </c>
      <c r="C621" s="8">
        <v>-1.0757798809975587</v>
      </c>
      <c r="D621" s="8">
        <v>-4.997772423355884E-2</v>
      </c>
      <c r="E621" s="7">
        <v>-1.4990516053215155E-2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3">
        <f t="shared" ref="L621:L657" si="85">B621-M621+C621-N621+D621-O621</f>
        <v>2.6417127374940563E-4</v>
      </c>
      <c r="M621" s="3">
        <v>-2.6960000000000002</v>
      </c>
      <c r="N621" s="3">
        <v>-1.0760000000000001</v>
      </c>
      <c r="O621" s="3">
        <v>-0.05</v>
      </c>
      <c r="P621" s="35">
        <v>-1.49698E-2</v>
      </c>
      <c r="Q621" s="35">
        <v>0</v>
      </c>
      <c r="R621" s="35">
        <v>0</v>
      </c>
      <c r="S621" s="35">
        <v>-4.76502E-3</v>
      </c>
      <c r="T621" s="35">
        <v>4.76502E-3</v>
      </c>
      <c r="U621" s="35">
        <v>0</v>
      </c>
      <c r="V621" s="35">
        <v>0</v>
      </c>
    </row>
    <row r="622" spans="1:22">
      <c r="A622" s="7" t="s">
        <v>171</v>
      </c>
      <c r="B622" s="8">
        <v>-0.40019020491700363</v>
      </c>
      <c r="C622" s="8">
        <v>-1.0840062473010013</v>
      </c>
      <c r="D622" s="8">
        <v>-1.6840506224230944E-2</v>
      </c>
      <c r="E622" s="7">
        <v>0</v>
      </c>
      <c r="F622" s="7">
        <v>-1.4990516053215155E-2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L622" s="3">
        <f t="shared" si="84"/>
        <v>-3.6958442235626721E-5</v>
      </c>
      <c r="M622" s="3">
        <v>-0.4</v>
      </c>
      <c r="N622" s="3">
        <v>-1.0840000000000001</v>
      </c>
      <c r="O622" s="3">
        <v>-1.7000000000000001E-2</v>
      </c>
      <c r="P622" s="35">
        <v>0</v>
      </c>
      <c r="Q622" s="35">
        <v>-1.49698E-2</v>
      </c>
      <c r="R622" s="35">
        <v>0</v>
      </c>
      <c r="S622" s="35">
        <v>-4.76502E-3</v>
      </c>
      <c r="T622" s="35">
        <v>0</v>
      </c>
      <c r="U622" s="35">
        <v>4.76502E-3</v>
      </c>
      <c r="V622" s="35">
        <v>0</v>
      </c>
    </row>
    <row r="623" spans="1:22">
      <c r="A623" s="7"/>
      <c r="B623" s="8">
        <v>-2.8449497700634536</v>
      </c>
      <c r="C623" s="8">
        <v>-0.22852225552422287</v>
      </c>
      <c r="D623" s="8">
        <v>-6.9737163040410666E-2</v>
      </c>
      <c r="E623" s="7">
        <v>0</v>
      </c>
      <c r="F623" s="7">
        <v>0</v>
      </c>
      <c r="G623" s="7">
        <v>-1.4990516053215155E-2</v>
      </c>
      <c r="H623" s="7">
        <v>0</v>
      </c>
      <c r="I623" s="7">
        <v>0</v>
      </c>
      <c r="J623" s="7">
        <v>0</v>
      </c>
      <c r="K623" s="7">
        <v>0</v>
      </c>
      <c r="L623" s="3">
        <f t="shared" si="84"/>
        <v>-2.0918862808694261E-4</v>
      </c>
      <c r="M623" s="3">
        <v>-2.8450000000000002</v>
      </c>
      <c r="N623" s="3">
        <v>-0.22800000000000001</v>
      </c>
      <c r="O623" s="3">
        <v>-7.0000000000000007E-2</v>
      </c>
      <c r="P623" s="35">
        <v>0</v>
      </c>
      <c r="Q623" s="35">
        <v>0</v>
      </c>
      <c r="R623" s="35">
        <v>-1.49698E-2</v>
      </c>
      <c r="S623" s="35">
        <v>-4.76502E-3</v>
      </c>
      <c r="T623" s="35">
        <v>0</v>
      </c>
      <c r="U623" s="35">
        <v>0</v>
      </c>
      <c r="V623" s="35">
        <v>4.76502E-3</v>
      </c>
    </row>
    <row r="624" spans="1:22">
      <c r="A624" s="7"/>
      <c r="B624" s="8"/>
      <c r="C624" s="8"/>
      <c r="D624" s="8"/>
      <c r="E624" s="7"/>
      <c r="F624" s="7"/>
      <c r="G624" s="7"/>
      <c r="H624" s="7"/>
      <c r="I624" s="7"/>
      <c r="J624" s="7"/>
      <c r="K624" s="7"/>
    </row>
    <row r="625" spans="1:22">
      <c r="A625" s="7"/>
      <c r="B625" s="8">
        <v>-2.6959782234951333</v>
      </c>
      <c r="C625" s="8">
        <v>-1.0757798809975587</v>
      </c>
      <c r="D625" s="8">
        <v>-4.997772423355884E-2</v>
      </c>
      <c r="E625" s="7">
        <v>-1.4990516053215155E-2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3">
        <f t="shared" ref="L625:L661" si="86">B625-M625+C625-N625+D625-O625</f>
        <v>2.6417127374940563E-4</v>
      </c>
      <c r="M625" s="3">
        <v>-2.6960000000000002</v>
      </c>
      <c r="N625" s="3">
        <v>-1.0760000000000001</v>
      </c>
      <c r="O625" s="3">
        <v>-0.05</v>
      </c>
      <c r="P625" s="35">
        <v>-1.49698E-2</v>
      </c>
      <c r="Q625" s="35">
        <v>0</v>
      </c>
      <c r="R625" s="35">
        <v>0</v>
      </c>
      <c r="S625" s="35">
        <v>-4.76502E-3</v>
      </c>
      <c r="T625" s="35">
        <v>4.76502E-3</v>
      </c>
      <c r="U625" s="35">
        <v>0</v>
      </c>
      <c r="V625" s="35">
        <v>0</v>
      </c>
    </row>
    <row r="626" spans="1:22">
      <c r="A626" s="7" t="s">
        <v>172</v>
      </c>
      <c r="B626" s="8">
        <v>-0.40019020491700363</v>
      </c>
      <c r="C626" s="8">
        <v>-1.0840062473010013</v>
      </c>
      <c r="D626" s="8">
        <v>-1.6840506224230944E-2</v>
      </c>
      <c r="E626" s="7">
        <v>0</v>
      </c>
      <c r="F626" s="7">
        <v>-1.4990516053215155E-2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L626" s="3">
        <f t="shared" si="84"/>
        <v>-3.6958442235626721E-5</v>
      </c>
      <c r="M626" s="3">
        <v>-0.4</v>
      </c>
      <c r="N626" s="3">
        <v>-1.0840000000000001</v>
      </c>
      <c r="O626" s="3">
        <v>-1.7000000000000001E-2</v>
      </c>
      <c r="P626" s="35">
        <v>0</v>
      </c>
      <c r="Q626" s="35">
        <v>-1.49698E-2</v>
      </c>
      <c r="R626" s="35">
        <v>0</v>
      </c>
      <c r="S626" s="35">
        <v>-4.76502E-3</v>
      </c>
      <c r="T626" s="35">
        <v>0</v>
      </c>
      <c r="U626" s="35">
        <v>4.76502E-3</v>
      </c>
      <c r="V626" s="35">
        <v>0</v>
      </c>
    </row>
    <row r="627" spans="1:22">
      <c r="A627" s="7"/>
      <c r="B627" s="8">
        <v>-2.4772611105726599</v>
      </c>
      <c r="C627" s="8">
        <v>1.0605572692523213</v>
      </c>
      <c r="D627" s="8">
        <v>3.9812674620544719E-2</v>
      </c>
      <c r="E627" s="7">
        <v>0</v>
      </c>
      <c r="F627" s="7">
        <v>0</v>
      </c>
      <c r="G627" s="7">
        <v>-1.4990516053215155E-2</v>
      </c>
      <c r="H627" s="7">
        <v>0</v>
      </c>
      <c r="I627" s="7">
        <v>0</v>
      </c>
      <c r="J627" s="7">
        <v>0</v>
      </c>
      <c r="K627" s="7">
        <v>0</v>
      </c>
      <c r="L627" s="3">
        <f t="shared" si="84"/>
        <v>-8.9116669979390911E-4</v>
      </c>
      <c r="M627" s="3">
        <v>-2.4769999999999999</v>
      </c>
      <c r="N627" s="3">
        <v>1.0609999999999999</v>
      </c>
      <c r="O627" s="3">
        <v>0.04</v>
      </c>
      <c r="P627" s="35">
        <v>0</v>
      </c>
      <c r="Q627" s="35">
        <v>0</v>
      </c>
      <c r="R627" s="35">
        <v>-1.49698E-2</v>
      </c>
      <c r="S627" s="35">
        <v>-4.76502E-3</v>
      </c>
      <c r="T627" s="35">
        <v>0</v>
      </c>
      <c r="U627" s="35">
        <v>0</v>
      </c>
      <c r="V627" s="35">
        <v>4.76502E-3</v>
      </c>
    </row>
    <row r="628" spans="1:22">
      <c r="A628" s="7"/>
      <c r="B628" s="8"/>
      <c r="C628" s="8"/>
      <c r="D628" s="8"/>
      <c r="E628" s="7"/>
      <c r="F628" s="7"/>
      <c r="G628" s="7"/>
      <c r="H628" s="7"/>
      <c r="I628" s="7"/>
      <c r="J628" s="7"/>
      <c r="K628" s="7"/>
    </row>
    <row r="629" spans="1:22">
      <c r="A629" s="7"/>
      <c r="B629" s="8">
        <v>-2.6959782234951333</v>
      </c>
      <c r="C629" s="8">
        <v>-1.0757798809975587</v>
      </c>
      <c r="D629" s="8">
        <v>-4.997772423355884E-2</v>
      </c>
      <c r="E629" s="7">
        <v>-1.4990516053215155E-2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3">
        <f t="shared" ref="L629:L665" si="87">B629-M629+C629-N629+D629-O629</f>
        <v>2.6417127374940563E-4</v>
      </c>
      <c r="M629" s="3">
        <v>-2.6960000000000002</v>
      </c>
      <c r="N629" s="3">
        <v>-1.0760000000000001</v>
      </c>
      <c r="O629" s="3">
        <v>-0.05</v>
      </c>
      <c r="P629" s="35">
        <v>-1.49698E-2</v>
      </c>
      <c r="Q629" s="35">
        <v>0</v>
      </c>
      <c r="R629" s="35">
        <v>0</v>
      </c>
      <c r="S629" s="35">
        <v>-4.76502E-3</v>
      </c>
      <c r="T629" s="35">
        <v>4.76502E-3</v>
      </c>
      <c r="U629" s="35">
        <v>0</v>
      </c>
      <c r="V629" s="35">
        <v>0</v>
      </c>
    </row>
    <row r="630" spans="1:22">
      <c r="A630" s="7" t="s">
        <v>173</v>
      </c>
      <c r="B630" s="8">
        <v>-0.40019020491700363</v>
      </c>
      <c r="C630" s="8">
        <v>-1.0840062473010013</v>
      </c>
      <c r="D630" s="8">
        <v>-1.6840506224230944E-2</v>
      </c>
      <c r="E630" s="7">
        <v>0</v>
      </c>
      <c r="F630" s="7">
        <v>-1.4990516053215155E-2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L630" s="3">
        <f t="shared" si="84"/>
        <v>-3.6958442235626721E-5</v>
      </c>
      <c r="M630" s="3">
        <v>-0.4</v>
      </c>
      <c r="N630" s="3">
        <v>-1.0840000000000001</v>
      </c>
      <c r="O630" s="3">
        <v>-1.7000000000000001E-2</v>
      </c>
      <c r="P630" s="35">
        <v>0</v>
      </c>
      <c r="Q630" s="35">
        <v>-1.49698E-2</v>
      </c>
      <c r="R630" s="35">
        <v>0</v>
      </c>
      <c r="S630" s="35">
        <v>-4.76502E-3</v>
      </c>
      <c r="T630" s="35">
        <v>0</v>
      </c>
      <c r="U630" s="35">
        <v>4.76502E-3</v>
      </c>
      <c r="V630" s="35">
        <v>0</v>
      </c>
    </row>
    <row r="631" spans="1:22">
      <c r="A631" s="7"/>
      <c r="B631" s="8">
        <v>-0.85843073718374274</v>
      </c>
      <c r="C631" s="8">
        <v>1.040962775001312</v>
      </c>
      <c r="D631" s="8">
        <v>-3.7610117674176324E-2</v>
      </c>
      <c r="E631" s="7">
        <v>0</v>
      </c>
      <c r="F631" s="7">
        <v>0</v>
      </c>
      <c r="G631" s="7">
        <v>-1.4990516053215155E-2</v>
      </c>
      <c r="H631" s="7">
        <v>0</v>
      </c>
      <c r="I631" s="7">
        <v>0</v>
      </c>
      <c r="J631" s="7">
        <v>0</v>
      </c>
      <c r="K631" s="7">
        <v>0</v>
      </c>
      <c r="L631" s="3">
        <f t="shared" si="84"/>
        <v>-7.807985660693989E-5</v>
      </c>
      <c r="M631" s="3">
        <v>-0.85799999999999998</v>
      </c>
      <c r="N631" s="3">
        <v>1.0409999999999999</v>
      </c>
      <c r="O631" s="3">
        <v>-3.7999999999999999E-2</v>
      </c>
      <c r="P631" s="35">
        <v>0</v>
      </c>
      <c r="Q631" s="35">
        <v>0</v>
      </c>
      <c r="R631" s="35">
        <v>-1.49698E-2</v>
      </c>
      <c r="S631" s="35">
        <v>-4.76502E-3</v>
      </c>
      <c r="T631" s="35">
        <v>0</v>
      </c>
      <c r="U631" s="35">
        <v>0</v>
      </c>
      <c r="V631" s="35">
        <v>4.76502E-3</v>
      </c>
    </row>
    <row r="632" spans="1:22">
      <c r="A632" s="7"/>
      <c r="B632" s="8"/>
      <c r="C632" s="8"/>
      <c r="D632" s="8"/>
      <c r="E632" s="7"/>
      <c r="F632" s="7"/>
      <c r="G632" s="7"/>
      <c r="H632" s="7"/>
      <c r="I632" s="7"/>
      <c r="J632" s="7"/>
      <c r="K632" s="7"/>
    </row>
    <row r="633" spans="1:22">
      <c r="A633" s="7"/>
      <c r="B633" s="8">
        <v>-2.6959782234951333</v>
      </c>
      <c r="C633" s="8">
        <v>-1.0757798809975587</v>
      </c>
      <c r="D633" s="8">
        <v>-4.997772423355884E-2</v>
      </c>
      <c r="E633" s="7">
        <v>-1.4990516053215155E-2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3">
        <f t="shared" ref="L633:L669" si="88">B633-M633+C633-N633+D633-O633</f>
        <v>2.6417127374940563E-4</v>
      </c>
      <c r="M633" s="3">
        <v>-2.6960000000000002</v>
      </c>
      <c r="N633" s="3">
        <v>-1.0760000000000001</v>
      </c>
      <c r="O633" s="3">
        <v>-0.05</v>
      </c>
      <c r="P633" s="35">
        <v>-1.49698E-2</v>
      </c>
      <c r="Q633" s="35">
        <v>0</v>
      </c>
      <c r="R633" s="35">
        <v>0</v>
      </c>
      <c r="S633" s="35">
        <v>-4.76502E-3</v>
      </c>
      <c r="T633" s="35">
        <v>4.76502E-3</v>
      </c>
      <c r="U633" s="35">
        <v>0</v>
      </c>
      <c r="V633" s="35">
        <v>0</v>
      </c>
    </row>
    <row r="634" spans="1:22">
      <c r="A634" s="7" t="s">
        <v>174</v>
      </c>
      <c r="B634" s="8">
        <v>-0.40019020491700363</v>
      </c>
      <c r="C634" s="8">
        <v>-1.0840062473010013</v>
      </c>
      <c r="D634" s="8">
        <v>-1.6840506224230944E-2</v>
      </c>
      <c r="E634" s="7">
        <v>0</v>
      </c>
      <c r="F634" s="7">
        <v>-1.4990516053215155E-2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L634" s="3">
        <f t="shared" si="84"/>
        <v>-3.6958442235626721E-5</v>
      </c>
      <c r="M634" s="3">
        <v>-0.4</v>
      </c>
      <c r="N634" s="3">
        <v>-1.0840000000000001</v>
      </c>
      <c r="O634" s="3">
        <v>-1.7000000000000001E-2</v>
      </c>
      <c r="P634" s="35">
        <v>0</v>
      </c>
      <c r="Q634" s="35">
        <v>-1.49698E-2</v>
      </c>
      <c r="R634" s="35">
        <v>0</v>
      </c>
      <c r="S634" s="35">
        <v>-4.76502E-3</v>
      </c>
      <c r="T634" s="35">
        <v>0</v>
      </c>
      <c r="U634" s="35">
        <v>4.76502E-3</v>
      </c>
      <c r="V634" s="35">
        <v>0</v>
      </c>
    </row>
    <row r="635" spans="1:22">
      <c r="A635" s="7"/>
      <c r="B635" s="8">
        <v>-1.4675604394566215</v>
      </c>
      <c r="C635" s="8">
        <v>1.3235781323919831</v>
      </c>
      <c r="D635" s="8">
        <v>-0.72564008456612294</v>
      </c>
      <c r="E635" s="7">
        <v>0</v>
      </c>
      <c r="F635" s="7">
        <v>0</v>
      </c>
      <c r="G635" s="7">
        <v>-1.4990516053215155E-2</v>
      </c>
      <c r="H635" s="7">
        <v>0</v>
      </c>
      <c r="I635" s="7">
        <v>0</v>
      </c>
      <c r="J635" s="7">
        <v>0</v>
      </c>
      <c r="K635" s="7">
        <v>0</v>
      </c>
      <c r="L635" s="3">
        <f t="shared" si="84"/>
        <v>-6.2239163076138748E-4</v>
      </c>
      <c r="M635" s="3">
        <v>-1.4670000000000001</v>
      </c>
      <c r="N635" s="3">
        <v>1.3240000000000001</v>
      </c>
      <c r="O635" s="3">
        <v>-0.72599999999999998</v>
      </c>
      <c r="P635" s="35">
        <v>0</v>
      </c>
      <c r="Q635" s="35">
        <v>0</v>
      </c>
      <c r="R635" s="35">
        <v>-1.49698E-2</v>
      </c>
      <c r="S635" s="35">
        <v>-4.76502E-3</v>
      </c>
      <c r="T635" s="35">
        <v>0</v>
      </c>
      <c r="U635" s="35">
        <v>0</v>
      </c>
      <c r="V635" s="35">
        <v>4.76502E-3</v>
      </c>
    </row>
    <row r="636" spans="1:22">
      <c r="A636" s="7"/>
      <c r="B636" s="8"/>
      <c r="C636" s="8"/>
      <c r="D636" s="8"/>
      <c r="E636" s="7"/>
      <c r="F636" s="7"/>
      <c r="G636" s="7"/>
      <c r="H636" s="7"/>
      <c r="I636" s="7"/>
      <c r="J636" s="7"/>
      <c r="K636" s="7"/>
    </row>
    <row r="637" spans="1:22">
      <c r="A637" s="7"/>
      <c r="B637" s="8">
        <v>-2.6959782234951333</v>
      </c>
      <c r="C637" s="8">
        <v>-1.0757798809975587</v>
      </c>
      <c r="D637" s="8">
        <v>-4.997772423355884E-2</v>
      </c>
      <c r="E637" s="7">
        <v>-1.4990516053215155E-2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3">
        <f t="shared" ref="L637:L673" si="89">B637-M637+C637-N637+D637-O637</f>
        <v>2.6417127374940563E-4</v>
      </c>
      <c r="M637" s="3">
        <v>-2.6960000000000002</v>
      </c>
      <c r="N637" s="3">
        <v>-1.0760000000000001</v>
      </c>
      <c r="O637" s="3">
        <v>-0.05</v>
      </c>
      <c r="P637" s="35">
        <v>-1.49698E-2</v>
      </c>
      <c r="Q637" s="35">
        <v>0</v>
      </c>
      <c r="R637" s="35">
        <v>0</v>
      </c>
      <c r="S637" s="35">
        <v>-4.76502E-3</v>
      </c>
      <c r="T637" s="35">
        <v>4.76502E-3</v>
      </c>
      <c r="U637" s="35">
        <v>0</v>
      </c>
      <c r="V637" s="35">
        <v>0</v>
      </c>
    </row>
    <row r="638" spans="1:22">
      <c r="A638" s="7" t="s">
        <v>175</v>
      </c>
      <c r="B638" s="8">
        <v>-2.8449497700634536</v>
      </c>
      <c r="C638" s="8">
        <v>-0.22852225552422287</v>
      </c>
      <c r="D638" s="8">
        <v>-6.9737163040410666E-2</v>
      </c>
      <c r="E638" s="7">
        <v>0</v>
      </c>
      <c r="F638" s="7">
        <v>-1.4990516053215155E-2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L638" s="3">
        <f t="shared" si="84"/>
        <v>-2.0918862808694261E-4</v>
      </c>
      <c r="M638" s="3">
        <v>-2.8450000000000002</v>
      </c>
      <c r="N638" s="3">
        <v>-0.22800000000000001</v>
      </c>
      <c r="O638" s="3">
        <v>-7.0000000000000007E-2</v>
      </c>
      <c r="P638" s="35">
        <v>0</v>
      </c>
      <c r="Q638" s="35">
        <v>-1.49698E-2</v>
      </c>
      <c r="R638" s="35">
        <v>0</v>
      </c>
      <c r="S638" s="35">
        <v>-4.76502E-3</v>
      </c>
      <c r="T638" s="35">
        <v>0</v>
      </c>
      <c r="U638" s="35">
        <v>4.76502E-3</v>
      </c>
      <c r="V638" s="35">
        <v>0</v>
      </c>
    </row>
    <row r="639" spans="1:22">
      <c r="A639" s="7"/>
      <c r="B639" s="8">
        <v>-2.4772611105726599</v>
      </c>
      <c r="C639" s="8">
        <v>1.0605572692523213</v>
      </c>
      <c r="D639" s="8">
        <v>3.9812674620544719E-2</v>
      </c>
      <c r="E639" s="7">
        <v>0</v>
      </c>
      <c r="F639" s="7">
        <v>0</v>
      </c>
      <c r="G639" s="7">
        <v>-1.4990516053215155E-2</v>
      </c>
      <c r="H639" s="7">
        <v>0</v>
      </c>
      <c r="I639" s="7">
        <v>0</v>
      </c>
      <c r="J639" s="7">
        <v>0</v>
      </c>
      <c r="K639" s="7">
        <v>0</v>
      </c>
      <c r="L639" s="3">
        <f t="shared" si="84"/>
        <v>-8.9116669979390911E-4</v>
      </c>
      <c r="M639" s="3">
        <v>-2.4769999999999999</v>
      </c>
      <c r="N639" s="3">
        <v>1.0609999999999999</v>
      </c>
      <c r="O639" s="3">
        <v>0.04</v>
      </c>
      <c r="P639" s="35">
        <v>0</v>
      </c>
      <c r="Q639" s="35">
        <v>0</v>
      </c>
      <c r="R639" s="35">
        <v>-1.49698E-2</v>
      </c>
      <c r="S639" s="35">
        <v>-4.76502E-3</v>
      </c>
      <c r="T639" s="35">
        <v>0</v>
      </c>
      <c r="U639" s="35">
        <v>0</v>
      </c>
      <c r="V639" s="35">
        <v>4.76502E-3</v>
      </c>
    </row>
    <row r="640" spans="1:22">
      <c r="A640" s="7"/>
      <c r="B640" s="8"/>
      <c r="C640" s="8"/>
      <c r="D640" s="8"/>
      <c r="E640" s="7"/>
      <c r="F640" s="7"/>
      <c r="G640" s="7"/>
      <c r="H640" s="7"/>
      <c r="I640" s="7"/>
      <c r="J640" s="7"/>
      <c r="K640" s="7"/>
    </row>
    <row r="641" spans="1:22">
      <c r="A641" s="7"/>
      <c r="B641" s="8">
        <v>-2.6959782234951333</v>
      </c>
      <c r="C641" s="8">
        <v>-1.0757798809975587</v>
      </c>
      <c r="D641" s="8">
        <v>-4.997772423355884E-2</v>
      </c>
      <c r="E641" s="7">
        <v>-1.4990516053215155E-2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3">
        <f t="shared" ref="L641:L677" si="90">B641-M641+C641-N641+D641-O641</f>
        <v>2.6417127374940563E-4</v>
      </c>
      <c r="M641" s="3">
        <v>-2.6960000000000002</v>
      </c>
      <c r="N641" s="3">
        <v>-1.0760000000000001</v>
      </c>
      <c r="O641" s="3">
        <v>-0.05</v>
      </c>
      <c r="P641" s="35">
        <v>-1.49698E-2</v>
      </c>
      <c r="Q641" s="35">
        <v>0</v>
      </c>
      <c r="R641" s="35">
        <v>0</v>
      </c>
      <c r="S641" s="35">
        <v>-4.76502E-3</v>
      </c>
      <c r="T641" s="35">
        <v>4.76502E-3</v>
      </c>
      <c r="U641" s="35">
        <v>0</v>
      </c>
      <c r="V641" s="35">
        <v>0</v>
      </c>
    </row>
    <row r="642" spans="1:22">
      <c r="A642" s="7" t="s">
        <v>176</v>
      </c>
      <c r="B642" s="8">
        <v>-2.8449497700634536</v>
      </c>
      <c r="C642" s="8">
        <v>-0.22852225552422287</v>
      </c>
      <c r="D642" s="8">
        <v>-6.9737163040410666E-2</v>
      </c>
      <c r="E642" s="7">
        <v>0</v>
      </c>
      <c r="F642" s="7">
        <v>-1.4990516053215155E-2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L642" s="3">
        <f t="shared" si="84"/>
        <v>-2.0918862808694261E-4</v>
      </c>
      <c r="M642" s="3">
        <v>-2.8450000000000002</v>
      </c>
      <c r="N642" s="3">
        <v>-0.22800000000000001</v>
      </c>
      <c r="O642" s="3">
        <v>-7.0000000000000007E-2</v>
      </c>
      <c r="P642" s="35">
        <v>0</v>
      </c>
      <c r="Q642" s="35">
        <v>-1.49698E-2</v>
      </c>
      <c r="R642" s="35">
        <v>0</v>
      </c>
      <c r="S642" s="35">
        <v>-4.76502E-3</v>
      </c>
      <c r="T642" s="35">
        <v>0</v>
      </c>
      <c r="U642" s="35">
        <v>4.76502E-3</v>
      </c>
      <c r="V642" s="35">
        <v>0</v>
      </c>
    </row>
    <row r="643" spans="1:22">
      <c r="A643" s="7"/>
      <c r="B643" s="8">
        <v>-0.85843073718374274</v>
      </c>
      <c r="C643" s="8">
        <v>1.040962775001312</v>
      </c>
      <c r="D643" s="8">
        <v>-3.7610117674176324E-2</v>
      </c>
      <c r="E643" s="7">
        <v>0</v>
      </c>
      <c r="F643" s="7">
        <v>0</v>
      </c>
      <c r="G643" s="7">
        <v>-1.4990516053215155E-2</v>
      </c>
      <c r="H643" s="7">
        <v>0</v>
      </c>
      <c r="I643" s="7">
        <v>0</v>
      </c>
      <c r="J643" s="7">
        <v>0</v>
      </c>
      <c r="K643" s="7">
        <v>0</v>
      </c>
      <c r="L643" s="3">
        <f t="shared" si="84"/>
        <v>-7.807985660693989E-5</v>
      </c>
      <c r="M643" s="3">
        <v>-0.85799999999999998</v>
      </c>
      <c r="N643" s="3">
        <v>1.0409999999999999</v>
      </c>
      <c r="O643" s="3">
        <v>-3.7999999999999999E-2</v>
      </c>
      <c r="P643" s="35">
        <v>0</v>
      </c>
      <c r="Q643" s="35">
        <v>0</v>
      </c>
      <c r="R643" s="35">
        <v>-1.49698E-2</v>
      </c>
      <c r="S643" s="35">
        <v>-4.76502E-3</v>
      </c>
      <c r="T643" s="35">
        <v>0</v>
      </c>
      <c r="U643" s="35">
        <v>0</v>
      </c>
      <c r="V643" s="35">
        <v>4.76502E-3</v>
      </c>
    </row>
    <row r="644" spans="1:22">
      <c r="A644" s="7"/>
      <c r="B644" s="8"/>
      <c r="C644" s="8"/>
      <c r="D644" s="8"/>
      <c r="E644" s="7"/>
      <c r="F644" s="7"/>
      <c r="G644" s="7"/>
      <c r="H644" s="7"/>
      <c r="I644" s="7"/>
      <c r="J644" s="7"/>
      <c r="K644" s="7"/>
    </row>
    <row r="645" spans="1:22">
      <c r="A645" s="7"/>
      <c r="B645" s="8">
        <v>-2.6959782234951333</v>
      </c>
      <c r="C645" s="8">
        <v>-1.0757798809975587</v>
      </c>
      <c r="D645" s="8">
        <v>-4.997772423355884E-2</v>
      </c>
      <c r="E645" s="7">
        <v>-1.4990516053215155E-2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3">
        <f t="shared" ref="L645:L707" si="91">B645-M645+C645-N645+D645-O645</f>
        <v>2.6417127374940563E-4</v>
      </c>
      <c r="M645" s="3">
        <v>-2.6960000000000002</v>
      </c>
      <c r="N645" s="3">
        <v>-1.0760000000000001</v>
      </c>
      <c r="O645" s="3">
        <v>-0.05</v>
      </c>
      <c r="P645" s="35">
        <v>-1.49698E-2</v>
      </c>
      <c r="Q645" s="35">
        <v>0</v>
      </c>
      <c r="R645" s="35">
        <v>0</v>
      </c>
      <c r="S645" s="35">
        <v>-4.76502E-3</v>
      </c>
      <c r="T645" s="35">
        <v>4.76502E-3</v>
      </c>
      <c r="U645" s="35">
        <v>0</v>
      </c>
      <c r="V645" s="35">
        <v>0</v>
      </c>
    </row>
    <row r="646" spans="1:22">
      <c r="A646" s="7" t="s">
        <v>177</v>
      </c>
      <c r="B646" s="8">
        <v>-2.8449497700634536</v>
      </c>
      <c r="C646" s="8">
        <v>-0.22852225552422287</v>
      </c>
      <c r="D646" s="8">
        <v>-6.9737163040410666E-2</v>
      </c>
      <c r="E646" s="7">
        <v>0</v>
      </c>
      <c r="F646" s="7">
        <v>-1.4990516053215155E-2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L646" s="3">
        <f t="shared" si="84"/>
        <v>-2.0918862808694261E-4</v>
      </c>
      <c r="M646" s="3">
        <v>-2.8450000000000002</v>
      </c>
      <c r="N646" s="3">
        <v>-0.22800000000000001</v>
      </c>
      <c r="O646" s="3">
        <v>-7.0000000000000007E-2</v>
      </c>
      <c r="P646" s="35">
        <v>0</v>
      </c>
      <c r="Q646" s="35">
        <v>-1.49698E-2</v>
      </c>
      <c r="R646" s="35">
        <v>0</v>
      </c>
      <c r="S646" s="35">
        <v>-4.76502E-3</v>
      </c>
      <c r="T646" s="35">
        <v>0</v>
      </c>
      <c r="U646" s="35">
        <v>4.76502E-3</v>
      </c>
      <c r="V646" s="35">
        <v>0</v>
      </c>
    </row>
    <row r="647" spans="1:22">
      <c r="A647" s="7"/>
      <c r="B647" s="8">
        <v>-1.4675604394566215</v>
      </c>
      <c r="C647" s="8">
        <v>1.3235781323919831</v>
      </c>
      <c r="D647" s="8">
        <v>-0.72564008456612294</v>
      </c>
      <c r="E647" s="7">
        <v>0</v>
      </c>
      <c r="F647" s="7">
        <v>0</v>
      </c>
      <c r="G647" s="7">
        <v>-1.4990516053215155E-2</v>
      </c>
      <c r="H647" s="7">
        <v>0</v>
      </c>
      <c r="I647" s="7">
        <v>0</v>
      </c>
      <c r="J647" s="7">
        <v>0</v>
      </c>
      <c r="K647" s="7">
        <v>0</v>
      </c>
      <c r="L647" s="3">
        <f t="shared" si="84"/>
        <v>-6.2239163076138748E-4</v>
      </c>
      <c r="M647" s="3">
        <v>-1.4670000000000001</v>
      </c>
      <c r="N647" s="3">
        <v>1.3240000000000001</v>
      </c>
      <c r="O647" s="3">
        <v>-0.72599999999999998</v>
      </c>
      <c r="P647" s="35">
        <v>0</v>
      </c>
      <c r="Q647" s="35">
        <v>0</v>
      </c>
      <c r="R647" s="35">
        <v>-1.49698E-2</v>
      </c>
      <c r="S647" s="35">
        <v>-4.76502E-3</v>
      </c>
      <c r="T647" s="35">
        <v>0</v>
      </c>
      <c r="U647" s="35">
        <v>0</v>
      </c>
      <c r="V647" s="35">
        <v>4.76502E-3</v>
      </c>
    </row>
    <row r="648" spans="1:22">
      <c r="A648" s="7"/>
      <c r="B648" s="8"/>
      <c r="C648" s="8"/>
      <c r="D648" s="8"/>
      <c r="E648" s="7"/>
      <c r="F648" s="7"/>
      <c r="G648" s="7"/>
      <c r="H648" s="7"/>
      <c r="I648" s="7"/>
      <c r="J648" s="7"/>
      <c r="K648" s="7"/>
    </row>
    <row r="649" spans="1:22">
      <c r="A649" s="7"/>
      <c r="B649" s="8">
        <v>-2.6959782234951333</v>
      </c>
      <c r="C649" s="8">
        <v>-1.0757798809975587</v>
      </c>
      <c r="D649" s="8">
        <v>-4.997772423355884E-2</v>
      </c>
      <c r="E649" s="7">
        <v>-1.4990516053215155E-2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3">
        <f t="shared" ref="L649" si="92">B649-M649+C649-N649+D649-O649</f>
        <v>2.6417127374940563E-4</v>
      </c>
      <c r="M649" s="3">
        <v>-2.6960000000000002</v>
      </c>
      <c r="N649" s="3">
        <v>-1.0760000000000001</v>
      </c>
      <c r="O649" s="3">
        <v>-0.05</v>
      </c>
      <c r="P649" s="35">
        <v>-1.49698E-2</v>
      </c>
      <c r="Q649" s="35">
        <v>0</v>
      </c>
      <c r="R649" s="35">
        <v>0</v>
      </c>
      <c r="S649" s="35">
        <v>-4.76502E-3</v>
      </c>
      <c r="T649" s="35">
        <v>4.76502E-3</v>
      </c>
      <c r="U649" s="35">
        <v>0</v>
      </c>
      <c r="V649" s="35">
        <v>0</v>
      </c>
    </row>
    <row r="650" spans="1:22">
      <c r="A650" s="7" t="s">
        <v>178</v>
      </c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-1.4990516053215155E-2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L650" s="3">
        <f t="shared" si="83"/>
        <v>-8.9116669979390911E-4</v>
      </c>
      <c r="M650" s="3">
        <v>-2.4769999999999999</v>
      </c>
      <c r="N650" s="3">
        <v>1.0609999999999999</v>
      </c>
      <c r="O650" s="3">
        <v>0.04</v>
      </c>
      <c r="P650" s="35">
        <v>0</v>
      </c>
      <c r="Q650" s="35">
        <v>-1.49698E-2</v>
      </c>
      <c r="R650" s="35">
        <v>0</v>
      </c>
      <c r="S650" s="35">
        <v>-4.76502E-3</v>
      </c>
      <c r="T650" s="35">
        <v>0</v>
      </c>
      <c r="U650" s="35">
        <v>4.76502E-3</v>
      </c>
      <c r="V650" s="35">
        <v>0</v>
      </c>
    </row>
    <row r="651" spans="1:22">
      <c r="A651" s="7"/>
      <c r="B651" s="8">
        <v>-0.85843073718374274</v>
      </c>
      <c r="C651" s="8">
        <v>1.040962775001312</v>
      </c>
      <c r="D651" s="8">
        <v>-3.7610117674176324E-2</v>
      </c>
      <c r="E651" s="7">
        <v>0</v>
      </c>
      <c r="F651" s="7">
        <v>0</v>
      </c>
      <c r="G651" s="7">
        <v>-1.4990516053215155E-2</v>
      </c>
      <c r="H651" s="7">
        <v>0</v>
      </c>
      <c r="I651" s="7">
        <v>0</v>
      </c>
      <c r="J651" s="7">
        <v>0</v>
      </c>
      <c r="K651" s="7">
        <v>0</v>
      </c>
      <c r="L651" s="3">
        <f t="shared" si="83"/>
        <v>-7.807985660693989E-5</v>
      </c>
      <c r="M651" s="3">
        <v>-0.85799999999999998</v>
      </c>
      <c r="N651" s="3">
        <v>1.0409999999999999</v>
      </c>
      <c r="O651" s="3">
        <v>-3.7999999999999999E-2</v>
      </c>
      <c r="P651" s="35">
        <v>0</v>
      </c>
      <c r="Q651" s="35">
        <v>0</v>
      </c>
      <c r="R651" s="35">
        <v>-1.49698E-2</v>
      </c>
      <c r="S651" s="35">
        <v>-4.76502E-3</v>
      </c>
      <c r="T651" s="35">
        <v>0</v>
      </c>
      <c r="U651" s="35">
        <v>0</v>
      </c>
      <c r="V651" s="35">
        <v>4.76502E-3</v>
      </c>
    </row>
    <row r="652" spans="1:22">
      <c r="A652" s="7"/>
      <c r="B652" s="8"/>
      <c r="C652" s="8"/>
      <c r="D652" s="8"/>
      <c r="E652" s="7"/>
      <c r="F652" s="7"/>
      <c r="G652" s="7"/>
      <c r="H652" s="7"/>
      <c r="I652" s="7"/>
      <c r="J652" s="7"/>
      <c r="K652" s="7"/>
    </row>
    <row r="653" spans="1:22">
      <c r="A653" s="7"/>
      <c r="B653" s="8">
        <v>-2.6959782234951333</v>
      </c>
      <c r="C653" s="8">
        <v>-1.0757798809975587</v>
      </c>
      <c r="D653" s="8">
        <v>-4.997772423355884E-2</v>
      </c>
      <c r="E653" s="7">
        <v>-1.4990516053215155E-2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3">
        <f t="shared" si="84"/>
        <v>2.6417127374940563E-4</v>
      </c>
      <c r="M653" s="3">
        <v>-2.6960000000000002</v>
      </c>
      <c r="N653" s="3">
        <v>-1.0760000000000001</v>
      </c>
      <c r="O653" s="3">
        <v>-0.05</v>
      </c>
      <c r="P653" s="35">
        <v>-1.49698E-2</v>
      </c>
      <c r="Q653" s="35">
        <v>0</v>
      </c>
      <c r="R653" s="35">
        <v>0</v>
      </c>
      <c r="S653" s="35">
        <v>-4.76502E-3</v>
      </c>
      <c r="T653" s="35">
        <v>4.76502E-3</v>
      </c>
      <c r="U653" s="35">
        <v>0</v>
      </c>
      <c r="V653" s="35">
        <v>0</v>
      </c>
    </row>
    <row r="654" spans="1:22">
      <c r="A654" s="7" t="s">
        <v>179</v>
      </c>
      <c r="B654" s="8">
        <v>-2.4772611105726599</v>
      </c>
      <c r="C654" s="8">
        <v>1.0605572692523213</v>
      </c>
      <c r="D654" s="8">
        <v>3.9812674620544719E-2</v>
      </c>
      <c r="E654" s="7">
        <v>0</v>
      </c>
      <c r="F654" s="7">
        <v>-1.4990516053215155E-2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3">
        <f t="shared" si="84"/>
        <v>-8.9116669979390911E-4</v>
      </c>
      <c r="M654" s="3">
        <v>-2.4769999999999999</v>
      </c>
      <c r="N654" s="3">
        <v>1.0609999999999999</v>
      </c>
      <c r="O654" s="3">
        <v>0.04</v>
      </c>
      <c r="P654" s="35">
        <v>0</v>
      </c>
      <c r="Q654" s="35">
        <v>-1.49698E-2</v>
      </c>
      <c r="R654" s="35">
        <v>0</v>
      </c>
      <c r="S654" s="35">
        <v>-4.76502E-3</v>
      </c>
      <c r="T654" s="35">
        <v>0</v>
      </c>
      <c r="U654" s="35">
        <v>4.76502E-3</v>
      </c>
      <c r="V654" s="35">
        <v>0</v>
      </c>
    </row>
    <row r="655" spans="1:22">
      <c r="A655" s="7"/>
      <c r="B655" s="8">
        <v>-1.4675604394566215</v>
      </c>
      <c r="C655" s="8">
        <v>1.3235781323919831</v>
      </c>
      <c r="D655" s="8">
        <v>-0.72564008456612294</v>
      </c>
      <c r="E655" s="7">
        <v>0</v>
      </c>
      <c r="F655" s="7">
        <v>0</v>
      </c>
      <c r="G655" s="7">
        <v>-1.4990516053215155E-2</v>
      </c>
      <c r="H655" s="7">
        <v>0</v>
      </c>
      <c r="I655" s="7">
        <v>0</v>
      </c>
      <c r="J655" s="7">
        <v>0</v>
      </c>
      <c r="K655" s="7">
        <v>0</v>
      </c>
      <c r="L655" s="3">
        <f t="shared" si="84"/>
        <v>-6.2239163076138748E-4</v>
      </c>
      <c r="M655" s="3">
        <v>-1.4670000000000001</v>
      </c>
      <c r="N655" s="3">
        <v>1.3240000000000001</v>
      </c>
      <c r="O655" s="3">
        <v>-0.72599999999999998</v>
      </c>
      <c r="P655" s="35">
        <v>0</v>
      </c>
      <c r="Q655" s="35">
        <v>0</v>
      </c>
      <c r="R655" s="35">
        <v>-1.49698E-2</v>
      </c>
      <c r="S655" s="35">
        <v>-4.76502E-3</v>
      </c>
      <c r="T655" s="35">
        <v>0</v>
      </c>
      <c r="U655" s="35">
        <v>0</v>
      </c>
      <c r="V655" s="35">
        <v>4.76502E-3</v>
      </c>
    </row>
    <row r="656" spans="1:22">
      <c r="A656" s="7"/>
      <c r="B656" s="8"/>
      <c r="C656" s="8"/>
      <c r="D656" s="8"/>
      <c r="E656" s="7"/>
      <c r="F656" s="7"/>
      <c r="G656" s="7"/>
      <c r="H656" s="7"/>
      <c r="I656" s="7"/>
      <c r="J656" s="7"/>
      <c r="K656" s="7"/>
    </row>
    <row r="657" spans="1:22">
      <c r="A657" s="7"/>
      <c r="B657" s="8">
        <v>-2.6959782234951333</v>
      </c>
      <c r="C657" s="8">
        <v>-1.0757798809975587</v>
      </c>
      <c r="D657" s="8">
        <v>-4.997772423355884E-2</v>
      </c>
      <c r="E657" s="7">
        <v>-1.4990516053215155E-2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3">
        <f t="shared" si="85"/>
        <v>2.6417127374940563E-4</v>
      </c>
      <c r="M657" s="3">
        <v>-2.6960000000000002</v>
      </c>
      <c r="N657" s="3">
        <v>-1.0760000000000001</v>
      </c>
      <c r="O657" s="3">
        <v>-0.05</v>
      </c>
      <c r="P657" s="35">
        <v>-1.49698E-2</v>
      </c>
      <c r="Q657" s="35">
        <v>0</v>
      </c>
      <c r="R657" s="35">
        <v>0</v>
      </c>
      <c r="S657" s="35">
        <v>-4.76502E-3</v>
      </c>
      <c r="T657" s="35">
        <v>4.76502E-3</v>
      </c>
      <c r="U657" s="35">
        <v>0</v>
      </c>
      <c r="V657" s="35">
        <v>0</v>
      </c>
    </row>
    <row r="658" spans="1:22">
      <c r="A658" s="7" t="s">
        <v>180</v>
      </c>
      <c r="B658" s="8">
        <v>-0.85843073718374274</v>
      </c>
      <c r="C658" s="8">
        <v>1.040962775001312</v>
      </c>
      <c r="D658" s="8">
        <v>-3.7610117674176324E-2</v>
      </c>
      <c r="E658" s="7">
        <v>0</v>
      </c>
      <c r="F658" s="7">
        <v>-1.4990516053215155E-2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L658" s="3">
        <f t="shared" si="84"/>
        <v>-7.807985660693989E-5</v>
      </c>
      <c r="M658" s="3">
        <v>-0.85799999999999998</v>
      </c>
      <c r="N658" s="3">
        <v>1.0409999999999999</v>
      </c>
      <c r="O658" s="3">
        <v>-3.7999999999999999E-2</v>
      </c>
      <c r="P658" s="35">
        <v>0</v>
      </c>
      <c r="Q658" s="35">
        <v>-1.49698E-2</v>
      </c>
      <c r="R658" s="35">
        <v>0</v>
      </c>
      <c r="S658" s="35">
        <v>-4.76502E-3</v>
      </c>
      <c r="T658" s="35">
        <v>0</v>
      </c>
      <c r="U658" s="35">
        <v>4.76502E-3</v>
      </c>
      <c r="V658" s="35">
        <v>0</v>
      </c>
    </row>
    <row r="659" spans="1:22">
      <c r="A659" s="7"/>
      <c r="B659" s="8">
        <v>-1.4675604394566215</v>
      </c>
      <c r="C659" s="8">
        <v>1.3235781323919831</v>
      </c>
      <c r="D659" s="8">
        <v>-0.72564008456612294</v>
      </c>
      <c r="E659" s="7">
        <v>0</v>
      </c>
      <c r="F659" s="7">
        <v>0</v>
      </c>
      <c r="G659" s="7">
        <v>-1.4990516053215155E-2</v>
      </c>
      <c r="H659" s="7">
        <v>0</v>
      </c>
      <c r="I659" s="7">
        <v>0</v>
      </c>
      <c r="J659" s="7">
        <v>0</v>
      </c>
      <c r="K659" s="7">
        <v>0</v>
      </c>
      <c r="L659" s="3">
        <f t="shared" si="84"/>
        <v>-6.2239163076138748E-4</v>
      </c>
      <c r="M659" s="3">
        <v>-1.4670000000000001</v>
      </c>
      <c r="N659" s="3">
        <v>1.3240000000000001</v>
      </c>
      <c r="O659" s="3">
        <v>-0.72599999999999998</v>
      </c>
      <c r="P659" s="35">
        <v>0</v>
      </c>
      <c r="Q659" s="35">
        <v>0</v>
      </c>
      <c r="R659" s="35">
        <v>-1.49698E-2</v>
      </c>
      <c r="S659" s="35">
        <v>-4.76502E-3</v>
      </c>
      <c r="T659" s="35">
        <v>0</v>
      </c>
      <c r="U659" s="35">
        <v>0</v>
      </c>
      <c r="V659" s="35">
        <v>4.76502E-3</v>
      </c>
    </row>
    <row r="660" spans="1:22">
      <c r="A660" s="7"/>
      <c r="B660" s="8"/>
      <c r="C660" s="8"/>
      <c r="D660" s="8"/>
      <c r="E660" s="7"/>
      <c r="F660" s="7"/>
      <c r="G660" s="7"/>
      <c r="H660" s="7"/>
      <c r="I660" s="7"/>
      <c r="J660" s="7"/>
      <c r="K660" s="7"/>
    </row>
    <row r="661" spans="1:22">
      <c r="A661" s="7"/>
      <c r="B661" s="8">
        <v>-0.40019020491700363</v>
      </c>
      <c r="C661" s="8">
        <v>-1.0840062473010013</v>
      </c>
      <c r="D661" s="8">
        <v>-1.6840506224230944E-2</v>
      </c>
      <c r="E661" s="7">
        <v>-1.4990516053215155E-2</v>
      </c>
      <c r="F661" s="7">
        <v>0</v>
      </c>
      <c r="G661" s="7">
        <v>0</v>
      </c>
      <c r="H661" s="7">
        <v>-1.6236379226863738E-2</v>
      </c>
      <c r="I661" s="7">
        <v>2.2872089329671663E-2</v>
      </c>
      <c r="J661" s="7">
        <v>0</v>
      </c>
      <c r="K661" s="7">
        <v>0</v>
      </c>
      <c r="L661" s="3">
        <f t="shared" si="86"/>
        <v>-3.6958442235626721E-5</v>
      </c>
      <c r="M661" s="3">
        <v>-0.4</v>
      </c>
      <c r="N661" s="3">
        <v>-1.0840000000000001</v>
      </c>
      <c r="O661" s="3">
        <v>-1.7000000000000001E-2</v>
      </c>
      <c r="P661" s="35">
        <v>-1.49698E-2</v>
      </c>
      <c r="Q661" s="35">
        <v>0</v>
      </c>
      <c r="R661" s="35">
        <v>0</v>
      </c>
      <c r="S661" s="35">
        <v>-4.76502E-3</v>
      </c>
      <c r="T661" s="35">
        <v>4.76502E-3</v>
      </c>
      <c r="U661" s="35">
        <v>0</v>
      </c>
      <c r="V661" s="35">
        <v>0</v>
      </c>
    </row>
    <row r="662" spans="1:22">
      <c r="A662" s="7" t="s">
        <v>181</v>
      </c>
      <c r="B662" s="8">
        <v>-2.8449497700634536</v>
      </c>
      <c r="C662" s="8">
        <v>-0.22852225552422287</v>
      </c>
      <c r="D662" s="8">
        <v>-6.9737163040410666E-2</v>
      </c>
      <c r="E662" s="7">
        <v>0</v>
      </c>
      <c r="F662" s="7">
        <v>-1.4990516053215155E-2</v>
      </c>
      <c r="G662" s="7">
        <v>0</v>
      </c>
      <c r="H662" s="7">
        <v>-1.6236379226863738E-2</v>
      </c>
      <c r="I662" s="7">
        <v>0</v>
      </c>
      <c r="J662" s="7">
        <v>2.2385887789414392E-2</v>
      </c>
      <c r="K662" s="7">
        <v>0</v>
      </c>
      <c r="L662" s="3">
        <f t="shared" si="84"/>
        <v>-2.0918862808694261E-4</v>
      </c>
      <c r="M662" s="3">
        <v>-2.8450000000000002</v>
      </c>
      <c r="N662" s="3">
        <v>-0.22800000000000001</v>
      </c>
      <c r="O662" s="3">
        <v>-7.0000000000000007E-2</v>
      </c>
      <c r="P662" s="35">
        <v>0</v>
      </c>
      <c r="Q662" s="35">
        <v>-1.49698E-2</v>
      </c>
      <c r="R662" s="35">
        <v>0</v>
      </c>
      <c r="S662" s="35">
        <v>-4.76502E-3</v>
      </c>
      <c r="T662" s="35">
        <v>0</v>
      </c>
      <c r="U662" s="35">
        <v>4.76502E-3</v>
      </c>
      <c r="V662" s="35">
        <v>0</v>
      </c>
    </row>
    <row r="663" spans="1:22">
      <c r="A663" s="7"/>
      <c r="B663" s="8">
        <v>-2.4772611105726599</v>
      </c>
      <c r="C663" s="8">
        <v>1.0605572692523213</v>
      </c>
      <c r="D663" s="8">
        <v>3.9812674620544719E-2</v>
      </c>
      <c r="E663" s="7">
        <v>0</v>
      </c>
      <c r="F663" s="7">
        <v>0</v>
      </c>
      <c r="G663" s="7">
        <v>-1.4990516053215155E-2</v>
      </c>
      <c r="H663" s="7">
        <v>-1.6236379226863738E-2</v>
      </c>
      <c r="I663" s="7">
        <v>0</v>
      </c>
      <c r="J663" s="7">
        <v>0</v>
      </c>
      <c r="K663" s="7">
        <v>1.5970575730977998E-2</v>
      </c>
      <c r="L663" s="3">
        <f t="shared" si="84"/>
        <v>-8.9116669979390911E-4</v>
      </c>
      <c r="M663" s="3">
        <v>-2.4769999999999999</v>
      </c>
      <c r="N663" s="3">
        <v>1.0609999999999999</v>
      </c>
      <c r="O663" s="3">
        <v>0.04</v>
      </c>
      <c r="P663" s="35">
        <v>0</v>
      </c>
      <c r="Q663" s="35">
        <v>0</v>
      </c>
      <c r="R663" s="35">
        <v>-1.49698E-2</v>
      </c>
      <c r="S663" s="35">
        <v>-4.76502E-3</v>
      </c>
      <c r="T663" s="35">
        <v>0</v>
      </c>
      <c r="U663" s="35">
        <v>0</v>
      </c>
      <c r="V663" s="35">
        <v>4.76502E-3</v>
      </c>
    </row>
    <row r="664" spans="1:22">
      <c r="A664" s="7"/>
      <c r="B664" s="8"/>
      <c r="C664" s="8"/>
      <c r="D664" s="8"/>
      <c r="E664" s="7"/>
      <c r="F664" s="7"/>
      <c r="G664" s="7"/>
      <c r="H664" s="7"/>
      <c r="I664" s="7"/>
      <c r="J664" s="7"/>
      <c r="K664" s="7"/>
    </row>
    <row r="665" spans="1:22">
      <c r="A665" s="7"/>
      <c r="B665" s="8">
        <v>-0.40019020491700363</v>
      </c>
      <c r="C665" s="8">
        <v>-1.0840062473010013</v>
      </c>
      <c r="D665" s="8">
        <v>-1.6840506224230944E-2</v>
      </c>
      <c r="E665" s="7">
        <v>-1.4990516053215155E-2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3">
        <f t="shared" si="87"/>
        <v>-3.6958442235626721E-5</v>
      </c>
      <c r="M665" s="3">
        <v>-0.4</v>
      </c>
      <c r="N665" s="3">
        <v>-1.0840000000000001</v>
      </c>
      <c r="O665" s="3">
        <v>-1.7000000000000001E-2</v>
      </c>
      <c r="P665" s="35">
        <v>-1.49698E-2</v>
      </c>
      <c r="Q665" s="35">
        <v>0</v>
      </c>
      <c r="R665" s="35">
        <v>0</v>
      </c>
      <c r="S665" s="35">
        <v>-4.76502E-3</v>
      </c>
      <c r="T665" s="35">
        <v>4.76502E-3</v>
      </c>
      <c r="U665" s="35">
        <v>0</v>
      </c>
      <c r="V665" s="35">
        <v>0</v>
      </c>
    </row>
    <row r="666" spans="1:22">
      <c r="A666" s="7" t="s">
        <v>182</v>
      </c>
      <c r="B666" s="8">
        <v>-2.8449497700634536</v>
      </c>
      <c r="C666" s="8">
        <v>-0.22852225552422287</v>
      </c>
      <c r="D666" s="8">
        <v>-6.9737163040410666E-2</v>
      </c>
      <c r="E666" s="7">
        <v>0</v>
      </c>
      <c r="F666" s="7">
        <v>-1.4990516053215155E-2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L666" s="3">
        <f t="shared" si="84"/>
        <v>-2.0918862808694261E-4</v>
      </c>
      <c r="M666" s="3">
        <v>-2.8450000000000002</v>
      </c>
      <c r="N666" s="3">
        <v>-0.22800000000000001</v>
      </c>
      <c r="O666" s="3">
        <v>-7.0000000000000007E-2</v>
      </c>
      <c r="P666" s="35">
        <v>0</v>
      </c>
      <c r="Q666" s="35">
        <v>-1.49698E-2</v>
      </c>
      <c r="R666" s="35">
        <v>0</v>
      </c>
      <c r="S666" s="35">
        <v>-4.76502E-3</v>
      </c>
      <c r="T666" s="35">
        <v>0</v>
      </c>
      <c r="U666" s="35">
        <v>4.76502E-3</v>
      </c>
      <c r="V666" s="35">
        <v>0</v>
      </c>
    </row>
    <row r="667" spans="1:22">
      <c r="A667" s="7"/>
      <c r="B667" s="8">
        <v>-0.85843073718374274</v>
      </c>
      <c r="C667" s="8">
        <v>1.040962775001312</v>
      </c>
      <c r="D667" s="8">
        <v>-3.7610117674176324E-2</v>
      </c>
      <c r="E667" s="7">
        <v>0</v>
      </c>
      <c r="F667" s="7">
        <v>0</v>
      </c>
      <c r="G667" s="7">
        <v>-1.4990516053215155E-2</v>
      </c>
      <c r="H667" s="7">
        <v>0</v>
      </c>
      <c r="I667" s="7">
        <v>0</v>
      </c>
      <c r="J667" s="7">
        <v>0</v>
      </c>
      <c r="K667" s="7">
        <v>0</v>
      </c>
      <c r="L667" s="3">
        <f t="shared" si="84"/>
        <v>-7.807985660693989E-5</v>
      </c>
      <c r="M667" s="3">
        <v>-0.85799999999999998</v>
      </c>
      <c r="N667" s="3">
        <v>1.0409999999999999</v>
      </c>
      <c r="O667" s="3">
        <v>-3.7999999999999999E-2</v>
      </c>
      <c r="P667" s="35">
        <v>0</v>
      </c>
      <c r="Q667" s="35">
        <v>0</v>
      </c>
      <c r="R667" s="35">
        <v>-1.49698E-2</v>
      </c>
      <c r="S667" s="35">
        <v>-4.76502E-3</v>
      </c>
      <c r="T667" s="35">
        <v>0</v>
      </c>
      <c r="U667" s="35">
        <v>0</v>
      </c>
      <c r="V667" s="35">
        <v>4.76502E-3</v>
      </c>
    </row>
    <row r="668" spans="1:22">
      <c r="A668" s="7"/>
      <c r="B668" s="8"/>
      <c r="C668" s="8"/>
      <c r="D668" s="8"/>
      <c r="E668" s="7"/>
      <c r="F668" s="7"/>
      <c r="G668" s="7"/>
      <c r="H668" s="7"/>
      <c r="I668" s="7"/>
      <c r="J668" s="7"/>
      <c r="K668" s="7"/>
    </row>
    <row r="669" spans="1:22">
      <c r="A669" s="7"/>
      <c r="B669" s="8">
        <v>-0.40019020491700363</v>
      </c>
      <c r="C669" s="8">
        <v>-1.0840062473010013</v>
      </c>
      <c r="D669" s="8">
        <v>-1.6840506224230944E-2</v>
      </c>
      <c r="E669" s="7">
        <v>-1.4990516053215155E-2</v>
      </c>
      <c r="F669" s="7">
        <v>0</v>
      </c>
      <c r="G669" s="7">
        <v>0</v>
      </c>
      <c r="H669" s="7">
        <v>-1.6236379226863738E-2</v>
      </c>
      <c r="I669" s="7">
        <v>2.2872089329671663E-2</v>
      </c>
      <c r="J669" s="7">
        <v>0</v>
      </c>
      <c r="K669" s="7">
        <v>0</v>
      </c>
      <c r="L669" s="3">
        <f t="shared" si="88"/>
        <v>-3.6958442235626721E-5</v>
      </c>
      <c r="M669" s="3">
        <v>-0.4</v>
      </c>
      <c r="N669" s="3">
        <v>-1.0840000000000001</v>
      </c>
      <c r="O669" s="3">
        <v>-1.7000000000000001E-2</v>
      </c>
      <c r="P669" s="35">
        <v>-1.49698E-2</v>
      </c>
      <c r="Q669" s="35">
        <v>0</v>
      </c>
      <c r="R669" s="35">
        <v>0</v>
      </c>
      <c r="S669" s="35">
        <v>-4.76502E-3</v>
      </c>
      <c r="T669" s="35">
        <v>4.76502E-3</v>
      </c>
      <c r="U669" s="35">
        <v>0</v>
      </c>
      <c r="V669" s="35">
        <v>0</v>
      </c>
    </row>
    <row r="670" spans="1:22">
      <c r="A670" s="7" t="s">
        <v>183</v>
      </c>
      <c r="B670" s="8">
        <v>-2.8449497700634536</v>
      </c>
      <c r="C670" s="8">
        <v>-0.22852225552422287</v>
      </c>
      <c r="D670" s="8">
        <v>-6.9737163040410666E-2</v>
      </c>
      <c r="E670" s="7">
        <v>0</v>
      </c>
      <c r="F670" s="7">
        <v>-1.4990516053215155E-2</v>
      </c>
      <c r="G670" s="7">
        <v>0</v>
      </c>
      <c r="H670" s="7">
        <v>-1.6236379226863738E-2</v>
      </c>
      <c r="I670" s="7">
        <v>0</v>
      </c>
      <c r="J670" s="7">
        <v>2.2385887789414392E-2</v>
      </c>
      <c r="K670" s="7">
        <v>0</v>
      </c>
      <c r="L670" s="3">
        <f t="shared" si="84"/>
        <v>-2.0918862808694261E-4</v>
      </c>
      <c r="M670" s="3">
        <v>-2.8450000000000002</v>
      </c>
      <c r="N670" s="3">
        <v>-0.22800000000000001</v>
      </c>
      <c r="O670" s="3">
        <v>-7.0000000000000007E-2</v>
      </c>
      <c r="P670" s="35">
        <v>0</v>
      </c>
      <c r="Q670" s="35">
        <v>-1.49698E-2</v>
      </c>
      <c r="R670" s="35">
        <v>0</v>
      </c>
      <c r="S670" s="35">
        <v>-4.76502E-3</v>
      </c>
      <c r="T670" s="35">
        <v>0</v>
      </c>
      <c r="U670" s="35">
        <v>4.76502E-3</v>
      </c>
      <c r="V670" s="35">
        <v>0</v>
      </c>
    </row>
    <row r="671" spans="1:22">
      <c r="A671" s="7"/>
      <c r="B671" s="8">
        <v>-1.4675604394566215</v>
      </c>
      <c r="C671" s="8">
        <v>1.3235781323919831</v>
      </c>
      <c r="D671" s="8">
        <v>-0.72564008456612294</v>
      </c>
      <c r="E671" s="7">
        <v>0</v>
      </c>
      <c r="F671" s="7">
        <v>0</v>
      </c>
      <c r="G671" s="7">
        <v>-1.4990516053215155E-2</v>
      </c>
      <c r="H671" s="7">
        <v>-1.6236379226863738E-2</v>
      </c>
      <c r="I671" s="7">
        <v>0</v>
      </c>
      <c r="J671" s="7">
        <v>0</v>
      </c>
      <c r="K671" s="7">
        <v>2.0521745021313972E-2</v>
      </c>
      <c r="L671" s="3">
        <f t="shared" si="84"/>
        <v>-6.2239163076138748E-4</v>
      </c>
      <c r="M671" s="3">
        <v>-1.4670000000000001</v>
      </c>
      <c r="N671" s="3">
        <v>1.3240000000000001</v>
      </c>
      <c r="O671" s="3">
        <v>-0.72599999999999998</v>
      </c>
      <c r="P671" s="35">
        <v>0</v>
      </c>
      <c r="Q671" s="35">
        <v>0</v>
      </c>
      <c r="R671" s="35">
        <v>-1.49698E-2</v>
      </c>
      <c r="S671" s="35">
        <v>-4.76502E-3</v>
      </c>
      <c r="T671" s="35">
        <v>0</v>
      </c>
      <c r="U671" s="35">
        <v>0</v>
      </c>
      <c r="V671" s="35">
        <v>4.76502E-3</v>
      </c>
    </row>
    <row r="672" spans="1:22">
      <c r="A672" s="7"/>
      <c r="B672" s="8"/>
      <c r="C672" s="8"/>
      <c r="D672" s="8"/>
      <c r="E672" s="7"/>
      <c r="F672" s="7"/>
      <c r="G672" s="7"/>
      <c r="H672" s="7"/>
      <c r="I672" s="7"/>
      <c r="J672" s="7"/>
      <c r="K672" s="7"/>
    </row>
    <row r="673" spans="1:22">
      <c r="A673" s="7"/>
      <c r="B673" s="8">
        <v>-0.40019020491700363</v>
      </c>
      <c r="C673" s="8">
        <v>-1.0840062473010013</v>
      </c>
      <c r="D673" s="8">
        <v>-1.6840506224230944E-2</v>
      </c>
      <c r="E673" s="7">
        <v>-1.4990516053215155E-2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3">
        <f t="shared" si="89"/>
        <v>-3.6958442235626721E-5</v>
      </c>
      <c r="M673" s="3">
        <v>-0.4</v>
      </c>
      <c r="N673" s="3">
        <v>-1.0840000000000001</v>
      </c>
      <c r="O673" s="3">
        <v>-1.7000000000000001E-2</v>
      </c>
      <c r="P673" s="35">
        <v>-1.49698E-2</v>
      </c>
      <c r="Q673" s="35">
        <v>0</v>
      </c>
      <c r="R673" s="35">
        <v>0</v>
      </c>
      <c r="S673" s="35">
        <v>-4.76502E-3</v>
      </c>
      <c r="T673" s="35">
        <v>4.76502E-3</v>
      </c>
      <c r="U673" s="35">
        <v>0</v>
      </c>
      <c r="V673" s="35">
        <v>0</v>
      </c>
    </row>
    <row r="674" spans="1:22">
      <c r="A674" s="7" t="s">
        <v>184</v>
      </c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-1.4990516053215155E-2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L674" s="3">
        <f t="shared" si="84"/>
        <v>-8.9116669979390911E-4</v>
      </c>
      <c r="M674" s="3">
        <v>-2.4769999999999999</v>
      </c>
      <c r="N674" s="3">
        <v>1.0609999999999999</v>
      </c>
      <c r="O674" s="3">
        <v>0.04</v>
      </c>
      <c r="P674" s="35">
        <v>0</v>
      </c>
      <c r="Q674" s="35">
        <v>-1.49698E-2</v>
      </c>
      <c r="R674" s="35">
        <v>0</v>
      </c>
      <c r="S674" s="35">
        <v>-4.76502E-3</v>
      </c>
      <c r="T674" s="35">
        <v>0</v>
      </c>
      <c r="U674" s="35">
        <v>4.76502E-3</v>
      </c>
      <c r="V674" s="35">
        <v>0</v>
      </c>
    </row>
    <row r="675" spans="1:22">
      <c r="A675" s="7"/>
      <c r="B675" s="8">
        <v>-0.85843073718374274</v>
      </c>
      <c r="C675" s="8">
        <v>1.040962775001312</v>
      </c>
      <c r="D675" s="8">
        <v>-3.7610117674176324E-2</v>
      </c>
      <c r="E675" s="7">
        <v>0</v>
      </c>
      <c r="F675" s="7">
        <v>0</v>
      </c>
      <c r="G675" s="7">
        <v>-1.4990516053215155E-2</v>
      </c>
      <c r="H675" s="7">
        <v>0</v>
      </c>
      <c r="I675" s="7">
        <v>0</v>
      </c>
      <c r="J675" s="7">
        <v>0</v>
      </c>
      <c r="K675" s="7">
        <v>0</v>
      </c>
      <c r="L675" s="3">
        <f t="shared" si="84"/>
        <v>-7.807985660693989E-5</v>
      </c>
      <c r="M675" s="3">
        <v>-0.85799999999999998</v>
      </c>
      <c r="N675" s="3">
        <v>1.0409999999999999</v>
      </c>
      <c r="O675" s="3">
        <v>-3.7999999999999999E-2</v>
      </c>
      <c r="P675" s="35">
        <v>0</v>
      </c>
      <c r="Q675" s="35">
        <v>0</v>
      </c>
      <c r="R675" s="35">
        <v>-1.49698E-2</v>
      </c>
      <c r="S675" s="35">
        <v>-4.76502E-3</v>
      </c>
      <c r="T675" s="35">
        <v>0</v>
      </c>
      <c r="U675" s="35">
        <v>0</v>
      </c>
      <c r="V675" s="35">
        <v>4.76502E-3</v>
      </c>
    </row>
    <row r="676" spans="1:22">
      <c r="A676" s="7"/>
      <c r="B676" s="8"/>
      <c r="C676" s="8"/>
      <c r="D676" s="8"/>
      <c r="E676" s="7"/>
      <c r="F676" s="7"/>
      <c r="G676" s="7"/>
      <c r="H676" s="7"/>
      <c r="I676" s="7"/>
      <c r="J676" s="7"/>
      <c r="K676" s="7"/>
    </row>
    <row r="677" spans="1:22">
      <c r="A677" s="7"/>
      <c r="B677" s="8">
        <v>-0.40019020491700363</v>
      </c>
      <c r="C677" s="8">
        <v>-1.0840062473010013</v>
      </c>
      <c r="D677" s="8">
        <v>-1.6840506224230944E-2</v>
      </c>
      <c r="E677" s="7">
        <v>-1.4990516053215155E-2</v>
      </c>
      <c r="F677" s="7">
        <v>0</v>
      </c>
      <c r="G677" s="7">
        <v>0</v>
      </c>
      <c r="H677" s="7">
        <v>-1.6236379226863738E-2</v>
      </c>
      <c r="I677" s="7">
        <v>2.2872089329671663E-2</v>
      </c>
      <c r="J677" s="7">
        <v>0</v>
      </c>
      <c r="K677" s="7">
        <v>0</v>
      </c>
      <c r="L677" s="3">
        <f t="shared" si="90"/>
        <v>-3.6958442235626721E-5</v>
      </c>
      <c r="M677" s="3">
        <v>-0.4</v>
      </c>
      <c r="N677" s="3">
        <v>-1.0840000000000001</v>
      </c>
      <c r="O677" s="3">
        <v>-1.7000000000000001E-2</v>
      </c>
      <c r="P677" s="35">
        <v>-1.49698E-2</v>
      </c>
      <c r="Q677" s="35">
        <v>0</v>
      </c>
      <c r="R677" s="35">
        <v>0</v>
      </c>
      <c r="S677" s="35">
        <v>-4.76502E-3</v>
      </c>
      <c r="T677" s="35">
        <v>4.76502E-3</v>
      </c>
      <c r="U677" s="35">
        <v>0</v>
      </c>
      <c r="V677" s="35">
        <v>0</v>
      </c>
    </row>
    <row r="678" spans="1:22">
      <c r="A678" s="7" t="s">
        <v>185</v>
      </c>
      <c r="B678" s="8">
        <v>-2.4772611105726599</v>
      </c>
      <c r="C678" s="8">
        <v>1.0605572692523213</v>
      </c>
      <c r="D678" s="8">
        <v>3.9812674620544719E-2</v>
      </c>
      <c r="E678" s="7">
        <v>0</v>
      </c>
      <c r="F678" s="7">
        <v>-1.4990516053215155E-2</v>
      </c>
      <c r="G678" s="7">
        <v>0</v>
      </c>
      <c r="H678" s="7">
        <v>-1.6236379226863738E-2</v>
      </c>
      <c r="I678" s="7">
        <v>0</v>
      </c>
      <c r="J678" s="7">
        <v>1.5970575730977998E-2</v>
      </c>
      <c r="K678" s="7">
        <v>0</v>
      </c>
      <c r="L678" s="3">
        <f t="shared" si="84"/>
        <v>-8.9116669979390911E-4</v>
      </c>
      <c r="M678" s="3">
        <v>-2.4769999999999999</v>
      </c>
      <c r="N678" s="3">
        <v>1.0609999999999999</v>
      </c>
      <c r="O678" s="3">
        <v>0.04</v>
      </c>
      <c r="P678" s="35">
        <v>0</v>
      </c>
      <c r="Q678" s="35">
        <v>-1.49698E-2</v>
      </c>
      <c r="R678" s="35">
        <v>0</v>
      </c>
      <c r="S678" s="35">
        <v>-4.76502E-3</v>
      </c>
      <c r="T678" s="35">
        <v>0</v>
      </c>
      <c r="U678" s="35">
        <v>4.76502E-3</v>
      </c>
      <c r="V678" s="35">
        <v>0</v>
      </c>
    </row>
    <row r="679" spans="1:22">
      <c r="A679" s="7"/>
      <c r="B679" s="8">
        <v>-1.4675604394566215</v>
      </c>
      <c r="C679" s="8">
        <v>1.3235781323919831</v>
      </c>
      <c r="D679" s="8">
        <v>-0.72564008456612294</v>
      </c>
      <c r="E679" s="7">
        <v>0</v>
      </c>
      <c r="F679" s="7">
        <v>0</v>
      </c>
      <c r="G679" s="7">
        <v>-1.4990516053215155E-2</v>
      </c>
      <c r="H679" s="7">
        <v>-1.6236379226863738E-2</v>
      </c>
      <c r="I679" s="7">
        <v>0</v>
      </c>
      <c r="J679" s="7">
        <v>0</v>
      </c>
      <c r="K679" s="7">
        <v>2.0521745021313972E-2</v>
      </c>
      <c r="L679" s="3">
        <f t="shared" si="84"/>
        <v>-6.2239163076138748E-4</v>
      </c>
      <c r="M679" s="3">
        <v>-1.4670000000000001</v>
      </c>
      <c r="N679" s="3">
        <v>1.3240000000000001</v>
      </c>
      <c r="O679" s="3">
        <v>-0.72599999999999998</v>
      </c>
      <c r="P679" s="35">
        <v>0</v>
      </c>
      <c r="Q679" s="35">
        <v>0</v>
      </c>
      <c r="R679" s="35">
        <v>-1.49698E-2</v>
      </c>
      <c r="S679" s="35">
        <v>-4.76502E-3</v>
      </c>
      <c r="T679" s="35">
        <v>0</v>
      </c>
      <c r="U679" s="35">
        <v>0</v>
      </c>
      <c r="V679" s="35">
        <v>4.76502E-3</v>
      </c>
    </row>
    <row r="680" spans="1:22">
      <c r="A680" s="7"/>
      <c r="B680" s="8"/>
      <c r="C680" s="8"/>
      <c r="D680" s="8"/>
      <c r="E680" s="7"/>
      <c r="F680" s="7"/>
      <c r="G680" s="7"/>
      <c r="H680" s="7"/>
      <c r="I680" s="7"/>
      <c r="J680" s="7"/>
      <c r="K680" s="7"/>
    </row>
    <row r="681" spans="1:22">
      <c r="A681" s="7"/>
      <c r="B681" s="8">
        <v>-0.40019020491700363</v>
      </c>
      <c r="C681" s="8">
        <v>-1.0840062473010013</v>
      </c>
      <c r="D681" s="8">
        <v>-1.6840506224230944E-2</v>
      </c>
      <c r="E681" s="7">
        <v>-1.4990516053215155E-2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3">
        <f t="shared" si="91"/>
        <v>-3.6958442235626721E-5</v>
      </c>
      <c r="M681" s="3">
        <v>-0.4</v>
      </c>
      <c r="N681" s="3">
        <v>-1.0840000000000001</v>
      </c>
      <c r="O681" s="3">
        <v>-1.7000000000000001E-2</v>
      </c>
      <c r="P681" s="35">
        <v>-1.49698E-2</v>
      </c>
      <c r="Q681" s="35">
        <v>0</v>
      </c>
      <c r="R681" s="35">
        <v>0</v>
      </c>
      <c r="S681" s="35">
        <v>-4.76502E-3</v>
      </c>
      <c r="T681" s="35">
        <v>4.76502E-3</v>
      </c>
      <c r="U681" s="35">
        <v>0</v>
      </c>
      <c r="V681" s="35">
        <v>0</v>
      </c>
    </row>
    <row r="682" spans="1:22">
      <c r="A682" s="7" t="s">
        <v>186</v>
      </c>
      <c r="B682" s="8">
        <v>-0.85843073718374274</v>
      </c>
      <c r="C682" s="8">
        <v>1.040962775001312</v>
      </c>
      <c r="D682" s="8">
        <v>-3.7610117674176324E-2</v>
      </c>
      <c r="E682" s="7">
        <v>0</v>
      </c>
      <c r="F682" s="7">
        <v>-1.4990516053215155E-2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3">
        <f t="shared" si="91"/>
        <v>-7.807985660693989E-5</v>
      </c>
      <c r="M682" s="3">
        <v>-0.85799999999999998</v>
      </c>
      <c r="N682" s="3">
        <v>1.0409999999999999</v>
      </c>
      <c r="O682" s="3">
        <v>-3.7999999999999999E-2</v>
      </c>
      <c r="P682" s="35">
        <v>0</v>
      </c>
      <c r="Q682" s="35">
        <v>-1.49698E-2</v>
      </c>
      <c r="R682" s="35">
        <v>0</v>
      </c>
      <c r="S682" s="35">
        <v>-4.76502E-3</v>
      </c>
      <c r="T682" s="35">
        <v>0</v>
      </c>
      <c r="U682" s="35">
        <v>4.76502E-3</v>
      </c>
      <c r="V682" s="35">
        <v>0</v>
      </c>
    </row>
    <row r="683" spans="1:22">
      <c r="A683" s="7"/>
      <c r="B683" s="8">
        <v>-1.4675604394566215</v>
      </c>
      <c r="C683" s="8">
        <v>1.3235781323919831</v>
      </c>
      <c r="D683" s="8">
        <v>-0.72564008456612294</v>
      </c>
      <c r="E683" s="7">
        <v>0</v>
      </c>
      <c r="F683" s="7">
        <v>0</v>
      </c>
      <c r="G683" s="7">
        <v>-1.4990516053215155E-2</v>
      </c>
      <c r="H683" s="7">
        <v>0</v>
      </c>
      <c r="I683" s="7">
        <v>0</v>
      </c>
      <c r="J683" s="7">
        <v>0</v>
      </c>
      <c r="K683" s="7">
        <v>0</v>
      </c>
      <c r="L683" s="3">
        <f t="shared" si="91"/>
        <v>-6.2239163076138748E-4</v>
      </c>
      <c r="M683" s="3">
        <v>-1.4670000000000001</v>
      </c>
      <c r="N683" s="3">
        <v>1.3240000000000001</v>
      </c>
      <c r="O683" s="3">
        <v>-0.72599999999999998</v>
      </c>
      <c r="P683" s="35">
        <v>0</v>
      </c>
      <c r="Q683" s="35">
        <v>0</v>
      </c>
      <c r="R683" s="35">
        <v>-1.49698E-2</v>
      </c>
      <c r="S683" s="35">
        <v>-4.76502E-3</v>
      </c>
      <c r="T683" s="35">
        <v>0</v>
      </c>
      <c r="U683" s="35">
        <v>0</v>
      </c>
      <c r="V683" s="35">
        <v>4.76502E-3</v>
      </c>
    </row>
    <row r="684" spans="1:22">
      <c r="A684" s="7"/>
      <c r="B684" s="8"/>
      <c r="C684" s="8"/>
      <c r="D684" s="8"/>
      <c r="E684" s="7"/>
      <c r="F684" s="7"/>
      <c r="G684" s="7"/>
      <c r="H684" s="7"/>
      <c r="I684" s="7"/>
      <c r="J684" s="7"/>
      <c r="K684" s="7"/>
    </row>
    <row r="685" spans="1:22">
      <c r="A685" s="7"/>
      <c r="B685" s="8">
        <v>-2.8449497700634536</v>
      </c>
      <c r="C685" s="8">
        <v>-0.22852225552422287</v>
      </c>
      <c r="D685" s="8">
        <v>-6.9737163040410666E-2</v>
      </c>
      <c r="E685" s="7">
        <v>-1.4990516053215155E-2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3">
        <f t="shared" ref="L685:L723" si="93">B685-M685+C685-N685+D685-O685</f>
        <v>-2.0918862808694261E-4</v>
      </c>
      <c r="M685" s="3">
        <v>-2.8450000000000002</v>
      </c>
      <c r="N685" s="3">
        <v>-0.22800000000000001</v>
      </c>
      <c r="O685" s="3">
        <v>-7.0000000000000007E-2</v>
      </c>
      <c r="P685" s="35">
        <v>-1.49698E-2</v>
      </c>
      <c r="Q685" s="35">
        <v>0</v>
      </c>
      <c r="R685" s="35">
        <v>0</v>
      </c>
      <c r="S685" s="35">
        <v>-4.76502E-3</v>
      </c>
      <c r="T685" s="35">
        <v>4.76502E-3</v>
      </c>
      <c r="U685" s="35">
        <v>0</v>
      </c>
      <c r="V685" s="35">
        <v>0</v>
      </c>
    </row>
    <row r="686" spans="1:22">
      <c r="A686" s="7" t="s">
        <v>187</v>
      </c>
      <c r="B686" s="8">
        <v>-2.4772611105726599</v>
      </c>
      <c r="C686" s="8">
        <v>1.0605572692523213</v>
      </c>
      <c r="D686" s="8">
        <v>3.9812674620544719E-2</v>
      </c>
      <c r="E686" s="7">
        <v>0</v>
      </c>
      <c r="F686" s="7">
        <v>-1.4990516053215155E-2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L686" s="3">
        <f t="shared" si="93"/>
        <v>-8.9116669979390911E-4</v>
      </c>
      <c r="M686" s="3">
        <v>-2.4769999999999999</v>
      </c>
      <c r="N686" s="3">
        <v>1.0609999999999999</v>
      </c>
      <c r="O686" s="3">
        <v>0.04</v>
      </c>
      <c r="P686" s="35">
        <v>0</v>
      </c>
      <c r="Q686" s="35">
        <v>-1.49698E-2</v>
      </c>
      <c r="R686" s="35">
        <v>0</v>
      </c>
      <c r="S686" s="35">
        <v>-4.76502E-3</v>
      </c>
      <c r="T686" s="35">
        <v>0</v>
      </c>
      <c r="U686" s="35">
        <v>4.76502E-3</v>
      </c>
      <c r="V686" s="35">
        <v>0</v>
      </c>
    </row>
    <row r="687" spans="1:22">
      <c r="A687" s="7"/>
      <c r="B687" s="8">
        <v>-0.85843073718374274</v>
      </c>
      <c r="C687" s="8">
        <v>1.040962775001312</v>
      </c>
      <c r="D687" s="8">
        <v>-3.7610117674176324E-2</v>
      </c>
      <c r="E687" s="7">
        <v>0</v>
      </c>
      <c r="F687" s="7">
        <v>0</v>
      </c>
      <c r="G687" s="7">
        <v>-1.4990516053215155E-2</v>
      </c>
      <c r="H687" s="7">
        <v>0</v>
      </c>
      <c r="I687" s="7">
        <v>0</v>
      </c>
      <c r="J687" s="7">
        <v>0</v>
      </c>
      <c r="K687" s="7">
        <v>0</v>
      </c>
      <c r="L687" s="3">
        <f t="shared" si="93"/>
        <v>-7.807985660693989E-5</v>
      </c>
      <c r="M687" s="3">
        <v>-0.85799999999999998</v>
      </c>
      <c r="N687" s="3">
        <v>1.0409999999999999</v>
      </c>
      <c r="O687" s="3">
        <v>-3.7999999999999999E-2</v>
      </c>
      <c r="P687" s="35">
        <v>0</v>
      </c>
      <c r="Q687" s="35">
        <v>0</v>
      </c>
      <c r="R687" s="35">
        <v>-1.49698E-2</v>
      </c>
      <c r="S687" s="35">
        <v>-4.76502E-3</v>
      </c>
      <c r="T687" s="35">
        <v>0</v>
      </c>
      <c r="U687" s="35">
        <v>0</v>
      </c>
      <c r="V687" s="35">
        <v>4.76502E-3</v>
      </c>
    </row>
    <row r="688" spans="1:22">
      <c r="A688" s="7"/>
      <c r="B688" s="8"/>
      <c r="C688" s="8"/>
      <c r="D688" s="8"/>
      <c r="E688" s="7"/>
      <c r="F688" s="7"/>
      <c r="G688" s="7"/>
      <c r="H688" s="7"/>
      <c r="I688" s="7"/>
      <c r="J688" s="7"/>
      <c r="K688" s="7"/>
    </row>
    <row r="689" spans="1:22">
      <c r="A689" s="7"/>
      <c r="B689" s="8">
        <v>-2.8449497700634536</v>
      </c>
      <c r="C689" s="8">
        <v>-0.22852225552422287</v>
      </c>
      <c r="D689" s="8">
        <v>-6.9737163040410666E-2</v>
      </c>
      <c r="E689" s="7">
        <v>-1.4990516053215155E-2</v>
      </c>
      <c r="F689" s="7">
        <v>0</v>
      </c>
      <c r="G689" s="7">
        <v>0</v>
      </c>
      <c r="H689" s="7">
        <v>-1.6236379226863738E-2</v>
      </c>
      <c r="I689" s="7">
        <v>2.2385887789414392E-2</v>
      </c>
      <c r="J689" s="7">
        <v>0</v>
      </c>
      <c r="K689" s="7">
        <v>0</v>
      </c>
      <c r="L689" s="3">
        <f t="shared" si="91"/>
        <v>-2.0918862808694261E-4</v>
      </c>
      <c r="M689" s="3">
        <v>-2.8450000000000002</v>
      </c>
      <c r="N689" s="3">
        <v>-0.22800000000000001</v>
      </c>
      <c r="O689" s="3">
        <v>-7.0000000000000007E-2</v>
      </c>
      <c r="P689" s="35">
        <v>-1.49698E-2</v>
      </c>
      <c r="Q689" s="35">
        <v>0</v>
      </c>
      <c r="R689" s="35">
        <v>0</v>
      </c>
      <c r="S689" s="35">
        <v>-4.76502E-3</v>
      </c>
      <c r="T689" s="35">
        <v>4.76502E-3</v>
      </c>
      <c r="U689" s="35">
        <v>0</v>
      </c>
      <c r="V689" s="35">
        <v>0</v>
      </c>
    </row>
    <row r="690" spans="1:22">
      <c r="A690" s="7" t="s">
        <v>188</v>
      </c>
      <c r="B690" s="8">
        <v>-2.4772611105726599</v>
      </c>
      <c r="C690" s="8">
        <v>1.0605572692523213</v>
      </c>
      <c r="D690" s="8">
        <v>3.9812674620544719E-2</v>
      </c>
      <c r="E690" s="7">
        <v>0</v>
      </c>
      <c r="F690" s="7">
        <v>-1.4990516053215155E-2</v>
      </c>
      <c r="G690" s="7">
        <v>0</v>
      </c>
      <c r="H690" s="7">
        <v>-1.6236379226863738E-2</v>
      </c>
      <c r="I690" s="7">
        <v>0</v>
      </c>
      <c r="J690" s="7">
        <v>1.5970575730977998E-2</v>
      </c>
      <c r="K690" s="7">
        <v>0</v>
      </c>
      <c r="L690" s="3">
        <f t="shared" si="91"/>
        <v>-8.9116669979390911E-4</v>
      </c>
      <c r="M690" s="3">
        <v>-2.4769999999999999</v>
      </c>
      <c r="N690" s="3">
        <v>1.0609999999999999</v>
      </c>
      <c r="O690" s="3">
        <v>0.04</v>
      </c>
      <c r="P690" s="35">
        <v>0</v>
      </c>
      <c r="Q690" s="35">
        <v>-1.49698E-2</v>
      </c>
      <c r="R690" s="35">
        <v>0</v>
      </c>
      <c r="S690" s="35">
        <v>-4.76502E-3</v>
      </c>
      <c r="T690" s="35">
        <v>0</v>
      </c>
      <c r="U690" s="35">
        <v>4.76502E-3</v>
      </c>
      <c r="V690" s="35">
        <v>0</v>
      </c>
    </row>
    <row r="691" spans="1:22">
      <c r="A691" s="7"/>
      <c r="B691" s="8">
        <v>-1.4675604394566215</v>
      </c>
      <c r="C691" s="8">
        <v>1.3235781323919831</v>
      </c>
      <c r="D691" s="8">
        <v>-0.72564008456612294</v>
      </c>
      <c r="E691" s="7">
        <v>0</v>
      </c>
      <c r="F691" s="7">
        <v>0</v>
      </c>
      <c r="G691" s="7">
        <v>-1.4990516053215155E-2</v>
      </c>
      <c r="H691" s="7">
        <v>-1.6236379226863738E-2</v>
      </c>
      <c r="I691" s="7">
        <v>0</v>
      </c>
      <c r="J691" s="7">
        <v>0</v>
      </c>
      <c r="K691" s="7">
        <v>2.0521745021313972E-2</v>
      </c>
      <c r="L691" s="3">
        <f t="shared" si="91"/>
        <v>-6.2239163076138748E-4</v>
      </c>
      <c r="M691" s="3">
        <v>-1.4670000000000001</v>
      </c>
      <c r="N691" s="3">
        <v>1.3240000000000001</v>
      </c>
      <c r="O691" s="3">
        <v>-0.72599999999999998</v>
      </c>
      <c r="P691" s="35">
        <v>0</v>
      </c>
      <c r="Q691" s="35">
        <v>0</v>
      </c>
      <c r="R691" s="35">
        <v>-1.49698E-2</v>
      </c>
      <c r="S691" s="35">
        <v>-4.76502E-3</v>
      </c>
      <c r="T691" s="35">
        <v>0</v>
      </c>
      <c r="U691" s="35">
        <v>0</v>
      </c>
      <c r="V691" s="35">
        <v>4.76502E-3</v>
      </c>
    </row>
    <row r="692" spans="1:22">
      <c r="A692" s="7"/>
      <c r="B692" s="8"/>
      <c r="C692" s="8"/>
      <c r="D692" s="8"/>
      <c r="E692" s="7"/>
      <c r="F692" s="7"/>
      <c r="G692" s="7"/>
      <c r="H692" s="7"/>
      <c r="I692" s="7"/>
      <c r="J692" s="7"/>
      <c r="K692" s="7"/>
    </row>
    <row r="693" spans="1:22">
      <c r="A693" s="7"/>
      <c r="B693" s="8">
        <v>-2.8449497700634536</v>
      </c>
      <c r="C693" s="8">
        <v>-0.22852225552422287</v>
      </c>
      <c r="D693" s="8">
        <v>-6.9737163040410666E-2</v>
      </c>
      <c r="E693" s="7">
        <v>-1.4990516053215155E-2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3">
        <f t="shared" ref="L693:L729" si="94">B693-M693+C693-N693+D693-O693</f>
        <v>-2.0918862808694261E-4</v>
      </c>
      <c r="M693" s="3">
        <v>-2.8450000000000002</v>
      </c>
      <c r="N693" s="3">
        <v>-0.22800000000000001</v>
      </c>
      <c r="O693" s="3">
        <v>-7.0000000000000007E-2</v>
      </c>
      <c r="P693" s="35">
        <v>-1.49698E-2</v>
      </c>
      <c r="Q693" s="35">
        <v>0</v>
      </c>
      <c r="R693" s="35">
        <v>0</v>
      </c>
      <c r="S693" s="35">
        <v>-4.76502E-3</v>
      </c>
      <c r="T693" s="35">
        <v>4.76502E-3</v>
      </c>
      <c r="U693" s="35">
        <v>0</v>
      </c>
      <c r="V693" s="35">
        <v>0</v>
      </c>
    </row>
    <row r="694" spans="1:22">
      <c r="A694" s="7" t="s">
        <v>189</v>
      </c>
      <c r="B694" s="8">
        <v>-0.85843073718374274</v>
      </c>
      <c r="C694" s="8">
        <v>1.040962775001312</v>
      </c>
      <c r="D694" s="8">
        <v>-3.7610117674176324E-2</v>
      </c>
      <c r="E694" s="7">
        <v>0</v>
      </c>
      <c r="F694" s="7">
        <v>-1.4990516053215155E-2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L694" s="3">
        <f t="shared" si="91"/>
        <v>-7.807985660693989E-5</v>
      </c>
      <c r="M694" s="3">
        <v>-0.85799999999999998</v>
      </c>
      <c r="N694" s="3">
        <v>1.0409999999999999</v>
      </c>
      <c r="O694" s="3">
        <v>-3.7999999999999999E-2</v>
      </c>
      <c r="P694" s="35">
        <v>0</v>
      </c>
      <c r="Q694" s="35">
        <v>-1.49698E-2</v>
      </c>
      <c r="R694" s="35">
        <v>0</v>
      </c>
      <c r="S694" s="35">
        <v>-4.76502E-3</v>
      </c>
      <c r="T694" s="35">
        <v>0</v>
      </c>
      <c r="U694" s="35">
        <v>4.76502E-3</v>
      </c>
      <c r="V694" s="35">
        <v>0</v>
      </c>
    </row>
    <row r="695" spans="1:22">
      <c r="A695" s="7"/>
      <c r="B695" s="8">
        <v>-1.4675604394566215</v>
      </c>
      <c r="C695" s="8">
        <v>1.3235781323919831</v>
      </c>
      <c r="D695" s="8">
        <v>-0.72564008456612294</v>
      </c>
      <c r="E695" s="7">
        <v>0</v>
      </c>
      <c r="F695" s="7">
        <v>0</v>
      </c>
      <c r="G695" s="7">
        <v>-1.4990516053215155E-2</v>
      </c>
      <c r="H695" s="7">
        <v>0</v>
      </c>
      <c r="I695" s="7">
        <v>0</v>
      </c>
      <c r="J695" s="7">
        <v>0</v>
      </c>
      <c r="K695" s="7">
        <v>0</v>
      </c>
      <c r="L695" s="3">
        <f t="shared" si="91"/>
        <v>-6.2239163076138748E-4</v>
      </c>
      <c r="M695" s="3">
        <v>-1.4670000000000001</v>
      </c>
      <c r="N695" s="3">
        <v>1.3240000000000001</v>
      </c>
      <c r="O695" s="3">
        <v>-0.72599999999999998</v>
      </c>
      <c r="P695" s="35">
        <v>0</v>
      </c>
      <c r="Q695" s="35">
        <v>0</v>
      </c>
      <c r="R695" s="35">
        <v>-1.49698E-2</v>
      </c>
      <c r="S695" s="35">
        <v>-4.76502E-3</v>
      </c>
      <c r="T695" s="35">
        <v>0</v>
      </c>
      <c r="U695" s="35">
        <v>0</v>
      </c>
      <c r="V695" s="35">
        <v>4.76502E-3</v>
      </c>
    </row>
    <row r="696" spans="1:22">
      <c r="A696" s="7"/>
      <c r="B696" s="8"/>
      <c r="C696" s="8"/>
      <c r="D696" s="8"/>
      <c r="E696" s="7"/>
      <c r="F696" s="7"/>
      <c r="G696" s="7"/>
      <c r="H696" s="7"/>
      <c r="I696" s="7"/>
      <c r="J696" s="7"/>
      <c r="K696" s="7"/>
    </row>
    <row r="697" spans="1:22">
      <c r="A697" s="7"/>
      <c r="B697" s="8">
        <v>-2.4772611105726599</v>
      </c>
      <c r="C697" s="8">
        <v>1.0605572692523213</v>
      </c>
      <c r="D697" s="8">
        <v>3.9812674620544719E-2</v>
      </c>
      <c r="E697" s="7">
        <v>-1.4990516053215155E-2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3">
        <f t="shared" ref="L697:L733" si="95">B697-M697+C697-N697+D697-O697</f>
        <v>-8.9116669979390911E-4</v>
      </c>
      <c r="M697" s="3">
        <v>-2.4769999999999999</v>
      </c>
      <c r="N697" s="3">
        <v>1.0609999999999999</v>
      </c>
      <c r="O697" s="3">
        <v>0.04</v>
      </c>
      <c r="P697" s="35">
        <v>-1.49698E-2</v>
      </c>
      <c r="Q697" s="35">
        <v>0</v>
      </c>
      <c r="R697" s="35">
        <v>0</v>
      </c>
      <c r="S697" s="35">
        <v>-4.76502E-3</v>
      </c>
      <c r="T697" s="35">
        <v>4.76502E-3</v>
      </c>
      <c r="U697" s="35">
        <v>0</v>
      </c>
      <c r="V697" s="35">
        <v>0</v>
      </c>
    </row>
    <row r="698" spans="1:22">
      <c r="A698" s="7" t="s">
        <v>190</v>
      </c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-1.4990516053215155E-2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L698" s="3">
        <f t="shared" si="91"/>
        <v>-7.807985660693989E-5</v>
      </c>
      <c r="M698" s="3">
        <v>-0.85799999999999998</v>
      </c>
      <c r="N698" s="3">
        <v>1.0409999999999999</v>
      </c>
      <c r="O698" s="3">
        <v>-3.7999999999999999E-2</v>
      </c>
      <c r="P698" s="35">
        <v>0</v>
      </c>
      <c r="Q698" s="35">
        <v>-1.49698E-2</v>
      </c>
      <c r="R698" s="35">
        <v>0</v>
      </c>
      <c r="S698" s="35">
        <v>-4.76502E-3</v>
      </c>
      <c r="T698" s="35">
        <v>0</v>
      </c>
      <c r="U698" s="35">
        <v>4.76502E-3</v>
      </c>
      <c r="V698" s="35">
        <v>0</v>
      </c>
    </row>
    <row r="699" spans="1:22">
      <c r="A699" s="7"/>
      <c r="B699" s="8">
        <v>-1.4675604394566215</v>
      </c>
      <c r="C699" s="8">
        <v>1.3235781323919831</v>
      </c>
      <c r="D699" s="8">
        <v>-0.72564008456612294</v>
      </c>
      <c r="E699" s="7">
        <v>0</v>
      </c>
      <c r="F699" s="7">
        <v>0</v>
      </c>
      <c r="G699" s="7">
        <v>-1.4990516053215155E-2</v>
      </c>
      <c r="H699" s="7">
        <v>0</v>
      </c>
      <c r="I699" s="7">
        <v>0</v>
      </c>
      <c r="J699" s="7">
        <v>0</v>
      </c>
      <c r="K699" s="7">
        <v>0</v>
      </c>
      <c r="L699" s="3">
        <f t="shared" si="91"/>
        <v>-6.2239163076138748E-4</v>
      </c>
      <c r="M699" s="3">
        <v>-1.4670000000000001</v>
      </c>
      <c r="N699" s="3">
        <v>1.3240000000000001</v>
      </c>
      <c r="O699" s="3">
        <v>-0.72599999999999998</v>
      </c>
      <c r="P699" s="35">
        <v>0</v>
      </c>
      <c r="Q699" s="35">
        <v>0</v>
      </c>
      <c r="R699" s="35">
        <v>-1.49698E-2</v>
      </c>
      <c r="S699" s="35">
        <v>-4.76502E-3</v>
      </c>
      <c r="T699" s="35">
        <v>0</v>
      </c>
      <c r="U699" s="35">
        <v>0</v>
      </c>
      <c r="V699" s="35">
        <v>4.76502E-3</v>
      </c>
    </row>
    <row r="700" spans="1:22">
      <c r="A700" s="7"/>
      <c r="B700" s="8"/>
      <c r="C700" s="8"/>
      <c r="D700" s="8"/>
      <c r="E700" s="7"/>
      <c r="F700" s="7"/>
      <c r="G700" s="7"/>
      <c r="H700" s="7"/>
      <c r="I700" s="7"/>
      <c r="J700" s="7"/>
      <c r="K700" s="7"/>
    </row>
    <row r="701" spans="1:22">
      <c r="A701" s="7"/>
      <c r="B701" s="8">
        <v>1.0351585166444348</v>
      </c>
      <c r="C701" s="8">
        <v>-2.1037449841221099</v>
      </c>
      <c r="D701" s="8">
        <v>-0.82913701269133588</v>
      </c>
      <c r="E701" s="7">
        <v>-1.4990516053215155E-2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3">
        <f t="shared" ref="L701:L737" si="96">B701-M701+C701-N701+D701-O701</f>
        <v>2.7651983098897492E-4</v>
      </c>
      <c r="M701" s="3">
        <v>1.0349999999999999</v>
      </c>
      <c r="N701" s="3">
        <v>-2.1040000000000001</v>
      </c>
      <c r="O701" s="3">
        <v>-0.82899999999999996</v>
      </c>
      <c r="P701" s="35">
        <v>-1.49698E-2</v>
      </c>
      <c r="Q701" s="35">
        <v>0</v>
      </c>
      <c r="R701" s="35">
        <v>0</v>
      </c>
      <c r="S701" s="35">
        <v>-4.76502E-3</v>
      </c>
      <c r="T701" s="35">
        <v>4.76502E-3</v>
      </c>
      <c r="U701" s="35">
        <v>0</v>
      </c>
      <c r="V701" s="35">
        <v>0</v>
      </c>
    </row>
    <row r="702" spans="1:22">
      <c r="A702" s="7" t="s">
        <v>191</v>
      </c>
      <c r="B702" s="8">
        <v>-0.21871711292247331</v>
      </c>
      <c r="C702" s="8">
        <v>-2.1363371502498802</v>
      </c>
      <c r="D702" s="8">
        <v>-8.9790398854103559E-2</v>
      </c>
      <c r="E702" s="7">
        <v>0</v>
      </c>
      <c r="F702" s="7">
        <v>-1.4990516053215155E-2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L702" s="3">
        <f t="shared" si="91"/>
        <v>1.1553379735430858E-3</v>
      </c>
      <c r="M702" s="3">
        <v>-0.219</v>
      </c>
      <c r="N702" s="3">
        <v>-2.137</v>
      </c>
      <c r="O702" s="3">
        <v>-0.09</v>
      </c>
      <c r="P702" s="35">
        <v>0</v>
      </c>
      <c r="Q702" s="35">
        <v>-1.49698E-2</v>
      </c>
      <c r="R702" s="35">
        <v>0</v>
      </c>
      <c r="S702" s="35">
        <v>-4.76502E-3</v>
      </c>
      <c r="T702" s="35">
        <v>0</v>
      </c>
      <c r="U702" s="35">
        <v>4.76502E-3</v>
      </c>
      <c r="V702" s="35">
        <v>0</v>
      </c>
    </row>
    <row r="703" spans="1:22">
      <c r="A703" s="7"/>
      <c r="B703" s="8">
        <v>2.0770709056556562</v>
      </c>
      <c r="C703" s="8">
        <v>-2.1445635165533226</v>
      </c>
      <c r="D703" s="8">
        <v>-5.6653180844775664E-2</v>
      </c>
      <c r="E703" s="7">
        <v>0</v>
      </c>
      <c r="F703" s="7">
        <v>0</v>
      </c>
      <c r="G703" s="7">
        <v>-1.4990516053215155E-2</v>
      </c>
      <c r="H703" s="7">
        <v>0</v>
      </c>
      <c r="I703" s="7">
        <v>0</v>
      </c>
      <c r="J703" s="7">
        <v>0</v>
      </c>
      <c r="K703" s="7">
        <v>0</v>
      </c>
      <c r="L703" s="3">
        <f t="shared" si="91"/>
        <v>8.5420825755806035E-4</v>
      </c>
      <c r="M703" s="3">
        <v>2.077</v>
      </c>
      <c r="N703" s="3">
        <v>-2.145</v>
      </c>
      <c r="O703" s="3">
        <v>-5.7000000000000002E-2</v>
      </c>
      <c r="P703" s="35">
        <v>0</v>
      </c>
      <c r="Q703" s="35">
        <v>0</v>
      </c>
      <c r="R703" s="35">
        <v>-1.49698E-2</v>
      </c>
      <c r="S703" s="35">
        <v>-4.76502E-3</v>
      </c>
      <c r="T703" s="35">
        <v>0</v>
      </c>
      <c r="U703" s="35">
        <v>0</v>
      </c>
      <c r="V703" s="35">
        <v>4.76502E-3</v>
      </c>
    </row>
    <row r="704" spans="1:22">
      <c r="A704" s="7"/>
      <c r="B704" s="8"/>
      <c r="C704" s="8"/>
      <c r="D704" s="8"/>
      <c r="E704" s="7"/>
      <c r="F704" s="7"/>
      <c r="G704" s="7"/>
      <c r="H704" s="7"/>
      <c r="I704" s="7"/>
      <c r="J704" s="7"/>
      <c r="K704" s="7"/>
    </row>
    <row r="705" spans="1:22">
      <c r="A705" s="7"/>
      <c r="B705" s="8">
        <v>1.0351585166444348</v>
      </c>
      <c r="C705" s="8">
        <v>-2.1037449841221099</v>
      </c>
      <c r="D705" s="8">
        <v>-0.82913701269133588</v>
      </c>
      <c r="E705" s="7">
        <v>-1.4990516053215155E-2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3">
        <f t="shared" ref="L705:L741" si="97">B705-M705+C705-N705+D705-O705</f>
        <v>2.7651983098897492E-4</v>
      </c>
      <c r="M705" s="3">
        <v>1.0349999999999999</v>
      </c>
      <c r="N705" s="3">
        <v>-2.1040000000000001</v>
      </c>
      <c r="O705" s="3">
        <v>-0.82899999999999996</v>
      </c>
      <c r="P705" s="35">
        <v>-1.49698E-2</v>
      </c>
      <c r="Q705" s="35">
        <v>0</v>
      </c>
      <c r="R705" s="35">
        <v>0</v>
      </c>
      <c r="S705" s="35">
        <v>-4.76502E-3</v>
      </c>
      <c r="T705" s="35">
        <v>4.76502E-3</v>
      </c>
      <c r="U705" s="35">
        <v>0</v>
      </c>
      <c r="V705" s="35">
        <v>0</v>
      </c>
    </row>
    <row r="706" spans="1:22">
      <c r="A706" s="7" t="s">
        <v>192</v>
      </c>
      <c r="B706" s="8">
        <v>-0.21871711292247331</v>
      </c>
      <c r="C706" s="8">
        <v>-2.1363371502498802</v>
      </c>
      <c r="D706" s="8">
        <v>-8.9790398854103559E-2</v>
      </c>
      <c r="E706" s="7">
        <v>0</v>
      </c>
      <c r="F706" s="7">
        <v>-1.4990516053215155E-2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L706" s="3">
        <f t="shared" si="91"/>
        <v>1.1553379735430858E-3</v>
      </c>
      <c r="M706" s="3">
        <v>-0.219</v>
      </c>
      <c r="N706" s="3">
        <v>-2.137</v>
      </c>
      <c r="O706" s="3">
        <v>-0.09</v>
      </c>
      <c r="P706" s="35">
        <v>0</v>
      </c>
      <c r="Q706" s="35">
        <v>-1.49698E-2</v>
      </c>
      <c r="R706" s="35">
        <v>0</v>
      </c>
      <c r="S706" s="35">
        <v>-4.76502E-3</v>
      </c>
      <c r="T706" s="35">
        <v>0</v>
      </c>
      <c r="U706" s="35">
        <v>4.76502E-3</v>
      </c>
      <c r="V706" s="35">
        <v>0</v>
      </c>
    </row>
    <row r="707" spans="1:22">
      <c r="A707" s="7"/>
      <c r="B707" s="8">
        <v>-0.36768865949079377</v>
      </c>
      <c r="C707" s="8">
        <v>-1.2890795247765441</v>
      </c>
      <c r="D707" s="8">
        <v>-0.10954983766095538</v>
      </c>
      <c r="E707" s="7">
        <v>0</v>
      </c>
      <c r="F707" s="7">
        <v>0</v>
      </c>
      <c r="G707" s="7">
        <v>-1.4990516053215155E-2</v>
      </c>
      <c r="H707" s="7">
        <v>0</v>
      </c>
      <c r="I707" s="7">
        <v>0</v>
      </c>
      <c r="J707" s="7">
        <v>0</v>
      </c>
      <c r="K707" s="7">
        <v>0</v>
      </c>
      <c r="L707" s="3">
        <f t="shared" si="91"/>
        <v>6.8197807170657099E-4</v>
      </c>
      <c r="M707" s="3">
        <v>-0.36799999999999999</v>
      </c>
      <c r="N707" s="3">
        <v>-1.2889999999999999</v>
      </c>
      <c r="O707" s="3">
        <v>-0.11</v>
      </c>
      <c r="P707" s="35">
        <v>0</v>
      </c>
      <c r="Q707" s="35">
        <v>0</v>
      </c>
      <c r="R707" s="35">
        <v>-1.49698E-2</v>
      </c>
      <c r="S707" s="35">
        <v>-4.76502E-3</v>
      </c>
      <c r="T707" s="35">
        <v>0</v>
      </c>
      <c r="U707" s="35">
        <v>0</v>
      </c>
      <c r="V707" s="35">
        <v>4.76502E-3</v>
      </c>
    </row>
    <row r="708" spans="1:22">
      <c r="A708" s="7"/>
      <c r="B708" s="8"/>
      <c r="C708" s="8"/>
      <c r="D708" s="8"/>
      <c r="E708" s="7"/>
      <c r="F708" s="7"/>
      <c r="G708" s="7"/>
      <c r="H708" s="7"/>
      <c r="I708" s="7"/>
      <c r="J708" s="7"/>
      <c r="K708" s="7"/>
    </row>
    <row r="709" spans="1:22">
      <c r="A709" s="7"/>
      <c r="B709" s="8">
        <v>1.0351585166444348</v>
      </c>
      <c r="C709" s="8">
        <v>-2.1037449841221099</v>
      </c>
      <c r="D709" s="8">
        <v>-0.82913701269133588</v>
      </c>
      <c r="E709" s="7">
        <v>-1.4990516053215155E-2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3">
        <f t="shared" ref="L709:L771" si="98">B709-M709+C709-N709+D709-O709</f>
        <v>2.7651983098897492E-4</v>
      </c>
      <c r="M709" s="3">
        <v>1.0349999999999999</v>
      </c>
      <c r="N709" s="3">
        <v>-2.1040000000000001</v>
      </c>
      <c r="O709" s="3">
        <v>-0.82899999999999996</v>
      </c>
      <c r="P709" s="35">
        <v>-1.49698E-2</v>
      </c>
      <c r="Q709" s="35">
        <v>0</v>
      </c>
      <c r="R709" s="35">
        <v>0</v>
      </c>
      <c r="S709" s="35">
        <v>-4.76502E-3</v>
      </c>
      <c r="T709" s="35">
        <v>4.76502E-3</v>
      </c>
      <c r="U709" s="35">
        <v>0</v>
      </c>
      <c r="V709" s="35">
        <v>0</v>
      </c>
    </row>
    <row r="710" spans="1:22">
      <c r="A710" s="7" t="s">
        <v>193</v>
      </c>
      <c r="B710" s="8">
        <v>-0.21871711292247331</v>
      </c>
      <c r="C710" s="8">
        <v>-2.1363371502498802</v>
      </c>
      <c r="D710" s="8">
        <v>-8.9790398854103559E-2</v>
      </c>
      <c r="E710" s="7">
        <v>0</v>
      </c>
      <c r="F710" s="7">
        <v>-1.4990516053215155E-2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L710" s="3">
        <f t="shared" si="98"/>
        <v>1.1553379735430858E-3</v>
      </c>
      <c r="M710" s="3">
        <v>-0.219</v>
      </c>
      <c r="N710" s="3">
        <v>-2.137</v>
      </c>
      <c r="O710" s="3">
        <v>-0.09</v>
      </c>
      <c r="P710" s="35">
        <v>0</v>
      </c>
      <c r="Q710" s="35">
        <v>-1.49698E-2</v>
      </c>
      <c r="R710" s="35">
        <v>0</v>
      </c>
      <c r="S710" s="35">
        <v>-4.76502E-3</v>
      </c>
      <c r="T710" s="35">
        <v>0</v>
      </c>
      <c r="U710" s="35">
        <v>4.76502E-3</v>
      </c>
      <c r="V710" s="35">
        <v>0</v>
      </c>
    </row>
    <row r="711" spans="1:22">
      <c r="A711" s="7"/>
      <c r="B711" s="8">
        <v>2.4772611105726599</v>
      </c>
      <c r="C711" s="8">
        <v>-1.0605572692523213</v>
      </c>
      <c r="D711" s="8">
        <v>-3.9812674620544719E-2</v>
      </c>
      <c r="E711" s="7">
        <v>0</v>
      </c>
      <c r="F711" s="7">
        <v>0</v>
      </c>
      <c r="G711" s="7">
        <v>-1.4990516053215155E-2</v>
      </c>
      <c r="H711" s="7">
        <v>0</v>
      </c>
      <c r="I711" s="7">
        <v>0</v>
      </c>
      <c r="J711" s="7">
        <v>0</v>
      </c>
      <c r="K711" s="7">
        <v>0</v>
      </c>
      <c r="L711" s="3">
        <f t="shared" si="98"/>
        <v>8.9116669979390911E-4</v>
      </c>
      <c r="M711" s="3">
        <v>2.4769999999999999</v>
      </c>
      <c r="N711" s="3">
        <v>-1.0609999999999999</v>
      </c>
      <c r="O711" s="3">
        <v>-0.04</v>
      </c>
      <c r="P711" s="35">
        <v>0</v>
      </c>
      <c r="Q711" s="35">
        <v>0</v>
      </c>
      <c r="R711" s="35">
        <v>-1.49698E-2</v>
      </c>
      <c r="S711" s="35">
        <v>-4.76502E-3</v>
      </c>
      <c r="T711" s="35">
        <v>0</v>
      </c>
      <c r="U711" s="35">
        <v>0</v>
      </c>
      <c r="V711" s="35">
        <v>4.76502E-3</v>
      </c>
    </row>
    <row r="712" spans="1:22">
      <c r="A712" s="7"/>
      <c r="B712" s="8"/>
      <c r="C712" s="8"/>
      <c r="D712" s="8"/>
      <c r="E712" s="7"/>
      <c r="F712" s="7"/>
      <c r="G712" s="7"/>
      <c r="H712" s="7"/>
      <c r="I712" s="7"/>
      <c r="J712" s="7"/>
      <c r="K712" s="7"/>
    </row>
    <row r="713" spans="1:22">
      <c r="A713" s="7"/>
      <c r="B713" s="8">
        <v>1.0351585166444348</v>
      </c>
      <c r="C713" s="8">
        <v>-2.1037449841221099</v>
      </c>
      <c r="D713" s="8">
        <v>-0.82913701269133588</v>
      </c>
      <c r="E713" s="7">
        <v>-1.4990516053215155E-2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3">
        <f t="shared" ref="L713:L749" si="99">B713-M713+C713-N713+D713-O713</f>
        <v>2.7651983098897492E-4</v>
      </c>
      <c r="M713" s="3">
        <v>1.0349999999999999</v>
      </c>
      <c r="N713" s="3">
        <v>-2.1040000000000001</v>
      </c>
      <c r="O713" s="3">
        <v>-0.82899999999999996</v>
      </c>
      <c r="P713" s="35">
        <v>-1.49698E-2</v>
      </c>
      <c r="Q713" s="35">
        <v>0</v>
      </c>
      <c r="R713" s="35">
        <v>0</v>
      </c>
      <c r="S713" s="35">
        <v>-4.76502E-3</v>
      </c>
      <c r="T713" s="35">
        <v>4.76502E-3</v>
      </c>
      <c r="U713" s="35">
        <v>0</v>
      </c>
      <c r="V713" s="35">
        <v>0</v>
      </c>
    </row>
    <row r="714" spans="1:22">
      <c r="A714" s="7" t="s">
        <v>194</v>
      </c>
      <c r="B714" s="8">
        <v>-0.21871711292247331</v>
      </c>
      <c r="C714" s="8">
        <v>-2.1363371502498802</v>
      </c>
      <c r="D714" s="8">
        <v>-8.9790398854103559E-2</v>
      </c>
      <c r="E714" s="7">
        <v>0</v>
      </c>
      <c r="F714" s="7">
        <v>-1.4990516053215155E-2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L714" s="3">
        <f t="shared" si="98"/>
        <v>1.1553379735430858E-3</v>
      </c>
      <c r="M714" s="3">
        <v>-0.219</v>
      </c>
      <c r="N714" s="3">
        <v>-2.137</v>
      </c>
      <c r="O714" s="3">
        <v>-0.09</v>
      </c>
      <c r="P714" s="35">
        <v>0</v>
      </c>
      <c r="Q714" s="35">
        <v>-1.49698E-2</v>
      </c>
      <c r="R714" s="35">
        <v>0</v>
      </c>
      <c r="S714" s="35">
        <v>-4.76502E-3</v>
      </c>
      <c r="T714" s="35">
        <v>0</v>
      </c>
      <c r="U714" s="35">
        <v>4.76502E-3</v>
      </c>
      <c r="V714" s="35">
        <v>0</v>
      </c>
    </row>
    <row r="715" spans="1:22">
      <c r="A715" s="7"/>
      <c r="B715" s="8">
        <v>1.6188303733889171</v>
      </c>
      <c r="C715" s="8">
        <v>-1.9594494251009342E-2</v>
      </c>
      <c r="D715" s="8">
        <v>-7.7422792294721043E-2</v>
      </c>
      <c r="E715" s="7">
        <v>0</v>
      </c>
      <c r="F715" s="7">
        <v>0</v>
      </c>
      <c r="G715" s="7">
        <v>-1.4990516053215155E-2</v>
      </c>
      <c r="H715" s="7">
        <v>0</v>
      </c>
      <c r="I715" s="7">
        <v>0</v>
      </c>
      <c r="J715" s="7">
        <v>0</v>
      </c>
      <c r="K715" s="7">
        <v>0</v>
      </c>
      <c r="L715" s="3">
        <f t="shared" si="98"/>
        <v>8.130868431867333E-4</v>
      </c>
      <c r="M715" s="3">
        <v>1.619</v>
      </c>
      <c r="N715" s="3">
        <v>-0.02</v>
      </c>
      <c r="O715" s="3">
        <v>-7.8E-2</v>
      </c>
      <c r="P715" s="35">
        <v>0</v>
      </c>
      <c r="Q715" s="35">
        <v>0</v>
      </c>
      <c r="R715" s="35">
        <v>-1.49698E-2</v>
      </c>
      <c r="S715" s="35">
        <v>-4.76502E-3</v>
      </c>
      <c r="T715" s="35">
        <v>0</v>
      </c>
      <c r="U715" s="35">
        <v>0</v>
      </c>
      <c r="V715" s="35">
        <v>4.76502E-3</v>
      </c>
    </row>
    <row r="716" spans="1:22">
      <c r="A716" s="7"/>
      <c r="B716" s="8"/>
      <c r="C716" s="8"/>
      <c r="D716" s="8"/>
      <c r="E716" s="7"/>
      <c r="F716" s="7"/>
      <c r="G716" s="7"/>
      <c r="H716" s="7"/>
      <c r="I716" s="7"/>
      <c r="J716" s="7"/>
      <c r="K716" s="7"/>
    </row>
    <row r="717" spans="1:22">
      <c r="A717" s="7"/>
      <c r="B717" s="8">
        <v>1.0351585166444348</v>
      </c>
      <c r="C717" s="8">
        <v>-2.1037449841221099</v>
      </c>
      <c r="D717" s="8">
        <v>-0.82913701269133588</v>
      </c>
      <c r="E717" s="7">
        <v>-1.4990516053215155E-2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3">
        <f t="shared" ref="L717:L753" si="100">B717-M717+C717-N717+D717-O717</f>
        <v>2.7651983098897492E-4</v>
      </c>
      <c r="M717" s="3">
        <v>1.0349999999999999</v>
      </c>
      <c r="N717" s="3">
        <v>-2.1040000000000001</v>
      </c>
      <c r="O717" s="3">
        <v>-0.82899999999999996</v>
      </c>
      <c r="P717" s="35">
        <v>-1.49698E-2</v>
      </c>
      <c r="Q717" s="35">
        <v>0</v>
      </c>
      <c r="R717" s="35">
        <v>0</v>
      </c>
      <c r="S717" s="35">
        <v>-4.76502E-3</v>
      </c>
      <c r="T717" s="35">
        <v>4.76502E-3</v>
      </c>
      <c r="U717" s="35">
        <v>0</v>
      </c>
      <c r="V717" s="35">
        <v>0</v>
      </c>
    </row>
    <row r="718" spans="1:22">
      <c r="A718" s="7" t="s">
        <v>195</v>
      </c>
      <c r="B718" s="8">
        <v>-0.21871711292247331</v>
      </c>
      <c r="C718" s="8">
        <v>-2.1363371502498802</v>
      </c>
      <c r="D718" s="8">
        <v>-8.9790398854103559E-2</v>
      </c>
      <c r="E718" s="7">
        <v>0</v>
      </c>
      <c r="F718" s="7">
        <v>-1.4990516053215155E-2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L718" s="3">
        <f t="shared" si="98"/>
        <v>1.1553379735430858E-3</v>
      </c>
      <c r="M718" s="3">
        <v>-0.219</v>
      </c>
      <c r="N718" s="3">
        <v>-2.137</v>
      </c>
      <c r="O718" s="3">
        <v>-0.09</v>
      </c>
      <c r="P718" s="35">
        <v>0</v>
      </c>
      <c r="Q718" s="35">
        <v>-1.49698E-2</v>
      </c>
      <c r="R718" s="35">
        <v>0</v>
      </c>
      <c r="S718" s="35">
        <v>-4.76502E-3</v>
      </c>
      <c r="T718" s="35">
        <v>0</v>
      </c>
      <c r="U718" s="35">
        <v>4.76502E-3</v>
      </c>
      <c r="V718" s="35">
        <v>0</v>
      </c>
    </row>
    <row r="719" spans="1:22">
      <c r="A719" s="7"/>
      <c r="B719" s="8">
        <v>1.0097006711160386</v>
      </c>
      <c r="C719" s="8">
        <v>0.26302086313966178</v>
      </c>
      <c r="D719" s="8">
        <v>-0.76545275918666766</v>
      </c>
      <c r="E719" s="7">
        <v>0</v>
      </c>
      <c r="F719" s="7">
        <v>0</v>
      </c>
      <c r="G719" s="7">
        <v>-1.4990516053215155E-2</v>
      </c>
      <c r="H719" s="7">
        <v>0</v>
      </c>
      <c r="I719" s="7">
        <v>0</v>
      </c>
      <c r="J719" s="7">
        <v>0</v>
      </c>
      <c r="K719" s="7">
        <v>0</v>
      </c>
      <c r="L719" s="3">
        <f t="shared" si="98"/>
        <v>2.6877506903266735E-4</v>
      </c>
      <c r="M719" s="3">
        <v>1.01</v>
      </c>
      <c r="N719" s="3">
        <v>0.26300000000000001</v>
      </c>
      <c r="O719" s="3">
        <v>-0.76600000000000001</v>
      </c>
      <c r="P719" s="35">
        <v>0</v>
      </c>
      <c r="Q719" s="35">
        <v>0</v>
      </c>
      <c r="R719" s="35">
        <v>-1.49698E-2</v>
      </c>
      <c r="S719" s="35">
        <v>-4.76502E-3</v>
      </c>
      <c r="T719" s="35">
        <v>0</v>
      </c>
      <c r="U719" s="35">
        <v>0</v>
      </c>
      <c r="V719" s="35">
        <v>4.76502E-3</v>
      </c>
    </row>
    <row r="720" spans="1:22">
      <c r="A720" s="7"/>
      <c r="B720" s="8"/>
      <c r="C720" s="8"/>
      <c r="D720" s="8"/>
      <c r="E720" s="7"/>
      <c r="F720" s="7"/>
      <c r="G720" s="7"/>
      <c r="H720" s="7"/>
      <c r="I720" s="7"/>
      <c r="J720" s="7"/>
      <c r="K720" s="7"/>
    </row>
    <row r="721" spans="1:22">
      <c r="A721" s="7"/>
      <c r="B721" s="8">
        <v>1.0351585166444348</v>
      </c>
      <c r="C721" s="8">
        <v>-2.1037449841221099</v>
      </c>
      <c r="D721" s="8">
        <v>-0.82913701269133588</v>
      </c>
      <c r="E721" s="7">
        <v>-1.4990516053215155E-2</v>
      </c>
      <c r="F721" s="7">
        <v>0</v>
      </c>
      <c r="G721" s="7">
        <v>0</v>
      </c>
      <c r="H721" s="7">
        <v>-1.5970575730977998E-2</v>
      </c>
      <c r="I721" s="7">
        <v>2.1796664656245589E-2</v>
      </c>
      <c r="J721" s="7">
        <v>0</v>
      </c>
      <c r="K721" s="7">
        <v>0</v>
      </c>
      <c r="L721" s="3">
        <f t="shared" ref="L721" si="101">B721-M721+C721-N721+D721-O721</f>
        <v>2.7651983098897492E-4</v>
      </c>
      <c r="M721" s="3">
        <v>1.0349999999999999</v>
      </c>
      <c r="N721" s="3">
        <v>-2.1040000000000001</v>
      </c>
      <c r="O721" s="3">
        <v>-0.82899999999999996</v>
      </c>
      <c r="P721" s="35">
        <v>-1.49698E-2</v>
      </c>
      <c r="Q721" s="35">
        <v>0</v>
      </c>
      <c r="R721" s="35">
        <v>0</v>
      </c>
      <c r="S721" s="35">
        <v>-4.76502E-3</v>
      </c>
      <c r="T721" s="35">
        <v>4.76502E-3</v>
      </c>
      <c r="U721" s="35">
        <v>0</v>
      </c>
      <c r="V721" s="35">
        <v>0</v>
      </c>
    </row>
    <row r="722" spans="1:22">
      <c r="A722" s="7" t="s">
        <v>196</v>
      </c>
      <c r="B722" s="8">
        <v>2.0770709056556562</v>
      </c>
      <c r="C722" s="8">
        <v>-2.1445635165533226</v>
      </c>
      <c r="D722" s="8">
        <v>-5.6653180844775664E-2</v>
      </c>
      <c r="E722" s="7">
        <v>0</v>
      </c>
      <c r="F722" s="7">
        <v>-1.4990516053215155E-2</v>
      </c>
      <c r="G722" s="7">
        <v>0</v>
      </c>
      <c r="H722" s="7">
        <v>-1.5970575730977998E-2</v>
      </c>
      <c r="I722" s="7">
        <v>0</v>
      </c>
      <c r="J722" s="7">
        <v>2.2872089329671663E-2</v>
      </c>
      <c r="K722" s="7">
        <v>0</v>
      </c>
      <c r="L722" s="3">
        <f t="shared" si="93"/>
        <v>8.5420825755806035E-4</v>
      </c>
      <c r="M722" s="3">
        <v>2.077</v>
      </c>
      <c r="N722" s="3">
        <v>-2.145</v>
      </c>
      <c r="O722" s="3">
        <v>-5.7000000000000002E-2</v>
      </c>
      <c r="P722" s="35">
        <v>0</v>
      </c>
      <c r="Q722" s="35">
        <v>-1.49698E-2</v>
      </c>
      <c r="R722" s="35">
        <v>0</v>
      </c>
      <c r="S722" s="35">
        <v>-4.76502E-3</v>
      </c>
      <c r="T722" s="35">
        <v>0</v>
      </c>
      <c r="U722" s="35">
        <v>4.76502E-3</v>
      </c>
      <c r="V722" s="35">
        <v>0</v>
      </c>
    </row>
    <row r="723" spans="1:22">
      <c r="A723" s="7"/>
      <c r="B723" s="8">
        <v>-0.36768865949079377</v>
      </c>
      <c r="C723" s="8">
        <v>-1.2890795247765441</v>
      </c>
      <c r="D723" s="8">
        <v>-0.10954983766095538</v>
      </c>
      <c r="E723" s="7">
        <v>0</v>
      </c>
      <c r="F723" s="7">
        <v>0</v>
      </c>
      <c r="G723" s="7">
        <v>-1.4990516053215155E-2</v>
      </c>
      <c r="H723" s="7">
        <v>-1.5970575730977998E-2</v>
      </c>
      <c r="I723" s="7">
        <v>0</v>
      </c>
      <c r="J723" s="7">
        <v>0</v>
      </c>
      <c r="K723" s="7">
        <v>2.2385887789414392E-2</v>
      </c>
      <c r="L723" s="3">
        <f t="shared" si="93"/>
        <v>6.8197807170657099E-4</v>
      </c>
      <c r="M723" s="3">
        <v>-0.36799999999999999</v>
      </c>
      <c r="N723" s="3">
        <v>-1.2889999999999999</v>
      </c>
      <c r="O723" s="3">
        <v>-0.11</v>
      </c>
      <c r="P723" s="35">
        <v>0</v>
      </c>
      <c r="Q723" s="35">
        <v>0</v>
      </c>
      <c r="R723" s="35">
        <v>-1.49698E-2</v>
      </c>
      <c r="S723" s="35">
        <v>-4.76502E-3</v>
      </c>
      <c r="T723" s="35">
        <v>0</v>
      </c>
      <c r="U723" s="35">
        <v>0</v>
      </c>
      <c r="V723" s="35">
        <v>4.76502E-3</v>
      </c>
    </row>
    <row r="724" spans="1:22">
      <c r="A724" s="7"/>
      <c r="B724" s="8"/>
      <c r="C724" s="8"/>
      <c r="D724" s="8"/>
      <c r="E724" s="7"/>
      <c r="F724" s="7"/>
      <c r="G724" s="7"/>
      <c r="H724" s="7"/>
      <c r="I724" s="7"/>
      <c r="J724" s="7"/>
      <c r="K724" s="7"/>
    </row>
    <row r="725" spans="1:22">
      <c r="A725" s="7"/>
      <c r="B725" s="8">
        <v>1.0351585166444348</v>
      </c>
      <c r="C725" s="8">
        <v>-2.1037449841221099</v>
      </c>
      <c r="D725" s="8">
        <v>-0.82913701269133588</v>
      </c>
      <c r="E725" s="7">
        <v>-1.4990516053215155E-2</v>
      </c>
      <c r="F725" s="7">
        <v>0</v>
      </c>
      <c r="G725" s="7">
        <v>0</v>
      </c>
      <c r="H725" s="7">
        <v>-1.5970575730977998E-2</v>
      </c>
      <c r="I725" s="7">
        <v>2.1796664656245589E-2</v>
      </c>
      <c r="J725" s="7">
        <v>0</v>
      </c>
      <c r="K725" s="7">
        <v>0</v>
      </c>
      <c r="L725" s="3">
        <f t="shared" si="98"/>
        <v>2.7651983098897492E-4</v>
      </c>
      <c r="M725" s="3">
        <v>1.0349999999999999</v>
      </c>
      <c r="N725" s="3">
        <v>-2.1040000000000001</v>
      </c>
      <c r="O725" s="3">
        <v>-0.82899999999999996</v>
      </c>
      <c r="P725" s="35">
        <v>-1.49698E-2</v>
      </c>
      <c r="Q725" s="35">
        <v>0</v>
      </c>
      <c r="R725" s="35">
        <v>0</v>
      </c>
      <c r="S725" s="35">
        <v>-4.76502E-3</v>
      </c>
      <c r="T725" s="35">
        <v>4.76502E-3</v>
      </c>
      <c r="U725" s="35">
        <v>0</v>
      </c>
      <c r="V725" s="35">
        <v>0</v>
      </c>
    </row>
    <row r="726" spans="1:22">
      <c r="A726" s="7" t="s">
        <v>197</v>
      </c>
      <c r="B726" s="8">
        <v>2.0770709056556562</v>
      </c>
      <c r="C726" s="8">
        <v>-2.1445635165533226</v>
      </c>
      <c r="D726" s="8">
        <v>-5.6653180844775664E-2</v>
      </c>
      <c r="E726" s="7">
        <v>0</v>
      </c>
      <c r="F726" s="7">
        <v>-1.4990516053215155E-2</v>
      </c>
      <c r="G726" s="7">
        <v>0</v>
      </c>
      <c r="H726" s="7">
        <v>-1.5970575730977998E-2</v>
      </c>
      <c r="I726" s="7">
        <v>0</v>
      </c>
      <c r="J726" s="7">
        <v>2.2872089329671663E-2</v>
      </c>
      <c r="K726" s="7">
        <v>0</v>
      </c>
      <c r="L726" s="3">
        <f t="shared" si="98"/>
        <v>8.5420825755806035E-4</v>
      </c>
      <c r="M726" s="3">
        <v>2.077</v>
      </c>
      <c r="N726" s="3">
        <v>-2.145</v>
      </c>
      <c r="O726" s="3">
        <v>-5.7000000000000002E-2</v>
      </c>
      <c r="P726" s="35">
        <v>0</v>
      </c>
      <c r="Q726" s="35">
        <v>-1.49698E-2</v>
      </c>
      <c r="R726" s="35">
        <v>0</v>
      </c>
      <c r="S726" s="35">
        <v>-4.76502E-3</v>
      </c>
      <c r="T726" s="35">
        <v>0</v>
      </c>
      <c r="U726" s="35">
        <v>4.76502E-3</v>
      </c>
      <c r="V726" s="35">
        <v>0</v>
      </c>
    </row>
    <row r="727" spans="1:22">
      <c r="A727" s="7"/>
      <c r="B727" s="8">
        <v>2.4772611105726599</v>
      </c>
      <c r="C727" s="8">
        <v>-1.0605572692523213</v>
      </c>
      <c r="D727" s="8">
        <v>-3.9812674620544719E-2</v>
      </c>
      <c r="E727" s="7">
        <v>0</v>
      </c>
      <c r="F727" s="7">
        <v>0</v>
      </c>
      <c r="G727" s="7">
        <v>-1.4990516053215155E-2</v>
      </c>
      <c r="H727" s="7">
        <v>-1.5970575730977998E-2</v>
      </c>
      <c r="I727" s="7">
        <v>0</v>
      </c>
      <c r="J727" s="7">
        <v>0</v>
      </c>
      <c r="K727" s="7">
        <v>1.6236379226863738E-2</v>
      </c>
      <c r="L727" s="3">
        <f t="shared" si="98"/>
        <v>8.9116669979390911E-4</v>
      </c>
      <c r="M727" s="3">
        <v>2.4769999999999999</v>
      </c>
      <c r="N727" s="3">
        <v>-1.0609999999999999</v>
      </c>
      <c r="O727" s="3">
        <v>-0.04</v>
      </c>
      <c r="P727" s="35">
        <v>0</v>
      </c>
      <c r="Q727" s="35">
        <v>0</v>
      </c>
      <c r="R727" s="35">
        <v>-1.49698E-2</v>
      </c>
      <c r="S727" s="35">
        <v>-4.76502E-3</v>
      </c>
      <c r="T727" s="35">
        <v>0</v>
      </c>
      <c r="U727" s="35">
        <v>0</v>
      </c>
      <c r="V727" s="35">
        <v>4.76502E-3</v>
      </c>
    </row>
    <row r="728" spans="1:22">
      <c r="A728" s="7"/>
      <c r="B728" s="8"/>
      <c r="C728" s="8"/>
      <c r="D728" s="8"/>
      <c r="E728" s="7"/>
      <c r="F728" s="7"/>
      <c r="G728" s="7"/>
      <c r="H728" s="7"/>
      <c r="I728" s="7"/>
      <c r="J728" s="7"/>
      <c r="K728" s="7"/>
    </row>
    <row r="729" spans="1:22">
      <c r="A729" s="7"/>
      <c r="B729" s="8">
        <v>1.0351585166444348</v>
      </c>
      <c r="C729" s="8">
        <v>-2.1037449841221099</v>
      </c>
      <c r="D729" s="8">
        <v>-0.82913701269133588</v>
      </c>
      <c r="E729" s="7">
        <v>-1.4990516053215155E-2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3">
        <f t="shared" si="94"/>
        <v>2.7651983098897492E-4</v>
      </c>
      <c r="M729" s="3">
        <v>1.0349999999999999</v>
      </c>
      <c r="N729" s="3">
        <v>-2.1040000000000001</v>
      </c>
      <c r="O729" s="3">
        <v>-0.82899999999999996</v>
      </c>
      <c r="P729" s="35">
        <v>-1.49698E-2</v>
      </c>
      <c r="Q729" s="35">
        <v>0</v>
      </c>
      <c r="R729" s="35">
        <v>0</v>
      </c>
      <c r="S729" s="35">
        <v>-4.76502E-3</v>
      </c>
      <c r="T729" s="35">
        <v>4.76502E-3</v>
      </c>
      <c r="U729" s="35">
        <v>0</v>
      </c>
      <c r="V729" s="35">
        <v>0</v>
      </c>
    </row>
    <row r="730" spans="1:22">
      <c r="A730" s="7" t="s">
        <v>198</v>
      </c>
      <c r="B730" s="8">
        <v>2.0770709056556562</v>
      </c>
      <c r="C730" s="8">
        <v>-2.1445635165533226</v>
      </c>
      <c r="D730" s="8">
        <v>-5.6653180844775664E-2</v>
      </c>
      <c r="E730" s="7">
        <v>0</v>
      </c>
      <c r="F730" s="7">
        <v>-1.4990516053215155E-2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3">
        <f t="shared" si="98"/>
        <v>8.5420825755806035E-4</v>
      </c>
      <c r="M730" s="3">
        <v>2.077</v>
      </c>
      <c r="N730" s="3">
        <v>-2.145</v>
      </c>
      <c r="O730" s="3">
        <v>-5.7000000000000002E-2</v>
      </c>
      <c r="P730" s="35">
        <v>0</v>
      </c>
      <c r="Q730" s="35">
        <v>-1.49698E-2</v>
      </c>
      <c r="R730" s="35">
        <v>0</v>
      </c>
      <c r="S730" s="35">
        <v>-4.76502E-3</v>
      </c>
      <c r="T730" s="35">
        <v>0</v>
      </c>
      <c r="U730" s="35">
        <v>4.76502E-3</v>
      </c>
      <c r="V730" s="35">
        <v>0</v>
      </c>
    </row>
    <row r="731" spans="1:22">
      <c r="A731" s="7"/>
      <c r="B731" s="8">
        <v>1.6188303733889171</v>
      </c>
      <c r="C731" s="8">
        <v>-1.9594494251009342E-2</v>
      </c>
      <c r="D731" s="8">
        <v>-7.7422792294721043E-2</v>
      </c>
      <c r="E731" s="7">
        <v>0</v>
      </c>
      <c r="F731" s="7">
        <v>0</v>
      </c>
      <c r="G731" s="7">
        <v>-1.4990516053215155E-2</v>
      </c>
      <c r="H731" s="7">
        <v>0</v>
      </c>
      <c r="I731" s="7">
        <v>0</v>
      </c>
      <c r="J731" s="7">
        <v>0</v>
      </c>
      <c r="K731" s="7">
        <v>0</v>
      </c>
      <c r="L731" s="3">
        <f t="shared" si="98"/>
        <v>8.130868431867333E-4</v>
      </c>
      <c r="M731" s="3">
        <v>1.619</v>
      </c>
      <c r="N731" s="3">
        <v>-0.02</v>
      </c>
      <c r="O731" s="3">
        <v>-7.8E-2</v>
      </c>
      <c r="P731" s="35">
        <v>0</v>
      </c>
      <c r="Q731" s="35">
        <v>0</v>
      </c>
      <c r="R731" s="35">
        <v>-1.49698E-2</v>
      </c>
      <c r="S731" s="35">
        <v>-4.76502E-3</v>
      </c>
      <c r="T731" s="35">
        <v>0</v>
      </c>
      <c r="U731" s="35">
        <v>0</v>
      </c>
      <c r="V731" s="35">
        <v>4.76502E-3</v>
      </c>
    </row>
    <row r="732" spans="1:22">
      <c r="A732" s="7"/>
      <c r="B732" s="8"/>
      <c r="C732" s="8"/>
      <c r="D732" s="8"/>
      <c r="E732" s="7"/>
      <c r="F732" s="7"/>
      <c r="G732" s="7"/>
      <c r="H732" s="7"/>
      <c r="I732" s="7"/>
      <c r="J732" s="7"/>
      <c r="K732" s="7"/>
    </row>
    <row r="733" spans="1:22">
      <c r="A733" s="7"/>
      <c r="B733" s="8">
        <v>1.0351585166444348</v>
      </c>
      <c r="C733" s="8">
        <v>-2.1037449841221099</v>
      </c>
      <c r="D733" s="8">
        <v>-0.82913701269133588</v>
      </c>
      <c r="E733" s="7">
        <v>-1.4990516053215155E-2</v>
      </c>
      <c r="F733" s="7">
        <v>0</v>
      </c>
      <c r="G733" s="7">
        <v>0</v>
      </c>
      <c r="H733" s="7">
        <v>-1.5970575730977998E-2</v>
      </c>
      <c r="I733" s="7">
        <v>2.1796664656245589E-2</v>
      </c>
      <c r="J733" s="7">
        <v>0</v>
      </c>
      <c r="K733" s="7">
        <v>0</v>
      </c>
      <c r="L733" s="3">
        <f t="shared" si="95"/>
        <v>2.7651983098897492E-4</v>
      </c>
      <c r="M733" s="3">
        <v>1.0349999999999999</v>
      </c>
      <c r="N733" s="3">
        <v>-2.1040000000000001</v>
      </c>
      <c r="O733" s="3">
        <v>-0.82899999999999996</v>
      </c>
      <c r="P733" s="35">
        <v>-1.49698E-2</v>
      </c>
      <c r="Q733" s="35">
        <v>0</v>
      </c>
      <c r="R733" s="35">
        <v>0</v>
      </c>
      <c r="S733" s="35">
        <v>-4.76502E-3</v>
      </c>
      <c r="T733" s="35">
        <v>4.76502E-3</v>
      </c>
      <c r="U733" s="35">
        <v>0</v>
      </c>
      <c r="V733" s="35">
        <v>0</v>
      </c>
    </row>
    <row r="734" spans="1:22">
      <c r="A734" s="7" t="s">
        <v>199</v>
      </c>
      <c r="B734" s="8">
        <v>2.0770709056556562</v>
      </c>
      <c r="C734" s="8">
        <v>-2.1445635165533226</v>
      </c>
      <c r="D734" s="8">
        <v>-5.6653180844775664E-2</v>
      </c>
      <c r="E734" s="7">
        <v>0</v>
      </c>
      <c r="F734" s="7">
        <v>-1.4990516053215155E-2</v>
      </c>
      <c r="G734" s="7">
        <v>0</v>
      </c>
      <c r="H734" s="7">
        <v>-1.5970575730977998E-2</v>
      </c>
      <c r="I734" s="7">
        <v>0</v>
      </c>
      <c r="J734" s="7">
        <v>2.2872089329671663E-2</v>
      </c>
      <c r="K734" s="7">
        <v>0</v>
      </c>
      <c r="L734" s="3">
        <f t="shared" si="98"/>
        <v>8.5420825755806035E-4</v>
      </c>
      <c r="M734" s="3">
        <v>2.077</v>
      </c>
      <c r="N734" s="3">
        <v>-2.145</v>
      </c>
      <c r="O734" s="3">
        <v>-5.7000000000000002E-2</v>
      </c>
      <c r="P734" s="35">
        <v>0</v>
      </c>
      <c r="Q734" s="35">
        <v>-1.49698E-2</v>
      </c>
      <c r="R734" s="35">
        <v>0</v>
      </c>
      <c r="S734" s="35">
        <v>-4.76502E-3</v>
      </c>
      <c r="T734" s="35">
        <v>0</v>
      </c>
      <c r="U734" s="35">
        <v>4.76502E-3</v>
      </c>
      <c r="V734" s="35">
        <v>0</v>
      </c>
    </row>
    <row r="735" spans="1:22">
      <c r="A735" s="7"/>
      <c r="B735" s="8">
        <v>1.0097006711160386</v>
      </c>
      <c r="C735" s="8">
        <v>0.26302086313966178</v>
      </c>
      <c r="D735" s="8">
        <v>-0.76545275918666766</v>
      </c>
      <c r="E735" s="7">
        <v>0</v>
      </c>
      <c r="F735" s="7">
        <v>0</v>
      </c>
      <c r="G735" s="7">
        <v>-1.4990516053215155E-2</v>
      </c>
      <c r="H735" s="7">
        <v>-1.5970575730977998E-2</v>
      </c>
      <c r="I735" s="7">
        <v>0</v>
      </c>
      <c r="J735" s="7">
        <v>0</v>
      </c>
      <c r="K735" s="7">
        <v>2.0521745021313972E-2</v>
      </c>
      <c r="L735" s="3">
        <f t="shared" si="98"/>
        <v>2.6877506903266735E-4</v>
      </c>
      <c r="M735" s="3">
        <v>1.01</v>
      </c>
      <c r="N735" s="3">
        <v>0.26300000000000001</v>
      </c>
      <c r="O735" s="3">
        <v>-0.76600000000000001</v>
      </c>
      <c r="P735" s="35">
        <v>0</v>
      </c>
      <c r="Q735" s="35">
        <v>0</v>
      </c>
      <c r="R735" s="35">
        <v>-1.49698E-2</v>
      </c>
      <c r="S735" s="35">
        <v>-4.76502E-3</v>
      </c>
      <c r="T735" s="35">
        <v>0</v>
      </c>
      <c r="U735" s="35">
        <v>0</v>
      </c>
      <c r="V735" s="35">
        <v>4.76502E-3</v>
      </c>
    </row>
    <row r="736" spans="1:22">
      <c r="A736" s="7"/>
      <c r="B736" s="8"/>
      <c r="C736" s="8"/>
      <c r="D736" s="8"/>
      <c r="E736" s="7"/>
      <c r="F736" s="7"/>
      <c r="G736" s="7"/>
      <c r="H736" s="7"/>
      <c r="I736" s="7"/>
      <c r="J736" s="7"/>
      <c r="K736" s="7"/>
    </row>
    <row r="737" spans="1:22">
      <c r="A737" s="7"/>
      <c r="B737" s="8">
        <v>1.0351585166444348</v>
      </c>
      <c r="C737" s="8">
        <v>-2.1037449841221099</v>
      </c>
      <c r="D737" s="8">
        <v>-0.82913701269133588</v>
      </c>
      <c r="E737" s="7">
        <v>-1.4990516053215155E-2</v>
      </c>
      <c r="F737" s="7">
        <v>0</v>
      </c>
      <c r="G737" s="7">
        <v>0</v>
      </c>
      <c r="H737" s="7">
        <v>-1.5970575730977998E-2</v>
      </c>
      <c r="I737" s="7">
        <v>2.1796664656245589E-2</v>
      </c>
      <c r="J737" s="7">
        <v>0</v>
      </c>
      <c r="K737" s="7">
        <v>0</v>
      </c>
      <c r="L737" s="3">
        <f t="shared" si="96"/>
        <v>2.7651983098897492E-4</v>
      </c>
      <c r="M737" s="3">
        <v>1.0349999999999999</v>
      </c>
      <c r="N737" s="3">
        <v>-2.1040000000000001</v>
      </c>
      <c r="O737" s="3">
        <v>-0.82899999999999996</v>
      </c>
      <c r="P737" s="35">
        <v>-1.49698E-2</v>
      </c>
      <c r="Q737" s="35">
        <v>0</v>
      </c>
      <c r="R737" s="35">
        <v>0</v>
      </c>
      <c r="S737" s="35">
        <v>-4.76502E-3</v>
      </c>
      <c r="T737" s="35">
        <v>4.76502E-3</v>
      </c>
      <c r="U737" s="35">
        <v>0</v>
      </c>
      <c r="V737" s="35">
        <v>0</v>
      </c>
    </row>
    <row r="738" spans="1:22">
      <c r="A738" s="7" t="s">
        <v>200</v>
      </c>
      <c r="B738" s="8">
        <v>-0.36768865949079377</v>
      </c>
      <c r="C738" s="8">
        <v>-1.2890795247765441</v>
      </c>
      <c r="D738" s="8">
        <v>-0.10954983766095538</v>
      </c>
      <c r="E738" s="7">
        <v>0</v>
      </c>
      <c r="F738" s="7">
        <v>-1.4990516053215155E-2</v>
      </c>
      <c r="G738" s="7">
        <v>0</v>
      </c>
      <c r="H738" s="7">
        <v>-1.5970575730977998E-2</v>
      </c>
      <c r="I738" s="7">
        <v>0</v>
      </c>
      <c r="J738" s="7">
        <v>2.2385887789414392E-2</v>
      </c>
      <c r="K738" s="7">
        <v>0</v>
      </c>
      <c r="L738" s="3">
        <f t="shared" si="98"/>
        <v>6.8197807170657099E-4</v>
      </c>
      <c r="M738" s="3">
        <v>-0.36799999999999999</v>
      </c>
      <c r="N738" s="3">
        <v>-1.2889999999999999</v>
      </c>
      <c r="O738" s="3">
        <v>-0.11</v>
      </c>
      <c r="P738" s="35">
        <v>0</v>
      </c>
      <c r="Q738" s="35">
        <v>-1.49698E-2</v>
      </c>
      <c r="R738" s="35">
        <v>0</v>
      </c>
      <c r="S738" s="35">
        <v>-4.76502E-3</v>
      </c>
      <c r="T738" s="35">
        <v>0</v>
      </c>
      <c r="U738" s="35">
        <v>4.76502E-3</v>
      </c>
      <c r="V738" s="35">
        <v>0</v>
      </c>
    </row>
    <row r="739" spans="1:22">
      <c r="A739" s="7"/>
      <c r="B739" s="8">
        <v>2.4772611105726599</v>
      </c>
      <c r="C739" s="8">
        <v>-1.0605572692523213</v>
      </c>
      <c r="D739" s="8">
        <v>-3.9812674620544719E-2</v>
      </c>
      <c r="E739" s="7">
        <v>0</v>
      </c>
      <c r="F739" s="7">
        <v>0</v>
      </c>
      <c r="G739" s="7">
        <v>-1.4990516053215155E-2</v>
      </c>
      <c r="H739" s="7">
        <v>-1.5970575730977998E-2</v>
      </c>
      <c r="I739" s="7">
        <v>0</v>
      </c>
      <c r="J739" s="7">
        <v>0</v>
      </c>
      <c r="K739" s="7">
        <v>1.6236379226863738E-2</v>
      </c>
      <c r="L739" s="3">
        <f t="shared" si="98"/>
        <v>8.9116669979390911E-4</v>
      </c>
      <c r="M739" s="3">
        <v>2.4769999999999999</v>
      </c>
      <c r="N739" s="3">
        <v>-1.0609999999999999</v>
      </c>
      <c r="O739" s="3">
        <v>-0.04</v>
      </c>
      <c r="P739" s="35">
        <v>0</v>
      </c>
      <c r="Q739" s="35">
        <v>0</v>
      </c>
      <c r="R739" s="35">
        <v>-1.49698E-2</v>
      </c>
      <c r="S739" s="35">
        <v>-4.76502E-3</v>
      </c>
      <c r="T739" s="35">
        <v>0</v>
      </c>
      <c r="U739" s="35">
        <v>0</v>
      </c>
      <c r="V739" s="35">
        <v>4.76502E-3</v>
      </c>
    </row>
    <row r="740" spans="1:22">
      <c r="A740" s="7"/>
      <c r="B740" s="8"/>
      <c r="C740" s="8"/>
      <c r="D740" s="8"/>
      <c r="E740" s="7"/>
      <c r="F740" s="7"/>
      <c r="G740" s="7"/>
      <c r="H740" s="7"/>
      <c r="I740" s="7"/>
      <c r="J740" s="7"/>
      <c r="K740" s="7"/>
    </row>
    <row r="741" spans="1:22">
      <c r="A741" s="7"/>
      <c r="B741" s="8">
        <v>1.0351585166444348</v>
      </c>
      <c r="C741" s="8">
        <v>-2.1037449841221099</v>
      </c>
      <c r="D741" s="8">
        <v>-0.82913701269133588</v>
      </c>
      <c r="E741" s="7">
        <v>-1.4990516053215155E-2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3">
        <f t="shared" si="97"/>
        <v>2.7651983098897492E-4</v>
      </c>
      <c r="M741" s="3">
        <v>1.0349999999999999</v>
      </c>
      <c r="N741" s="3">
        <v>-2.1040000000000001</v>
      </c>
      <c r="O741" s="3">
        <v>-0.82899999999999996</v>
      </c>
      <c r="P741" s="35">
        <v>-1.49698E-2</v>
      </c>
      <c r="Q741" s="35">
        <v>0</v>
      </c>
      <c r="R741" s="35">
        <v>0</v>
      </c>
      <c r="S741" s="35">
        <v>-4.76502E-3</v>
      </c>
      <c r="T741" s="35">
        <v>4.76502E-3</v>
      </c>
      <c r="U741" s="35">
        <v>0</v>
      </c>
      <c r="V741" s="35">
        <v>0</v>
      </c>
    </row>
    <row r="742" spans="1:22">
      <c r="A742" s="7" t="s">
        <v>201</v>
      </c>
      <c r="B742" s="8">
        <v>-0.36768865949079377</v>
      </c>
      <c r="C742" s="8">
        <v>-1.2890795247765441</v>
      </c>
      <c r="D742" s="8">
        <v>-0.10954983766095538</v>
      </c>
      <c r="E742" s="7">
        <v>0</v>
      </c>
      <c r="F742" s="7">
        <v>-1.4990516053215155E-2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L742" s="3">
        <f t="shared" si="98"/>
        <v>6.8197807170657099E-4</v>
      </c>
      <c r="M742" s="3">
        <v>-0.36799999999999999</v>
      </c>
      <c r="N742" s="3">
        <v>-1.2889999999999999</v>
      </c>
      <c r="O742" s="3">
        <v>-0.11</v>
      </c>
      <c r="P742" s="35">
        <v>0</v>
      </c>
      <c r="Q742" s="35">
        <v>-1.49698E-2</v>
      </c>
      <c r="R742" s="35">
        <v>0</v>
      </c>
      <c r="S742" s="35">
        <v>-4.76502E-3</v>
      </c>
      <c r="T742" s="35">
        <v>0</v>
      </c>
      <c r="U742" s="35">
        <v>4.76502E-3</v>
      </c>
      <c r="V742" s="35">
        <v>0</v>
      </c>
    </row>
    <row r="743" spans="1:22">
      <c r="A743" s="7"/>
      <c r="B743" s="8">
        <v>1.6188303733889171</v>
      </c>
      <c r="C743" s="8">
        <v>-1.9594494251009342E-2</v>
      </c>
      <c r="D743" s="8">
        <v>-7.7422792294721043E-2</v>
      </c>
      <c r="E743" s="7">
        <v>0</v>
      </c>
      <c r="F743" s="7">
        <v>0</v>
      </c>
      <c r="G743" s="7">
        <v>-1.4990516053215155E-2</v>
      </c>
      <c r="H743" s="7">
        <v>0</v>
      </c>
      <c r="I743" s="7">
        <v>0</v>
      </c>
      <c r="J743" s="7">
        <v>0</v>
      </c>
      <c r="K743" s="7">
        <v>0</v>
      </c>
      <c r="L743" s="3">
        <f t="shared" si="98"/>
        <v>8.130868431867333E-4</v>
      </c>
      <c r="M743" s="3">
        <v>1.619</v>
      </c>
      <c r="N743" s="3">
        <v>-0.02</v>
      </c>
      <c r="O743" s="3">
        <v>-7.8E-2</v>
      </c>
      <c r="P743" s="35">
        <v>0</v>
      </c>
      <c r="Q743" s="35">
        <v>0</v>
      </c>
      <c r="R743" s="35">
        <v>-1.49698E-2</v>
      </c>
      <c r="S743" s="35">
        <v>-4.76502E-3</v>
      </c>
      <c r="T743" s="35">
        <v>0</v>
      </c>
      <c r="U743" s="35">
        <v>0</v>
      </c>
      <c r="V743" s="35">
        <v>4.76502E-3</v>
      </c>
    </row>
    <row r="744" spans="1:22">
      <c r="A744" s="7"/>
      <c r="B744" s="8"/>
      <c r="C744" s="8"/>
      <c r="D744" s="8"/>
      <c r="E744" s="7"/>
      <c r="F744" s="7"/>
      <c r="G744" s="7"/>
      <c r="H744" s="7"/>
      <c r="I744" s="7"/>
      <c r="J744" s="7"/>
      <c r="K744" s="7"/>
    </row>
    <row r="745" spans="1:22">
      <c r="A745" s="7"/>
      <c r="B745" s="8">
        <v>1.0351585166444348</v>
      </c>
      <c r="C745" s="8">
        <v>-2.1037449841221099</v>
      </c>
      <c r="D745" s="8">
        <v>-0.82913701269133588</v>
      </c>
      <c r="E745" s="7">
        <v>-1.4990516053215155E-2</v>
      </c>
      <c r="F745" s="7">
        <v>0</v>
      </c>
      <c r="G745" s="7">
        <v>0</v>
      </c>
      <c r="H745" s="7">
        <v>-1.5970575730977998E-2</v>
      </c>
      <c r="I745" s="7">
        <v>2.1796664656245589E-2</v>
      </c>
      <c r="J745" s="7">
        <v>0</v>
      </c>
      <c r="K745" s="7">
        <v>0</v>
      </c>
      <c r="L745" s="3">
        <f t="shared" si="98"/>
        <v>2.7651983098897492E-4</v>
      </c>
      <c r="M745" s="3">
        <v>1.0349999999999999</v>
      </c>
      <c r="N745" s="3">
        <v>-2.1040000000000001</v>
      </c>
      <c r="O745" s="3">
        <v>-0.82899999999999996</v>
      </c>
      <c r="P745" s="35">
        <v>-1.49698E-2</v>
      </c>
      <c r="Q745" s="35">
        <v>0</v>
      </c>
      <c r="R745" s="35">
        <v>0</v>
      </c>
      <c r="S745" s="35">
        <v>-4.76502E-3</v>
      </c>
      <c r="T745" s="35">
        <v>4.76502E-3</v>
      </c>
      <c r="U745" s="35">
        <v>0</v>
      </c>
      <c r="V745" s="35">
        <v>0</v>
      </c>
    </row>
    <row r="746" spans="1:22">
      <c r="A746" s="7" t="s">
        <v>202</v>
      </c>
      <c r="B746" s="8">
        <v>-0.36768865949079377</v>
      </c>
      <c r="C746" s="8">
        <v>-1.2890795247765441</v>
      </c>
      <c r="D746" s="8">
        <v>-0.10954983766095538</v>
      </c>
      <c r="E746" s="7">
        <v>0</v>
      </c>
      <c r="F746" s="7">
        <v>-1.4990516053215155E-2</v>
      </c>
      <c r="G746" s="7">
        <v>0</v>
      </c>
      <c r="H746" s="7">
        <v>-1.5970575730977998E-2</v>
      </c>
      <c r="I746" s="7">
        <v>0</v>
      </c>
      <c r="J746" s="7">
        <v>2.2385887789414392E-2</v>
      </c>
      <c r="K746" s="7">
        <v>0</v>
      </c>
      <c r="L746" s="3">
        <f t="shared" si="98"/>
        <v>6.8197807170657099E-4</v>
      </c>
      <c r="M746" s="3">
        <v>-0.36799999999999999</v>
      </c>
      <c r="N746" s="3">
        <v>-1.2889999999999999</v>
      </c>
      <c r="O746" s="3">
        <v>-0.11</v>
      </c>
      <c r="P746" s="35">
        <v>0</v>
      </c>
      <c r="Q746" s="35">
        <v>-1.49698E-2</v>
      </c>
      <c r="R746" s="35">
        <v>0</v>
      </c>
      <c r="S746" s="35">
        <v>-4.76502E-3</v>
      </c>
      <c r="T746" s="35">
        <v>0</v>
      </c>
      <c r="U746" s="35">
        <v>4.76502E-3</v>
      </c>
      <c r="V746" s="35">
        <v>0</v>
      </c>
    </row>
    <row r="747" spans="1:22">
      <c r="A747" s="7"/>
      <c r="B747" s="8">
        <v>1.0097006711160386</v>
      </c>
      <c r="C747" s="8">
        <v>0.26302086313966178</v>
      </c>
      <c r="D747" s="8">
        <v>-0.76545275918666766</v>
      </c>
      <c r="E747" s="7">
        <v>0</v>
      </c>
      <c r="F747" s="7">
        <v>0</v>
      </c>
      <c r="G747" s="7">
        <v>-1.4990516053215155E-2</v>
      </c>
      <c r="H747" s="7">
        <v>-1.5970575730977998E-2</v>
      </c>
      <c r="I747" s="7">
        <v>0</v>
      </c>
      <c r="J747" s="7">
        <v>0</v>
      </c>
      <c r="K747" s="7">
        <v>2.0521745021313972E-2</v>
      </c>
      <c r="L747" s="3">
        <f t="shared" si="98"/>
        <v>2.6877506903266735E-4</v>
      </c>
      <c r="M747" s="3">
        <v>1.01</v>
      </c>
      <c r="N747" s="3">
        <v>0.26300000000000001</v>
      </c>
      <c r="O747" s="3">
        <v>-0.76600000000000001</v>
      </c>
      <c r="P747" s="35">
        <v>0</v>
      </c>
      <c r="Q747" s="35">
        <v>0</v>
      </c>
      <c r="R747" s="35">
        <v>-1.49698E-2</v>
      </c>
      <c r="S747" s="35">
        <v>-4.76502E-3</v>
      </c>
      <c r="T747" s="35">
        <v>0</v>
      </c>
      <c r="U747" s="35">
        <v>0</v>
      </c>
      <c r="V747" s="35">
        <v>4.76502E-3</v>
      </c>
    </row>
    <row r="748" spans="1:22">
      <c r="A748" s="7"/>
      <c r="B748" s="8"/>
      <c r="C748" s="8"/>
      <c r="D748" s="8"/>
      <c r="E748" s="7"/>
      <c r="F748" s="7"/>
      <c r="G748" s="7"/>
      <c r="H748" s="7"/>
      <c r="I748" s="7"/>
      <c r="J748" s="7"/>
      <c r="K748" s="7"/>
    </row>
    <row r="749" spans="1:22">
      <c r="A749" s="7"/>
      <c r="B749" s="8">
        <v>1.0351585166444348</v>
      </c>
      <c r="C749" s="8">
        <v>-2.1037449841221099</v>
      </c>
      <c r="D749" s="8">
        <v>-0.82913701269133588</v>
      </c>
      <c r="E749" s="7">
        <v>-1.4990516053215155E-2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3">
        <f t="shared" si="99"/>
        <v>2.7651983098897492E-4</v>
      </c>
      <c r="M749" s="3">
        <v>1.0349999999999999</v>
      </c>
      <c r="N749" s="3">
        <v>-2.1040000000000001</v>
      </c>
      <c r="O749" s="3">
        <v>-0.82899999999999996</v>
      </c>
      <c r="P749" s="35">
        <v>-1.49698E-2</v>
      </c>
      <c r="Q749" s="35">
        <v>0</v>
      </c>
      <c r="R749" s="35">
        <v>0</v>
      </c>
      <c r="S749" s="35">
        <v>-4.76502E-3</v>
      </c>
      <c r="T749" s="35">
        <v>4.76502E-3</v>
      </c>
      <c r="U749" s="35">
        <v>0</v>
      </c>
      <c r="V749" s="35">
        <v>0</v>
      </c>
    </row>
    <row r="750" spans="1:22">
      <c r="A750" s="7" t="s">
        <v>203</v>
      </c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-1.4990516053215155E-2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3">
        <f t="shared" si="98"/>
        <v>8.9116669979390911E-4</v>
      </c>
      <c r="M750" s="3">
        <v>2.4769999999999999</v>
      </c>
      <c r="N750" s="3">
        <v>-1.0609999999999999</v>
      </c>
      <c r="O750" s="3">
        <v>-0.04</v>
      </c>
      <c r="P750" s="35">
        <v>0</v>
      </c>
      <c r="Q750" s="35">
        <v>-1.49698E-2</v>
      </c>
      <c r="R750" s="35">
        <v>0</v>
      </c>
      <c r="S750" s="35">
        <v>-4.76502E-3</v>
      </c>
      <c r="T750" s="35">
        <v>0</v>
      </c>
      <c r="U750" s="35">
        <v>4.76502E-3</v>
      </c>
      <c r="V750" s="35">
        <v>0</v>
      </c>
    </row>
    <row r="751" spans="1:22">
      <c r="A751" s="7"/>
      <c r="B751" s="8">
        <v>1.6188303733889171</v>
      </c>
      <c r="C751" s="8">
        <v>-1.9594494251009342E-2</v>
      </c>
      <c r="D751" s="8">
        <v>-7.7422792294721043E-2</v>
      </c>
      <c r="E751" s="7">
        <v>0</v>
      </c>
      <c r="F751" s="7">
        <v>0</v>
      </c>
      <c r="G751" s="7">
        <v>-1.4990516053215155E-2</v>
      </c>
      <c r="H751" s="7">
        <v>0</v>
      </c>
      <c r="I751" s="7">
        <v>0</v>
      </c>
      <c r="J751" s="7">
        <v>0</v>
      </c>
      <c r="K751" s="7">
        <v>0</v>
      </c>
      <c r="L751" s="3">
        <f t="shared" si="98"/>
        <v>8.130868431867333E-4</v>
      </c>
      <c r="M751" s="3">
        <v>1.619</v>
      </c>
      <c r="N751" s="3">
        <v>-0.02</v>
      </c>
      <c r="O751" s="3">
        <v>-7.8E-2</v>
      </c>
      <c r="P751" s="35">
        <v>0</v>
      </c>
      <c r="Q751" s="35">
        <v>0</v>
      </c>
      <c r="R751" s="35">
        <v>-1.49698E-2</v>
      </c>
      <c r="S751" s="35">
        <v>-4.76502E-3</v>
      </c>
      <c r="T751" s="35">
        <v>0</v>
      </c>
      <c r="U751" s="35">
        <v>0</v>
      </c>
      <c r="V751" s="35">
        <v>4.76502E-3</v>
      </c>
    </row>
    <row r="752" spans="1:22">
      <c r="A752" s="7"/>
      <c r="B752" s="8"/>
      <c r="C752" s="8"/>
      <c r="D752" s="8"/>
      <c r="E752" s="7"/>
      <c r="F752" s="7"/>
      <c r="G752" s="7"/>
      <c r="H752" s="7"/>
      <c r="I752" s="7"/>
      <c r="J752" s="7"/>
      <c r="K752" s="7"/>
    </row>
    <row r="753" spans="1:22">
      <c r="A753" s="7"/>
      <c r="B753" s="8">
        <v>1.0351585166444348</v>
      </c>
      <c r="C753" s="8">
        <v>-2.1037449841221099</v>
      </c>
      <c r="D753" s="8">
        <v>-0.82913701269133588</v>
      </c>
      <c r="E753" s="7">
        <v>-1.4990516053215155E-2</v>
      </c>
      <c r="F753" s="7">
        <v>0</v>
      </c>
      <c r="G753" s="7">
        <v>0</v>
      </c>
      <c r="H753" s="7">
        <v>-1.5970575730977998E-2</v>
      </c>
      <c r="I753" s="7">
        <v>2.1796664656245589E-2</v>
      </c>
      <c r="J753" s="7">
        <v>0</v>
      </c>
      <c r="K753" s="7">
        <v>0</v>
      </c>
      <c r="L753" s="3">
        <f t="shared" si="100"/>
        <v>2.7651983098897492E-4</v>
      </c>
      <c r="M753" s="3">
        <v>1.0349999999999999</v>
      </c>
      <c r="N753" s="3">
        <v>-2.1040000000000001</v>
      </c>
      <c r="O753" s="3">
        <v>-0.82899999999999996</v>
      </c>
      <c r="P753" s="35">
        <v>-1.49698E-2</v>
      </c>
      <c r="Q753" s="35">
        <v>0</v>
      </c>
      <c r="R753" s="35">
        <v>0</v>
      </c>
      <c r="S753" s="35">
        <v>-4.76502E-3</v>
      </c>
      <c r="T753" s="35">
        <v>4.76502E-3</v>
      </c>
      <c r="U753" s="35">
        <v>0</v>
      </c>
      <c r="V753" s="35">
        <v>0</v>
      </c>
    </row>
    <row r="754" spans="1:22">
      <c r="A754" s="7" t="s">
        <v>204</v>
      </c>
      <c r="B754" s="8">
        <v>2.4772611105726599</v>
      </c>
      <c r="C754" s="8">
        <v>-1.0605572692523213</v>
      </c>
      <c r="D754" s="8">
        <v>-3.9812674620544719E-2</v>
      </c>
      <c r="E754" s="7">
        <v>0</v>
      </c>
      <c r="F754" s="7">
        <v>-1.4990516053215155E-2</v>
      </c>
      <c r="G754" s="7">
        <v>0</v>
      </c>
      <c r="H754" s="7">
        <v>-1.5970575730977998E-2</v>
      </c>
      <c r="I754" s="7">
        <v>0</v>
      </c>
      <c r="J754" s="7">
        <v>1.6236379226863738E-2</v>
      </c>
      <c r="K754" s="7">
        <v>0</v>
      </c>
      <c r="L754" s="3">
        <f t="shared" si="98"/>
        <v>8.9116669979390911E-4</v>
      </c>
      <c r="M754" s="3">
        <v>2.4769999999999999</v>
      </c>
      <c r="N754" s="3">
        <v>-1.0609999999999999</v>
      </c>
      <c r="O754" s="3">
        <v>-0.04</v>
      </c>
      <c r="P754" s="35">
        <v>0</v>
      </c>
      <c r="Q754" s="35">
        <v>-1.49698E-2</v>
      </c>
      <c r="R754" s="35">
        <v>0</v>
      </c>
      <c r="S754" s="35">
        <v>-4.76502E-3</v>
      </c>
      <c r="T754" s="35">
        <v>0</v>
      </c>
      <c r="U754" s="35">
        <v>4.76502E-3</v>
      </c>
      <c r="V754" s="35">
        <v>0</v>
      </c>
    </row>
    <row r="755" spans="1:22">
      <c r="A755" s="7"/>
      <c r="B755" s="8">
        <v>1.0097006711160386</v>
      </c>
      <c r="C755" s="8">
        <v>0.26302086313966178</v>
      </c>
      <c r="D755" s="8">
        <v>-0.76545275918666766</v>
      </c>
      <c r="E755" s="7">
        <v>0</v>
      </c>
      <c r="F755" s="7">
        <v>0</v>
      </c>
      <c r="G755" s="7">
        <v>-1.4990516053215155E-2</v>
      </c>
      <c r="H755" s="7">
        <v>-1.5970575730977998E-2</v>
      </c>
      <c r="I755" s="7">
        <v>0</v>
      </c>
      <c r="J755" s="7">
        <v>0</v>
      </c>
      <c r="K755" s="7">
        <v>2.0521745021313972E-2</v>
      </c>
      <c r="L755" s="3">
        <f t="shared" si="98"/>
        <v>2.6877506903266735E-4</v>
      </c>
      <c r="M755" s="3">
        <v>1.01</v>
      </c>
      <c r="N755" s="3">
        <v>0.26300000000000001</v>
      </c>
      <c r="O755" s="3">
        <v>-0.76600000000000001</v>
      </c>
      <c r="P755" s="35">
        <v>0</v>
      </c>
      <c r="Q755" s="35">
        <v>0</v>
      </c>
      <c r="R755" s="35">
        <v>-1.49698E-2</v>
      </c>
      <c r="S755" s="35">
        <v>-4.76502E-3</v>
      </c>
      <c r="T755" s="35">
        <v>0</v>
      </c>
      <c r="U755" s="35">
        <v>0</v>
      </c>
      <c r="V755" s="35">
        <v>4.76502E-3</v>
      </c>
    </row>
    <row r="756" spans="1:22">
      <c r="A756" s="7"/>
      <c r="B756" s="8"/>
      <c r="C756" s="8"/>
      <c r="D756" s="8"/>
      <c r="E756" s="7"/>
      <c r="F756" s="7"/>
      <c r="G756" s="7"/>
      <c r="H756" s="7"/>
      <c r="I756" s="7"/>
      <c r="J756" s="7"/>
      <c r="K756" s="7"/>
    </row>
    <row r="757" spans="1:22">
      <c r="A757" s="7"/>
      <c r="B757" s="8">
        <v>1.0351585166444348</v>
      </c>
      <c r="C757" s="8">
        <v>-2.1037449841221099</v>
      </c>
      <c r="D757" s="8">
        <v>-0.82913701269133588</v>
      </c>
      <c r="E757" s="7">
        <v>-1.4990516053215155E-2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3">
        <f t="shared" ref="L757:L795" si="102">B757-M757+C757-N757+D757-O757</f>
        <v>2.7651983098897492E-4</v>
      </c>
      <c r="M757" s="3">
        <v>1.0349999999999999</v>
      </c>
      <c r="N757" s="3">
        <v>-2.1040000000000001</v>
      </c>
      <c r="O757" s="3">
        <v>-0.82899999999999996</v>
      </c>
      <c r="P757" s="35">
        <v>-1.49698E-2</v>
      </c>
      <c r="Q757" s="35">
        <v>0</v>
      </c>
      <c r="R757" s="35">
        <v>0</v>
      </c>
      <c r="S757" s="35">
        <v>-4.76502E-3</v>
      </c>
      <c r="T757" s="35">
        <v>4.76502E-3</v>
      </c>
      <c r="U757" s="35">
        <v>0</v>
      </c>
      <c r="V757" s="35">
        <v>0</v>
      </c>
    </row>
    <row r="758" spans="1:22">
      <c r="A758" s="7" t="s">
        <v>205</v>
      </c>
      <c r="B758" s="8">
        <v>1.6188303733889171</v>
      </c>
      <c r="C758" s="8">
        <v>-1.9594494251009342E-2</v>
      </c>
      <c r="D758" s="8">
        <v>-7.7422792294721043E-2</v>
      </c>
      <c r="E758" s="7">
        <v>0</v>
      </c>
      <c r="F758" s="7">
        <v>-1.4990516053215155E-2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L758" s="3">
        <f t="shared" si="102"/>
        <v>8.130868431867333E-4</v>
      </c>
      <c r="M758" s="3">
        <v>1.619</v>
      </c>
      <c r="N758" s="3">
        <v>-0.02</v>
      </c>
      <c r="O758" s="3">
        <v>-7.8E-2</v>
      </c>
      <c r="P758" s="35">
        <v>0</v>
      </c>
      <c r="Q758" s="35">
        <v>-1.49698E-2</v>
      </c>
      <c r="R758" s="35">
        <v>0</v>
      </c>
      <c r="S758" s="35">
        <v>-4.76502E-3</v>
      </c>
      <c r="T758" s="35">
        <v>0</v>
      </c>
      <c r="U758" s="35">
        <v>4.76502E-3</v>
      </c>
      <c r="V758" s="35">
        <v>0</v>
      </c>
    </row>
    <row r="759" spans="1:22">
      <c r="A759" s="7"/>
      <c r="B759" s="8">
        <v>1.0097006711160386</v>
      </c>
      <c r="C759" s="8">
        <v>0.26302086313966178</v>
      </c>
      <c r="D759" s="8">
        <v>-0.76545275918666766</v>
      </c>
      <c r="E759" s="7">
        <v>0</v>
      </c>
      <c r="F759" s="7">
        <v>0</v>
      </c>
      <c r="G759" s="7">
        <v>-1.4990516053215155E-2</v>
      </c>
      <c r="H759" s="7">
        <v>0</v>
      </c>
      <c r="I759" s="7">
        <v>0</v>
      </c>
      <c r="J759" s="7">
        <v>0</v>
      </c>
      <c r="K759" s="7">
        <v>0</v>
      </c>
      <c r="L759" s="3">
        <f t="shared" si="102"/>
        <v>2.6877506903266735E-4</v>
      </c>
      <c r="M759" s="3">
        <v>1.01</v>
      </c>
      <c r="N759" s="3">
        <v>0.26300000000000001</v>
      </c>
      <c r="O759" s="3">
        <v>-0.76600000000000001</v>
      </c>
      <c r="P759" s="35">
        <v>0</v>
      </c>
      <c r="Q759" s="35">
        <v>0</v>
      </c>
      <c r="R759" s="35">
        <v>-1.49698E-2</v>
      </c>
      <c r="S759" s="35">
        <v>-4.76502E-3</v>
      </c>
      <c r="T759" s="35">
        <v>0</v>
      </c>
      <c r="U759" s="35">
        <v>0</v>
      </c>
      <c r="V759" s="35">
        <v>4.76502E-3</v>
      </c>
    </row>
    <row r="760" spans="1:22">
      <c r="A760" s="7"/>
      <c r="B760" s="8"/>
      <c r="C760" s="8"/>
      <c r="D760" s="8"/>
      <c r="E760" s="7"/>
      <c r="F760" s="7"/>
      <c r="G760" s="7"/>
      <c r="H760" s="7"/>
      <c r="I760" s="7"/>
      <c r="J760" s="7"/>
      <c r="K760" s="7"/>
    </row>
    <row r="761" spans="1:22">
      <c r="A761" s="7"/>
      <c r="B761" s="8">
        <v>-0.21871711292247331</v>
      </c>
      <c r="C761" s="8">
        <v>-2.1363371502498802</v>
      </c>
      <c r="D761" s="8">
        <v>-8.9790398854103559E-2</v>
      </c>
      <c r="E761" s="7">
        <v>-1.4990516053215155E-2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3">
        <f t="shared" si="98"/>
        <v>1.1553379735430858E-3</v>
      </c>
      <c r="M761" s="3">
        <v>-0.219</v>
      </c>
      <c r="N761" s="3">
        <v>-2.137</v>
      </c>
      <c r="O761" s="3">
        <v>-0.09</v>
      </c>
      <c r="P761" s="35">
        <v>-1.49698E-2</v>
      </c>
      <c r="Q761" s="35">
        <v>0</v>
      </c>
      <c r="R761" s="35">
        <v>0</v>
      </c>
      <c r="S761" s="35">
        <v>-4.76502E-3</v>
      </c>
      <c r="T761" s="35">
        <v>4.76502E-3</v>
      </c>
      <c r="U761" s="35">
        <v>0</v>
      </c>
      <c r="V761" s="35">
        <v>0</v>
      </c>
    </row>
    <row r="762" spans="1:22">
      <c r="A762" s="7" t="s">
        <v>206</v>
      </c>
      <c r="B762" s="8">
        <v>2.0770709056556562</v>
      </c>
      <c r="C762" s="8">
        <v>-2.1445635165533226</v>
      </c>
      <c r="D762" s="8">
        <v>-5.6653180844775664E-2</v>
      </c>
      <c r="E762" s="7">
        <v>0</v>
      </c>
      <c r="F762" s="7">
        <v>-1.4990516053215155E-2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L762" s="3">
        <f t="shared" si="98"/>
        <v>8.5420825755806035E-4</v>
      </c>
      <c r="M762" s="3">
        <v>2.077</v>
      </c>
      <c r="N762" s="3">
        <v>-2.145</v>
      </c>
      <c r="O762" s="3">
        <v>-5.7000000000000002E-2</v>
      </c>
      <c r="P762" s="35">
        <v>0</v>
      </c>
      <c r="Q762" s="35">
        <v>-1.49698E-2</v>
      </c>
      <c r="R762" s="35">
        <v>0</v>
      </c>
      <c r="S762" s="35">
        <v>-4.76502E-3</v>
      </c>
      <c r="T762" s="35">
        <v>0</v>
      </c>
      <c r="U762" s="35">
        <v>4.76502E-3</v>
      </c>
      <c r="V762" s="35">
        <v>0</v>
      </c>
    </row>
    <row r="763" spans="1:22">
      <c r="A763" s="7"/>
      <c r="B763" s="8">
        <v>-0.36768865949079377</v>
      </c>
      <c r="C763" s="8">
        <v>-1.2890795247765441</v>
      </c>
      <c r="D763" s="8">
        <v>-0.10954983766095538</v>
      </c>
      <c r="E763" s="7">
        <v>0</v>
      </c>
      <c r="F763" s="7">
        <v>0</v>
      </c>
      <c r="G763" s="7">
        <v>-1.4990516053215155E-2</v>
      </c>
      <c r="H763" s="7">
        <v>0</v>
      </c>
      <c r="I763" s="7">
        <v>0</v>
      </c>
      <c r="J763" s="7">
        <v>0</v>
      </c>
      <c r="K763" s="7">
        <v>0</v>
      </c>
      <c r="L763" s="3">
        <f t="shared" si="98"/>
        <v>6.8197807170657099E-4</v>
      </c>
      <c r="M763" s="3">
        <v>-0.36799999999999999</v>
      </c>
      <c r="N763" s="3">
        <v>-1.2889999999999999</v>
      </c>
      <c r="O763" s="3">
        <v>-0.11</v>
      </c>
      <c r="P763" s="35">
        <v>0</v>
      </c>
      <c r="Q763" s="35">
        <v>0</v>
      </c>
      <c r="R763" s="35">
        <v>-1.49698E-2</v>
      </c>
      <c r="S763" s="35">
        <v>-4.76502E-3</v>
      </c>
      <c r="T763" s="35">
        <v>0</v>
      </c>
      <c r="U763" s="35">
        <v>0</v>
      </c>
      <c r="V763" s="35">
        <v>4.76502E-3</v>
      </c>
    </row>
    <row r="764" spans="1:22">
      <c r="A764" s="7"/>
      <c r="B764" s="8"/>
      <c r="C764" s="8"/>
      <c r="D764" s="8"/>
      <c r="E764" s="7"/>
      <c r="F764" s="7"/>
      <c r="G764" s="7"/>
      <c r="H764" s="7"/>
      <c r="I764" s="7"/>
      <c r="J764" s="7"/>
      <c r="K764" s="7"/>
    </row>
    <row r="765" spans="1:22">
      <c r="A765" s="7"/>
      <c r="B765" s="8">
        <v>-0.21871711292247331</v>
      </c>
      <c r="C765" s="8">
        <v>-2.1363371502498802</v>
      </c>
      <c r="D765" s="8">
        <v>-8.9790398854103559E-2</v>
      </c>
      <c r="E765" s="7">
        <v>-1.4990516053215155E-2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3">
        <f t="shared" ref="L765:L801" si="103">B765-M765+C765-N765+D765-O765</f>
        <v>1.1553379735430858E-3</v>
      </c>
      <c r="M765" s="3">
        <v>-0.219</v>
      </c>
      <c r="N765" s="3">
        <v>-2.137</v>
      </c>
      <c r="O765" s="3">
        <v>-0.09</v>
      </c>
      <c r="P765" s="35">
        <v>-1.49698E-2</v>
      </c>
      <c r="Q765" s="35">
        <v>0</v>
      </c>
      <c r="R765" s="35">
        <v>0</v>
      </c>
      <c r="S765" s="35">
        <v>-4.76502E-3</v>
      </c>
      <c r="T765" s="35">
        <v>4.76502E-3</v>
      </c>
      <c r="U765" s="35">
        <v>0</v>
      </c>
      <c r="V765" s="35">
        <v>0</v>
      </c>
    </row>
    <row r="766" spans="1:22">
      <c r="A766" s="7" t="s">
        <v>207</v>
      </c>
      <c r="B766" s="8">
        <v>2.0770709056556562</v>
      </c>
      <c r="C766" s="8">
        <v>-2.1445635165533226</v>
      </c>
      <c r="D766" s="8">
        <v>-5.6653180844775664E-2</v>
      </c>
      <c r="E766" s="7">
        <v>0</v>
      </c>
      <c r="F766" s="7">
        <v>-1.4990516053215155E-2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L766" s="3">
        <f t="shared" si="98"/>
        <v>8.5420825755806035E-4</v>
      </c>
      <c r="M766" s="3">
        <v>2.077</v>
      </c>
      <c r="N766" s="3">
        <v>-2.145</v>
      </c>
      <c r="O766" s="3">
        <v>-5.7000000000000002E-2</v>
      </c>
      <c r="P766" s="35">
        <v>0</v>
      </c>
      <c r="Q766" s="35">
        <v>-1.49698E-2</v>
      </c>
      <c r="R766" s="35">
        <v>0</v>
      </c>
      <c r="S766" s="35">
        <v>-4.76502E-3</v>
      </c>
      <c r="T766" s="35">
        <v>0</v>
      </c>
      <c r="U766" s="35">
        <v>4.76502E-3</v>
      </c>
      <c r="V766" s="35">
        <v>0</v>
      </c>
    </row>
    <row r="767" spans="1:22">
      <c r="A767" s="7"/>
      <c r="B767" s="8">
        <v>2.4772611105726599</v>
      </c>
      <c r="C767" s="8">
        <v>-1.0605572692523213</v>
      </c>
      <c r="D767" s="8">
        <v>-3.9812674620544719E-2</v>
      </c>
      <c r="E767" s="7">
        <v>0</v>
      </c>
      <c r="F767" s="7">
        <v>0</v>
      </c>
      <c r="G767" s="7">
        <v>-1.4990516053215155E-2</v>
      </c>
      <c r="H767" s="7">
        <v>0</v>
      </c>
      <c r="I767" s="7">
        <v>0</v>
      </c>
      <c r="J767" s="7">
        <v>0</v>
      </c>
      <c r="K767" s="7">
        <v>0</v>
      </c>
      <c r="L767" s="3">
        <f t="shared" si="98"/>
        <v>8.9116669979390911E-4</v>
      </c>
      <c r="M767" s="3">
        <v>2.4769999999999999</v>
      </c>
      <c r="N767" s="3">
        <v>-1.0609999999999999</v>
      </c>
      <c r="O767" s="3">
        <v>-0.04</v>
      </c>
      <c r="P767" s="35">
        <v>0</v>
      </c>
      <c r="Q767" s="35">
        <v>0</v>
      </c>
      <c r="R767" s="35">
        <v>-1.49698E-2</v>
      </c>
      <c r="S767" s="35">
        <v>-4.76502E-3</v>
      </c>
      <c r="T767" s="35">
        <v>0</v>
      </c>
      <c r="U767" s="35">
        <v>0</v>
      </c>
      <c r="V767" s="35">
        <v>4.76502E-3</v>
      </c>
    </row>
    <row r="768" spans="1:22">
      <c r="A768" s="7"/>
      <c r="B768" s="8"/>
      <c r="C768" s="8"/>
      <c r="D768" s="8"/>
      <c r="E768" s="7"/>
      <c r="F768" s="7"/>
      <c r="G768" s="7"/>
      <c r="H768" s="7"/>
      <c r="I768" s="7"/>
      <c r="J768" s="7"/>
      <c r="K768" s="7"/>
    </row>
    <row r="769" spans="1:22">
      <c r="A769" s="7"/>
      <c r="B769" s="8">
        <v>-0.21871711292247331</v>
      </c>
      <c r="C769" s="8">
        <v>-2.1363371502498802</v>
      </c>
      <c r="D769" s="8">
        <v>-8.9790398854103559E-2</v>
      </c>
      <c r="E769" s="7">
        <v>-1.4990516053215155E-2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3">
        <f t="shared" ref="L769:L805" si="104">B769-M769+C769-N769+D769-O769</f>
        <v>1.1553379735430858E-3</v>
      </c>
      <c r="M769" s="3">
        <v>-0.219</v>
      </c>
      <c r="N769" s="3">
        <v>-2.137</v>
      </c>
      <c r="O769" s="3">
        <v>-0.09</v>
      </c>
      <c r="P769" s="35">
        <v>-1.49698E-2</v>
      </c>
      <c r="Q769" s="35">
        <v>0</v>
      </c>
      <c r="R769" s="35">
        <v>0</v>
      </c>
      <c r="S769" s="35">
        <v>-4.76502E-3</v>
      </c>
      <c r="T769" s="35">
        <v>4.76502E-3</v>
      </c>
      <c r="U769" s="35">
        <v>0</v>
      </c>
      <c r="V769" s="35">
        <v>0</v>
      </c>
    </row>
    <row r="770" spans="1:22">
      <c r="A770" s="7" t="s">
        <v>208</v>
      </c>
      <c r="B770" s="8">
        <v>2.0770709056556562</v>
      </c>
      <c r="C770" s="8">
        <v>-2.1445635165533226</v>
      </c>
      <c r="D770" s="8">
        <v>-5.6653180844775664E-2</v>
      </c>
      <c r="E770" s="7">
        <v>0</v>
      </c>
      <c r="F770" s="7">
        <v>-1.4990516053215155E-2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3">
        <f t="shared" si="98"/>
        <v>8.5420825755806035E-4</v>
      </c>
      <c r="M770" s="3">
        <v>2.077</v>
      </c>
      <c r="N770" s="3">
        <v>-2.145</v>
      </c>
      <c r="O770" s="3">
        <v>-5.7000000000000002E-2</v>
      </c>
      <c r="P770" s="35">
        <v>0</v>
      </c>
      <c r="Q770" s="35">
        <v>-1.49698E-2</v>
      </c>
      <c r="R770" s="35">
        <v>0</v>
      </c>
      <c r="S770" s="35">
        <v>-4.76502E-3</v>
      </c>
      <c r="T770" s="35">
        <v>0</v>
      </c>
      <c r="U770" s="35">
        <v>4.76502E-3</v>
      </c>
      <c r="V770" s="35">
        <v>0</v>
      </c>
    </row>
    <row r="771" spans="1:22">
      <c r="A771" s="7"/>
      <c r="B771" s="8">
        <v>1.6188303733889171</v>
      </c>
      <c r="C771" s="8">
        <v>-1.9594494251009342E-2</v>
      </c>
      <c r="D771" s="8">
        <v>-7.7422792294721043E-2</v>
      </c>
      <c r="E771" s="7">
        <v>0</v>
      </c>
      <c r="F771" s="7">
        <v>0</v>
      </c>
      <c r="G771" s="7">
        <v>-1.4990516053215155E-2</v>
      </c>
      <c r="H771" s="7">
        <v>0</v>
      </c>
      <c r="I771" s="7">
        <v>0</v>
      </c>
      <c r="J771" s="7">
        <v>0</v>
      </c>
      <c r="K771" s="7">
        <v>0</v>
      </c>
      <c r="L771" s="3">
        <f t="shared" si="98"/>
        <v>8.130868431867333E-4</v>
      </c>
      <c r="M771" s="3">
        <v>1.619</v>
      </c>
      <c r="N771" s="3">
        <v>-0.02</v>
      </c>
      <c r="O771" s="3">
        <v>-7.8E-2</v>
      </c>
      <c r="P771" s="35">
        <v>0</v>
      </c>
      <c r="Q771" s="35">
        <v>0</v>
      </c>
      <c r="R771" s="35">
        <v>-1.49698E-2</v>
      </c>
      <c r="S771" s="35">
        <v>-4.76502E-3</v>
      </c>
      <c r="T771" s="35">
        <v>0</v>
      </c>
      <c r="U771" s="35">
        <v>0</v>
      </c>
      <c r="V771" s="35">
        <v>4.76502E-3</v>
      </c>
    </row>
    <row r="772" spans="1:22">
      <c r="A772" s="7"/>
      <c r="B772" s="8"/>
      <c r="C772" s="8"/>
      <c r="D772" s="8"/>
      <c r="E772" s="7"/>
      <c r="F772" s="7"/>
      <c r="G772" s="7"/>
      <c r="H772" s="7"/>
      <c r="I772" s="7"/>
      <c r="J772" s="7"/>
      <c r="K772" s="7"/>
    </row>
    <row r="773" spans="1:22">
      <c r="A773" s="7"/>
      <c r="B773" s="8">
        <v>-0.21871711292247331</v>
      </c>
      <c r="C773" s="8">
        <v>-2.1363371502498802</v>
      </c>
      <c r="D773" s="8">
        <v>-8.9790398854103559E-2</v>
      </c>
      <c r="E773" s="7">
        <v>-1.4990516053215155E-2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3">
        <f t="shared" ref="L773:L835" si="105">B773-M773+C773-N773+D773-O773</f>
        <v>1.1553379735430858E-3</v>
      </c>
      <c r="M773" s="3">
        <v>-0.219</v>
      </c>
      <c r="N773" s="3">
        <v>-2.137</v>
      </c>
      <c r="O773" s="3">
        <v>-0.09</v>
      </c>
      <c r="P773" s="35">
        <v>-1.49698E-2</v>
      </c>
      <c r="Q773" s="35">
        <v>0</v>
      </c>
      <c r="R773" s="35">
        <v>0</v>
      </c>
      <c r="S773" s="35">
        <v>-4.76502E-3</v>
      </c>
      <c r="T773" s="35">
        <v>4.76502E-3</v>
      </c>
      <c r="U773" s="35">
        <v>0</v>
      </c>
      <c r="V773" s="35">
        <v>0</v>
      </c>
    </row>
    <row r="774" spans="1:22">
      <c r="A774" s="7" t="s">
        <v>209</v>
      </c>
      <c r="B774" s="8">
        <v>2.0770709056556562</v>
      </c>
      <c r="C774" s="8">
        <v>-2.1445635165533226</v>
      </c>
      <c r="D774" s="8">
        <v>-5.6653180844775664E-2</v>
      </c>
      <c r="E774" s="7">
        <v>0</v>
      </c>
      <c r="F774" s="7">
        <v>-1.4990516053215155E-2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3">
        <f t="shared" si="105"/>
        <v>8.5420825755806035E-4</v>
      </c>
      <c r="M774" s="3">
        <v>2.077</v>
      </c>
      <c r="N774" s="3">
        <v>-2.145</v>
      </c>
      <c r="O774" s="3">
        <v>-5.7000000000000002E-2</v>
      </c>
      <c r="P774" s="35">
        <v>0</v>
      </c>
      <c r="Q774" s="35">
        <v>-1.49698E-2</v>
      </c>
      <c r="R774" s="35">
        <v>0</v>
      </c>
      <c r="S774" s="35">
        <v>-4.76502E-3</v>
      </c>
      <c r="T774" s="35">
        <v>0</v>
      </c>
      <c r="U774" s="35">
        <v>4.76502E-3</v>
      </c>
      <c r="V774" s="35">
        <v>0</v>
      </c>
    </row>
    <row r="775" spans="1:22">
      <c r="A775" s="7"/>
      <c r="B775" s="8">
        <v>1.0097006711160386</v>
      </c>
      <c r="C775" s="8">
        <v>0.26302086313966178</v>
      </c>
      <c r="D775" s="8">
        <v>-0.76545275918666766</v>
      </c>
      <c r="E775" s="7">
        <v>0</v>
      </c>
      <c r="F775" s="7">
        <v>0</v>
      </c>
      <c r="G775" s="7">
        <v>-1.4990516053215155E-2</v>
      </c>
      <c r="H775" s="7">
        <v>0</v>
      </c>
      <c r="I775" s="7">
        <v>0</v>
      </c>
      <c r="J775" s="7">
        <v>0</v>
      </c>
      <c r="K775" s="7">
        <v>0</v>
      </c>
      <c r="L775" s="3">
        <f t="shared" si="105"/>
        <v>2.6877506903266735E-4</v>
      </c>
      <c r="M775" s="3">
        <v>1.01</v>
      </c>
      <c r="N775" s="3">
        <v>0.26300000000000001</v>
      </c>
      <c r="O775" s="3">
        <v>-0.76600000000000001</v>
      </c>
      <c r="P775" s="35">
        <v>0</v>
      </c>
      <c r="Q775" s="35">
        <v>0</v>
      </c>
      <c r="R775" s="35">
        <v>-1.49698E-2</v>
      </c>
      <c r="S775" s="35">
        <v>-4.76502E-3</v>
      </c>
      <c r="T775" s="35">
        <v>0</v>
      </c>
      <c r="U775" s="35">
        <v>0</v>
      </c>
      <c r="V775" s="35">
        <v>4.76502E-3</v>
      </c>
    </row>
    <row r="776" spans="1:22">
      <c r="A776" s="7"/>
      <c r="B776" s="8"/>
      <c r="C776" s="8"/>
      <c r="D776" s="8"/>
      <c r="E776" s="7"/>
      <c r="F776" s="7"/>
      <c r="G776" s="7"/>
      <c r="H776" s="7"/>
      <c r="I776" s="7"/>
      <c r="J776" s="7"/>
      <c r="K776" s="7"/>
    </row>
    <row r="777" spans="1:22">
      <c r="A777" s="7"/>
      <c r="B777" s="8">
        <v>-0.21871711292247331</v>
      </c>
      <c r="C777" s="8">
        <v>-2.1363371502498802</v>
      </c>
      <c r="D777" s="8">
        <v>-8.9790398854103559E-2</v>
      </c>
      <c r="E777" s="7">
        <v>-1.4990516053215155E-2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 s="3">
        <f t="shared" ref="L777:L813" si="106">B777-M777+C777-N777+D777-O777</f>
        <v>1.1553379735430858E-3</v>
      </c>
      <c r="M777" s="3">
        <v>-0.219</v>
      </c>
      <c r="N777" s="3">
        <v>-2.137</v>
      </c>
      <c r="O777" s="3">
        <v>-0.09</v>
      </c>
      <c r="P777" s="35">
        <v>-1.49698E-2</v>
      </c>
      <c r="Q777" s="35">
        <v>0</v>
      </c>
      <c r="R777" s="35">
        <v>0</v>
      </c>
      <c r="S777" s="35">
        <v>-4.76502E-3</v>
      </c>
      <c r="T777" s="35">
        <v>4.76502E-3</v>
      </c>
      <c r="U777" s="35">
        <v>0</v>
      </c>
      <c r="V777" s="35">
        <v>0</v>
      </c>
    </row>
    <row r="778" spans="1:22">
      <c r="A778" s="7" t="s">
        <v>210</v>
      </c>
      <c r="B778" s="8">
        <v>-0.36768865949079377</v>
      </c>
      <c r="C778" s="8">
        <v>-1.2890795247765441</v>
      </c>
      <c r="D778" s="8">
        <v>-0.10954983766095538</v>
      </c>
      <c r="E778" s="7">
        <v>0</v>
      </c>
      <c r="F778" s="7">
        <v>-1.4990516053215155E-2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L778" s="3">
        <f t="shared" si="105"/>
        <v>6.8197807170657099E-4</v>
      </c>
      <c r="M778" s="3">
        <v>-0.36799999999999999</v>
      </c>
      <c r="N778" s="3">
        <v>-1.2889999999999999</v>
      </c>
      <c r="O778" s="3">
        <v>-0.11</v>
      </c>
      <c r="P778" s="35">
        <v>0</v>
      </c>
      <c r="Q778" s="35">
        <v>-1.49698E-2</v>
      </c>
      <c r="R778" s="35">
        <v>0</v>
      </c>
      <c r="S778" s="35">
        <v>-4.76502E-3</v>
      </c>
      <c r="T778" s="35">
        <v>0</v>
      </c>
      <c r="U778" s="35">
        <v>4.76502E-3</v>
      </c>
      <c r="V778" s="35">
        <v>0</v>
      </c>
    </row>
    <row r="779" spans="1:22">
      <c r="A779" s="7"/>
      <c r="B779" s="8">
        <v>2.4772611105726599</v>
      </c>
      <c r="C779" s="8">
        <v>-1.0605572692523213</v>
      </c>
      <c r="D779" s="8">
        <v>-3.9812674620544719E-2</v>
      </c>
      <c r="E779" s="7">
        <v>0</v>
      </c>
      <c r="F779" s="7">
        <v>0</v>
      </c>
      <c r="G779" s="7">
        <v>-1.4990516053215155E-2</v>
      </c>
      <c r="H779" s="7">
        <v>0</v>
      </c>
      <c r="I779" s="7">
        <v>0</v>
      </c>
      <c r="J779" s="7">
        <v>0</v>
      </c>
      <c r="K779" s="7">
        <v>0</v>
      </c>
      <c r="L779" s="3">
        <f t="shared" si="105"/>
        <v>8.9116669979390911E-4</v>
      </c>
      <c r="M779" s="3">
        <v>2.4769999999999999</v>
      </c>
      <c r="N779" s="3">
        <v>-1.0609999999999999</v>
      </c>
      <c r="O779" s="3">
        <v>-0.04</v>
      </c>
      <c r="P779" s="35">
        <v>0</v>
      </c>
      <c r="Q779" s="35">
        <v>0</v>
      </c>
      <c r="R779" s="35">
        <v>-1.49698E-2</v>
      </c>
      <c r="S779" s="35">
        <v>-4.76502E-3</v>
      </c>
      <c r="T779" s="35">
        <v>0</v>
      </c>
      <c r="U779" s="35">
        <v>0</v>
      </c>
      <c r="V779" s="35">
        <v>4.76502E-3</v>
      </c>
    </row>
    <row r="780" spans="1:22">
      <c r="A780" s="7"/>
      <c r="B780" s="8"/>
      <c r="C780" s="8"/>
      <c r="D780" s="8"/>
      <c r="E780" s="7"/>
      <c r="F780" s="7"/>
      <c r="G780" s="7"/>
      <c r="H780" s="7"/>
      <c r="I780" s="7"/>
      <c r="J780" s="7"/>
      <c r="K780" s="7"/>
    </row>
    <row r="781" spans="1:22">
      <c r="A781" s="7"/>
      <c r="B781" s="8">
        <v>-0.21871711292247331</v>
      </c>
      <c r="C781" s="8">
        <v>-2.1363371502498802</v>
      </c>
      <c r="D781" s="8">
        <v>-8.9790398854103559E-2</v>
      </c>
      <c r="E781" s="7">
        <v>-1.4990516053215155E-2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3">
        <f t="shared" ref="L781:L817" si="107">B781-M781+C781-N781+D781-O781</f>
        <v>1.1553379735430858E-3</v>
      </c>
      <c r="M781" s="3">
        <v>-0.219</v>
      </c>
      <c r="N781" s="3">
        <v>-2.137</v>
      </c>
      <c r="O781" s="3">
        <v>-0.09</v>
      </c>
      <c r="P781" s="35">
        <v>-1.49698E-2</v>
      </c>
      <c r="Q781" s="35">
        <v>0</v>
      </c>
      <c r="R781" s="35">
        <v>0</v>
      </c>
      <c r="S781" s="35">
        <v>-4.76502E-3</v>
      </c>
      <c r="T781" s="35">
        <v>4.76502E-3</v>
      </c>
      <c r="U781" s="35">
        <v>0</v>
      </c>
      <c r="V781" s="35">
        <v>0</v>
      </c>
    </row>
    <row r="782" spans="1:22">
      <c r="A782" s="7" t="s">
        <v>211</v>
      </c>
      <c r="B782" s="8">
        <v>-0.36768865949079377</v>
      </c>
      <c r="C782" s="8">
        <v>-1.2890795247765441</v>
      </c>
      <c r="D782" s="8">
        <v>-0.10954983766095538</v>
      </c>
      <c r="E782" s="7">
        <v>0</v>
      </c>
      <c r="F782" s="7">
        <v>-1.4990516053215155E-2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3">
        <f t="shared" si="105"/>
        <v>6.8197807170657099E-4</v>
      </c>
      <c r="M782" s="3">
        <v>-0.36799999999999999</v>
      </c>
      <c r="N782" s="3">
        <v>-1.2889999999999999</v>
      </c>
      <c r="O782" s="3">
        <v>-0.11</v>
      </c>
      <c r="P782" s="35">
        <v>0</v>
      </c>
      <c r="Q782" s="35">
        <v>-1.49698E-2</v>
      </c>
      <c r="R782" s="35">
        <v>0</v>
      </c>
      <c r="S782" s="35">
        <v>-4.76502E-3</v>
      </c>
      <c r="T782" s="35">
        <v>0</v>
      </c>
      <c r="U782" s="35">
        <v>4.76502E-3</v>
      </c>
      <c r="V782" s="35">
        <v>0</v>
      </c>
    </row>
    <row r="783" spans="1:22">
      <c r="A783" s="7"/>
      <c r="B783" s="8">
        <v>1.6188303733889171</v>
      </c>
      <c r="C783" s="8">
        <v>-1.9594494251009342E-2</v>
      </c>
      <c r="D783" s="8">
        <v>-7.7422792294721043E-2</v>
      </c>
      <c r="E783" s="7">
        <v>0</v>
      </c>
      <c r="F783" s="7">
        <v>0</v>
      </c>
      <c r="G783" s="7">
        <v>-1.4990516053215155E-2</v>
      </c>
      <c r="H783" s="7">
        <v>0</v>
      </c>
      <c r="I783" s="7">
        <v>0</v>
      </c>
      <c r="J783" s="7">
        <v>0</v>
      </c>
      <c r="K783" s="7">
        <v>0</v>
      </c>
      <c r="L783" s="3">
        <f t="shared" si="105"/>
        <v>8.130868431867333E-4</v>
      </c>
      <c r="M783" s="3">
        <v>1.619</v>
      </c>
      <c r="N783" s="3">
        <v>-0.02</v>
      </c>
      <c r="O783" s="3">
        <v>-7.8E-2</v>
      </c>
      <c r="P783" s="35">
        <v>0</v>
      </c>
      <c r="Q783" s="35">
        <v>0</v>
      </c>
      <c r="R783" s="35">
        <v>-1.49698E-2</v>
      </c>
      <c r="S783" s="35">
        <v>-4.76502E-3</v>
      </c>
      <c r="T783" s="35">
        <v>0</v>
      </c>
      <c r="U783" s="35">
        <v>0</v>
      </c>
      <c r="V783" s="35">
        <v>4.76502E-3</v>
      </c>
    </row>
    <row r="784" spans="1:22">
      <c r="A784" s="7"/>
      <c r="B784" s="8"/>
      <c r="C784" s="8"/>
      <c r="D784" s="8"/>
      <c r="E784" s="7"/>
      <c r="F784" s="7"/>
      <c r="G784" s="7"/>
      <c r="H784" s="7"/>
      <c r="I784" s="7"/>
      <c r="J784" s="7"/>
      <c r="K784" s="7"/>
    </row>
    <row r="785" spans="1:22">
      <c r="A785" s="7"/>
      <c r="B785" s="8">
        <v>-0.21871711292247331</v>
      </c>
      <c r="C785" s="8">
        <v>-2.1363371502498802</v>
      </c>
      <c r="D785" s="8">
        <v>-8.9790398854103559E-2</v>
      </c>
      <c r="E785" s="7">
        <v>-1.4990516053215155E-2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3">
        <f t="shared" ref="L785:L821" si="108">B785-M785+C785-N785+D785-O785</f>
        <v>1.1553379735430858E-3</v>
      </c>
      <c r="M785" s="3">
        <v>-0.219</v>
      </c>
      <c r="N785" s="3">
        <v>-2.137</v>
      </c>
      <c r="O785" s="3">
        <v>-0.09</v>
      </c>
      <c r="P785" s="35">
        <v>-1.49698E-2</v>
      </c>
      <c r="Q785" s="35">
        <v>0</v>
      </c>
      <c r="R785" s="35">
        <v>0</v>
      </c>
      <c r="S785" s="35">
        <v>-4.76502E-3</v>
      </c>
      <c r="T785" s="35">
        <v>4.76502E-3</v>
      </c>
      <c r="U785" s="35">
        <v>0</v>
      </c>
      <c r="V785" s="35">
        <v>0</v>
      </c>
    </row>
    <row r="786" spans="1:22">
      <c r="A786" s="7" t="s">
        <v>212</v>
      </c>
      <c r="B786" s="8">
        <v>-0.36768865949079377</v>
      </c>
      <c r="C786" s="8">
        <v>-1.2890795247765441</v>
      </c>
      <c r="D786" s="8">
        <v>-0.10954983766095538</v>
      </c>
      <c r="E786" s="7">
        <v>0</v>
      </c>
      <c r="F786" s="7">
        <v>-1.4990516053215155E-2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3">
        <f t="shared" si="105"/>
        <v>6.8197807170657099E-4</v>
      </c>
      <c r="M786" s="3">
        <v>-0.36799999999999999</v>
      </c>
      <c r="N786" s="3">
        <v>-1.2889999999999999</v>
      </c>
      <c r="O786" s="3">
        <v>-0.11</v>
      </c>
      <c r="P786" s="35">
        <v>0</v>
      </c>
      <c r="Q786" s="35">
        <v>-1.49698E-2</v>
      </c>
      <c r="R786" s="35">
        <v>0</v>
      </c>
      <c r="S786" s="35">
        <v>-4.76502E-3</v>
      </c>
      <c r="T786" s="35">
        <v>0</v>
      </c>
      <c r="U786" s="35">
        <v>4.76502E-3</v>
      </c>
      <c r="V786" s="35">
        <v>0</v>
      </c>
    </row>
    <row r="787" spans="1:22">
      <c r="A787" s="7"/>
      <c r="B787" s="8">
        <v>1.0097006711160386</v>
      </c>
      <c r="C787" s="8">
        <v>0.26302086313966178</v>
      </c>
      <c r="D787" s="8">
        <v>-0.76545275918666766</v>
      </c>
      <c r="E787" s="7">
        <v>0</v>
      </c>
      <c r="F787" s="7">
        <v>0</v>
      </c>
      <c r="G787" s="7">
        <v>-1.4990516053215155E-2</v>
      </c>
      <c r="H787" s="7">
        <v>0</v>
      </c>
      <c r="I787" s="7">
        <v>0</v>
      </c>
      <c r="J787" s="7">
        <v>0</v>
      </c>
      <c r="K787" s="7">
        <v>0</v>
      </c>
      <c r="L787" s="3">
        <f t="shared" si="105"/>
        <v>2.6877506903266735E-4</v>
      </c>
      <c r="M787" s="3">
        <v>1.01</v>
      </c>
      <c r="N787" s="3">
        <v>0.26300000000000001</v>
      </c>
      <c r="O787" s="3">
        <v>-0.76600000000000001</v>
      </c>
      <c r="P787" s="35">
        <v>0</v>
      </c>
      <c r="Q787" s="35">
        <v>0</v>
      </c>
      <c r="R787" s="35">
        <v>-1.49698E-2</v>
      </c>
      <c r="S787" s="35">
        <v>-4.76502E-3</v>
      </c>
      <c r="T787" s="35">
        <v>0</v>
      </c>
      <c r="U787" s="35">
        <v>0</v>
      </c>
      <c r="V787" s="35">
        <v>4.76502E-3</v>
      </c>
    </row>
    <row r="788" spans="1:22">
      <c r="A788" s="7"/>
      <c r="B788" s="8"/>
      <c r="C788" s="8"/>
      <c r="D788" s="8"/>
      <c r="E788" s="7"/>
      <c r="F788" s="7"/>
      <c r="G788" s="7"/>
      <c r="H788" s="7"/>
      <c r="I788" s="7"/>
      <c r="J788" s="7"/>
      <c r="K788" s="7"/>
    </row>
    <row r="789" spans="1:22">
      <c r="A789" s="7"/>
      <c r="B789" s="8">
        <v>-0.21871711292247331</v>
      </c>
      <c r="C789" s="8">
        <v>-2.1363371502498802</v>
      </c>
      <c r="D789" s="8">
        <v>-8.9790398854103559E-2</v>
      </c>
      <c r="E789" s="7">
        <v>-1.4990516053215155E-2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3">
        <f t="shared" ref="L789:L825" si="109">B789-M789+C789-N789+D789-O789</f>
        <v>1.1553379735430858E-3</v>
      </c>
      <c r="M789" s="3">
        <v>-0.219</v>
      </c>
      <c r="N789" s="3">
        <v>-2.137</v>
      </c>
      <c r="O789" s="3">
        <v>-0.09</v>
      </c>
      <c r="P789" s="35">
        <v>-1.49698E-2</v>
      </c>
      <c r="Q789" s="35">
        <v>0</v>
      </c>
      <c r="R789" s="35">
        <v>0</v>
      </c>
      <c r="S789" s="35">
        <v>-4.76502E-3</v>
      </c>
      <c r="T789" s="35">
        <v>4.76502E-3</v>
      </c>
      <c r="U789" s="35">
        <v>0</v>
      </c>
      <c r="V789" s="35">
        <v>0</v>
      </c>
    </row>
    <row r="790" spans="1:22">
      <c r="A790" s="7" t="s">
        <v>213</v>
      </c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-1.4990516053215155E-2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3">
        <f t="shared" si="105"/>
        <v>8.9116669979390911E-4</v>
      </c>
      <c r="M790" s="3">
        <v>2.4769999999999999</v>
      </c>
      <c r="N790" s="3">
        <v>-1.0609999999999999</v>
      </c>
      <c r="O790" s="3">
        <v>-0.04</v>
      </c>
      <c r="P790" s="35">
        <v>0</v>
      </c>
      <c r="Q790" s="35">
        <v>-1.49698E-2</v>
      </c>
      <c r="R790" s="35">
        <v>0</v>
      </c>
      <c r="S790" s="35">
        <v>-4.76502E-3</v>
      </c>
      <c r="T790" s="35">
        <v>0</v>
      </c>
      <c r="U790" s="35">
        <v>4.76502E-3</v>
      </c>
      <c r="V790" s="35">
        <v>0</v>
      </c>
    </row>
    <row r="791" spans="1:22">
      <c r="A791" s="7"/>
      <c r="B791" s="8">
        <v>1.6188303733889171</v>
      </c>
      <c r="C791" s="8">
        <v>-1.9594494251009342E-2</v>
      </c>
      <c r="D791" s="8">
        <v>-7.7422792294721043E-2</v>
      </c>
      <c r="E791" s="7">
        <v>0</v>
      </c>
      <c r="F791" s="7">
        <v>0</v>
      </c>
      <c r="G791" s="7">
        <v>-1.4990516053215155E-2</v>
      </c>
      <c r="H791" s="7">
        <v>0</v>
      </c>
      <c r="I791" s="7">
        <v>0</v>
      </c>
      <c r="J791" s="7">
        <v>0</v>
      </c>
      <c r="K791" s="7">
        <v>0</v>
      </c>
      <c r="L791" s="3">
        <f t="shared" si="105"/>
        <v>8.130868431867333E-4</v>
      </c>
      <c r="M791" s="3">
        <v>1.619</v>
      </c>
      <c r="N791" s="3">
        <v>-0.02</v>
      </c>
      <c r="O791" s="3">
        <v>-7.8E-2</v>
      </c>
      <c r="P791" s="35">
        <v>0</v>
      </c>
      <c r="Q791" s="35">
        <v>0</v>
      </c>
      <c r="R791" s="35">
        <v>-1.49698E-2</v>
      </c>
      <c r="S791" s="35">
        <v>-4.76502E-3</v>
      </c>
      <c r="T791" s="35">
        <v>0</v>
      </c>
      <c r="U791" s="35">
        <v>0</v>
      </c>
      <c r="V791" s="35">
        <v>4.76502E-3</v>
      </c>
    </row>
    <row r="792" spans="1:22">
      <c r="A792" s="7"/>
      <c r="B792" s="8"/>
      <c r="C792" s="8"/>
      <c r="D792" s="8"/>
      <c r="E792" s="7"/>
      <c r="F792" s="7"/>
      <c r="G792" s="7"/>
      <c r="H792" s="7"/>
      <c r="I792" s="7"/>
      <c r="J792" s="7"/>
      <c r="K792" s="7"/>
    </row>
    <row r="793" spans="1:22">
      <c r="A793" s="7"/>
      <c r="B793" s="8">
        <v>-0.21871711292247331</v>
      </c>
      <c r="C793" s="8">
        <v>-2.1363371502498802</v>
      </c>
      <c r="D793" s="8">
        <v>-8.9790398854103559E-2</v>
      </c>
      <c r="E793" s="7">
        <v>-1.4990516053215155E-2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3">
        <f t="shared" ref="L793" si="110">B793-M793+C793-N793+D793-O793</f>
        <v>1.1553379735430858E-3</v>
      </c>
      <c r="M793" s="3">
        <v>-0.219</v>
      </c>
      <c r="N793" s="3">
        <v>-2.137</v>
      </c>
      <c r="O793" s="3">
        <v>-0.09</v>
      </c>
      <c r="P793" s="35">
        <v>-1.49698E-2</v>
      </c>
      <c r="Q793" s="35">
        <v>0</v>
      </c>
      <c r="R793" s="35">
        <v>0</v>
      </c>
      <c r="S793" s="35">
        <v>-4.76502E-3</v>
      </c>
      <c r="T793" s="35">
        <v>4.76502E-3</v>
      </c>
      <c r="U793" s="35">
        <v>0</v>
      </c>
      <c r="V793" s="35">
        <v>0</v>
      </c>
    </row>
    <row r="794" spans="1:22">
      <c r="A794" s="7" t="s">
        <v>214</v>
      </c>
      <c r="B794" s="8">
        <v>2.4772611105726599</v>
      </c>
      <c r="C794" s="8">
        <v>-1.0605572692523213</v>
      </c>
      <c r="D794" s="8">
        <v>-3.9812674620544719E-2</v>
      </c>
      <c r="E794" s="7">
        <v>0</v>
      </c>
      <c r="F794" s="7">
        <v>-1.4990516053215155E-2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3">
        <f t="shared" si="102"/>
        <v>8.9116669979390911E-4</v>
      </c>
      <c r="M794" s="3">
        <v>2.4769999999999999</v>
      </c>
      <c r="N794" s="3">
        <v>-1.0609999999999999</v>
      </c>
      <c r="O794" s="3">
        <v>-0.04</v>
      </c>
      <c r="P794" s="35">
        <v>0</v>
      </c>
      <c r="Q794" s="35">
        <v>-1.49698E-2</v>
      </c>
      <c r="R794" s="35">
        <v>0</v>
      </c>
      <c r="S794" s="35">
        <v>-4.76502E-3</v>
      </c>
      <c r="T794" s="35">
        <v>0</v>
      </c>
      <c r="U794" s="35">
        <v>4.76502E-3</v>
      </c>
      <c r="V794" s="35">
        <v>0</v>
      </c>
    </row>
    <row r="795" spans="1:22">
      <c r="A795" s="7"/>
      <c r="B795" s="8">
        <v>1.0097006711160386</v>
      </c>
      <c r="C795" s="8">
        <v>0.26302086313966178</v>
      </c>
      <c r="D795" s="8">
        <v>-0.76545275918666766</v>
      </c>
      <c r="E795" s="7">
        <v>0</v>
      </c>
      <c r="F795" s="7">
        <v>0</v>
      </c>
      <c r="G795" s="7">
        <v>-1.4990516053215155E-2</v>
      </c>
      <c r="H795" s="7">
        <v>0</v>
      </c>
      <c r="I795" s="7">
        <v>0</v>
      </c>
      <c r="J795" s="7">
        <v>0</v>
      </c>
      <c r="K795" s="7">
        <v>0</v>
      </c>
      <c r="L795" s="3">
        <f t="shared" si="102"/>
        <v>2.6877506903266735E-4</v>
      </c>
      <c r="M795" s="3">
        <v>1.01</v>
      </c>
      <c r="N795" s="3">
        <v>0.26300000000000001</v>
      </c>
      <c r="O795" s="3">
        <v>-0.76600000000000001</v>
      </c>
      <c r="P795" s="35">
        <v>0</v>
      </c>
      <c r="Q795" s="35">
        <v>0</v>
      </c>
      <c r="R795" s="35">
        <v>-1.49698E-2</v>
      </c>
      <c r="S795" s="35">
        <v>-4.76502E-3</v>
      </c>
      <c r="T795" s="35">
        <v>0</v>
      </c>
      <c r="U795" s="35">
        <v>0</v>
      </c>
      <c r="V795" s="35">
        <v>4.76502E-3</v>
      </c>
    </row>
    <row r="796" spans="1:22">
      <c r="A796" s="7"/>
      <c r="B796" s="8"/>
      <c r="C796" s="8"/>
      <c r="D796" s="8"/>
      <c r="E796" s="7"/>
      <c r="F796" s="7"/>
      <c r="G796" s="7"/>
      <c r="H796" s="7"/>
      <c r="I796" s="7"/>
      <c r="J796" s="7"/>
      <c r="K796" s="7"/>
    </row>
    <row r="797" spans="1:22">
      <c r="A797" s="7"/>
      <c r="B797" s="8">
        <v>-0.21871711292247331</v>
      </c>
      <c r="C797" s="8">
        <v>-2.1363371502498802</v>
      </c>
      <c r="D797" s="8">
        <v>-8.9790398854103559E-2</v>
      </c>
      <c r="E797" s="7">
        <v>-1.4990516053215155E-2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3">
        <f t="shared" si="105"/>
        <v>1.1553379735430858E-3</v>
      </c>
      <c r="M797" s="3">
        <v>-0.219</v>
      </c>
      <c r="N797" s="3">
        <v>-2.137</v>
      </c>
      <c r="O797" s="3">
        <v>-0.09</v>
      </c>
      <c r="P797" s="35">
        <v>-1.49698E-2</v>
      </c>
      <c r="Q797" s="35">
        <v>0</v>
      </c>
      <c r="R797" s="35">
        <v>0</v>
      </c>
      <c r="S797" s="35">
        <v>-4.76502E-3</v>
      </c>
      <c r="T797" s="35">
        <v>4.76502E-3</v>
      </c>
      <c r="U797" s="35">
        <v>0</v>
      </c>
      <c r="V797" s="35">
        <v>0</v>
      </c>
    </row>
    <row r="798" spans="1:22">
      <c r="A798" s="7" t="s">
        <v>215</v>
      </c>
      <c r="B798" s="8">
        <v>1.6188303733889171</v>
      </c>
      <c r="C798" s="8">
        <v>-1.9594494251009342E-2</v>
      </c>
      <c r="D798" s="8">
        <v>-7.7422792294721043E-2</v>
      </c>
      <c r="E798" s="7">
        <v>0</v>
      </c>
      <c r="F798" s="7">
        <v>-1.4990516053215155E-2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3">
        <f t="shared" si="105"/>
        <v>8.130868431867333E-4</v>
      </c>
      <c r="M798" s="3">
        <v>1.619</v>
      </c>
      <c r="N798" s="3">
        <v>-0.02</v>
      </c>
      <c r="O798" s="3">
        <v>-7.8E-2</v>
      </c>
      <c r="P798" s="35">
        <v>0</v>
      </c>
      <c r="Q798" s="35">
        <v>-1.49698E-2</v>
      </c>
      <c r="R798" s="35">
        <v>0</v>
      </c>
      <c r="S798" s="35">
        <v>-4.76502E-3</v>
      </c>
      <c r="T798" s="35">
        <v>0</v>
      </c>
      <c r="U798" s="35">
        <v>4.76502E-3</v>
      </c>
      <c r="V798" s="35">
        <v>0</v>
      </c>
    </row>
    <row r="799" spans="1:22">
      <c r="A799" s="7"/>
      <c r="B799" s="8">
        <v>1.0097006711160386</v>
      </c>
      <c r="C799" s="8">
        <v>0.26302086313966178</v>
      </c>
      <c r="D799" s="8">
        <v>-0.76545275918666766</v>
      </c>
      <c r="E799" s="7">
        <v>0</v>
      </c>
      <c r="F799" s="7">
        <v>0</v>
      </c>
      <c r="G799" s="7">
        <v>-1.4990516053215155E-2</v>
      </c>
      <c r="H799" s="7">
        <v>0</v>
      </c>
      <c r="I799" s="7">
        <v>0</v>
      </c>
      <c r="J799" s="7">
        <v>0</v>
      </c>
      <c r="K799" s="7">
        <v>0</v>
      </c>
      <c r="L799" s="3">
        <f t="shared" si="105"/>
        <v>2.6877506903266735E-4</v>
      </c>
      <c r="M799" s="3">
        <v>1.01</v>
      </c>
      <c r="N799" s="3">
        <v>0.26300000000000001</v>
      </c>
      <c r="O799" s="3">
        <v>-0.76600000000000001</v>
      </c>
      <c r="P799" s="35">
        <v>0</v>
      </c>
      <c r="Q799" s="35">
        <v>0</v>
      </c>
      <c r="R799" s="35">
        <v>-1.49698E-2</v>
      </c>
      <c r="S799" s="35">
        <v>-4.76502E-3</v>
      </c>
      <c r="T799" s="35">
        <v>0</v>
      </c>
      <c r="U799" s="35">
        <v>0</v>
      </c>
      <c r="V799" s="35">
        <v>4.76502E-3</v>
      </c>
    </row>
    <row r="800" spans="1:22">
      <c r="A800" s="7"/>
      <c r="B800" s="8"/>
      <c r="C800" s="8"/>
      <c r="D800" s="8"/>
      <c r="E800" s="7"/>
      <c r="F800" s="7"/>
      <c r="G800" s="7"/>
      <c r="H800" s="7"/>
      <c r="I800" s="7"/>
      <c r="J800" s="7"/>
      <c r="K800" s="7"/>
    </row>
    <row r="801" spans="1:22">
      <c r="A801" s="7"/>
      <c r="B801" s="8">
        <v>2.0770709056556562</v>
      </c>
      <c r="C801" s="8">
        <v>-2.1445635165533226</v>
      </c>
      <c r="D801" s="8">
        <v>-5.6653180844775664E-2</v>
      </c>
      <c r="E801" s="7">
        <v>-1.4990516053215155E-2</v>
      </c>
      <c r="F801" s="7">
        <v>0</v>
      </c>
      <c r="G801" s="7">
        <v>0</v>
      </c>
      <c r="H801" s="7">
        <v>-1.5970575730977998E-2</v>
      </c>
      <c r="I801" s="7">
        <v>2.2872089329671663E-2</v>
      </c>
      <c r="J801" s="7">
        <v>0</v>
      </c>
      <c r="K801" s="7">
        <v>0</v>
      </c>
      <c r="L801" s="3">
        <f t="shared" si="103"/>
        <v>8.5420825755806035E-4</v>
      </c>
      <c r="M801" s="3">
        <v>2.077</v>
      </c>
      <c r="N801" s="3">
        <v>-2.145</v>
      </c>
      <c r="O801" s="3">
        <v>-5.7000000000000002E-2</v>
      </c>
      <c r="P801" s="35">
        <v>-1.49698E-2</v>
      </c>
      <c r="Q801" s="35">
        <v>0</v>
      </c>
      <c r="R801" s="35">
        <v>0</v>
      </c>
      <c r="S801" s="35">
        <v>-4.76502E-3</v>
      </c>
      <c r="T801" s="35">
        <v>4.76502E-3</v>
      </c>
      <c r="U801" s="35">
        <v>0</v>
      </c>
      <c r="V801" s="35">
        <v>0</v>
      </c>
    </row>
    <row r="802" spans="1:22">
      <c r="A802" s="7" t="s">
        <v>216</v>
      </c>
      <c r="B802" s="8">
        <v>-0.36768865949079377</v>
      </c>
      <c r="C802" s="8">
        <v>-1.2890795247765441</v>
      </c>
      <c r="D802" s="8">
        <v>-0.10954983766095538</v>
      </c>
      <c r="E802" s="7">
        <v>0</v>
      </c>
      <c r="F802" s="7">
        <v>-1.4990516053215155E-2</v>
      </c>
      <c r="G802" s="7">
        <v>0</v>
      </c>
      <c r="H802" s="7">
        <v>-1.5970575730977998E-2</v>
      </c>
      <c r="I802" s="7">
        <v>0</v>
      </c>
      <c r="J802" s="7">
        <v>2.2385887789414392E-2</v>
      </c>
      <c r="K802" s="7">
        <v>0</v>
      </c>
      <c r="L802" s="3">
        <f t="shared" si="105"/>
        <v>6.8197807170657099E-4</v>
      </c>
      <c r="M802" s="3">
        <v>-0.36799999999999999</v>
      </c>
      <c r="N802" s="3">
        <v>-1.2889999999999999</v>
      </c>
      <c r="O802" s="3">
        <v>-0.11</v>
      </c>
      <c r="P802" s="35">
        <v>0</v>
      </c>
      <c r="Q802" s="35">
        <v>-1.49698E-2</v>
      </c>
      <c r="R802" s="35">
        <v>0</v>
      </c>
      <c r="S802" s="35">
        <v>-4.76502E-3</v>
      </c>
      <c r="T802" s="35">
        <v>0</v>
      </c>
      <c r="U802" s="35">
        <v>4.76502E-3</v>
      </c>
      <c r="V802" s="35">
        <v>0</v>
      </c>
    </row>
    <row r="803" spans="1:22">
      <c r="A803" s="7"/>
      <c r="B803" s="8">
        <v>2.4772611105726599</v>
      </c>
      <c r="C803" s="8">
        <v>-1.0605572692523213</v>
      </c>
      <c r="D803" s="8">
        <v>-3.9812674620544719E-2</v>
      </c>
      <c r="E803" s="7">
        <v>0</v>
      </c>
      <c r="F803" s="7">
        <v>0</v>
      </c>
      <c r="G803" s="7">
        <v>-1.4990516053215155E-2</v>
      </c>
      <c r="H803" s="7">
        <v>-1.5970575730977998E-2</v>
      </c>
      <c r="I803" s="7">
        <v>0</v>
      </c>
      <c r="J803" s="7">
        <v>0</v>
      </c>
      <c r="K803" s="7">
        <v>1.6236379226863738E-2</v>
      </c>
      <c r="L803" s="3">
        <f t="shared" si="105"/>
        <v>8.9116669979390911E-4</v>
      </c>
      <c r="M803" s="3">
        <v>2.4769999999999999</v>
      </c>
      <c r="N803" s="3">
        <v>-1.0609999999999999</v>
      </c>
      <c r="O803" s="3">
        <v>-0.04</v>
      </c>
      <c r="P803" s="35">
        <v>0</v>
      </c>
      <c r="Q803" s="35">
        <v>0</v>
      </c>
      <c r="R803" s="35">
        <v>-1.49698E-2</v>
      </c>
      <c r="S803" s="35">
        <v>-4.76502E-3</v>
      </c>
      <c r="T803" s="35">
        <v>0</v>
      </c>
      <c r="U803" s="35">
        <v>0</v>
      </c>
      <c r="V803" s="35">
        <v>4.76502E-3</v>
      </c>
    </row>
    <row r="804" spans="1:22">
      <c r="A804" s="7"/>
      <c r="B804" s="8"/>
      <c r="C804" s="8"/>
      <c r="D804" s="8"/>
      <c r="E804" s="7"/>
      <c r="F804" s="7"/>
      <c r="G804" s="7"/>
      <c r="H804" s="7"/>
      <c r="I804" s="7"/>
      <c r="J804" s="7"/>
      <c r="K804" s="7"/>
    </row>
    <row r="805" spans="1:22">
      <c r="A805" s="7"/>
      <c r="B805" s="8">
        <v>2.0770709056556562</v>
      </c>
      <c r="C805" s="8">
        <v>-2.1445635165533226</v>
      </c>
      <c r="D805" s="8">
        <v>-5.6653180844775664E-2</v>
      </c>
      <c r="E805" s="7">
        <v>-1.4990516053215155E-2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3">
        <f t="shared" si="104"/>
        <v>8.5420825755806035E-4</v>
      </c>
      <c r="M805" s="3">
        <v>2.077</v>
      </c>
      <c r="N805" s="3">
        <v>-2.145</v>
      </c>
      <c r="O805" s="3">
        <v>-5.7000000000000002E-2</v>
      </c>
      <c r="P805" s="35">
        <v>-1.49698E-2</v>
      </c>
      <c r="Q805" s="35">
        <v>0</v>
      </c>
      <c r="R805" s="35">
        <v>0</v>
      </c>
      <c r="S805" s="35">
        <v>-4.76502E-3</v>
      </c>
      <c r="T805" s="35">
        <v>4.76502E-3</v>
      </c>
      <c r="U805" s="35">
        <v>0</v>
      </c>
      <c r="V805" s="35">
        <v>0</v>
      </c>
    </row>
    <row r="806" spans="1:22">
      <c r="A806" s="7" t="s">
        <v>217</v>
      </c>
      <c r="B806" s="8">
        <v>-0.36768865949079377</v>
      </c>
      <c r="C806" s="8">
        <v>-1.2890795247765441</v>
      </c>
      <c r="D806" s="8">
        <v>-0.10954983766095538</v>
      </c>
      <c r="E806" s="7">
        <v>0</v>
      </c>
      <c r="F806" s="7">
        <v>-1.4990516053215155E-2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3">
        <f t="shared" si="105"/>
        <v>6.8197807170657099E-4</v>
      </c>
      <c r="M806" s="3">
        <v>-0.36799999999999999</v>
      </c>
      <c r="N806" s="3">
        <v>-1.2889999999999999</v>
      </c>
      <c r="O806" s="3">
        <v>-0.11</v>
      </c>
      <c r="P806" s="35">
        <v>0</v>
      </c>
      <c r="Q806" s="35">
        <v>-1.49698E-2</v>
      </c>
      <c r="R806" s="35">
        <v>0</v>
      </c>
      <c r="S806" s="35">
        <v>-4.76502E-3</v>
      </c>
      <c r="T806" s="35">
        <v>0</v>
      </c>
      <c r="U806" s="35">
        <v>4.76502E-3</v>
      </c>
      <c r="V806" s="35">
        <v>0</v>
      </c>
    </row>
    <row r="807" spans="1:22">
      <c r="A807" s="7"/>
      <c r="B807" s="8">
        <v>1.6188303733889171</v>
      </c>
      <c r="C807" s="8">
        <v>-1.9594494251009342E-2</v>
      </c>
      <c r="D807" s="8">
        <v>-7.7422792294721043E-2</v>
      </c>
      <c r="E807" s="7">
        <v>0</v>
      </c>
      <c r="F807" s="7">
        <v>0</v>
      </c>
      <c r="G807" s="7">
        <v>-1.4990516053215155E-2</v>
      </c>
      <c r="H807" s="7">
        <v>0</v>
      </c>
      <c r="I807" s="7">
        <v>0</v>
      </c>
      <c r="J807" s="7">
        <v>0</v>
      </c>
      <c r="K807" s="7">
        <v>0</v>
      </c>
      <c r="L807" s="3">
        <f t="shared" si="105"/>
        <v>8.130868431867333E-4</v>
      </c>
      <c r="M807" s="3">
        <v>1.619</v>
      </c>
      <c r="N807" s="3">
        <v>-0.02</v>
      </c>
      <c r="O807" s="3">
        <v>-7.8E-2</v>
      </c>
      <c r="P807" s="35">
        <v>0</v>
      </c>
      <c r="Q807" s="35">
        <v>0</v>
      </c>
      <c r="R807" s="35">
        <v>-1.49698E-2</v>
      </c>
      <c r="S807" s="35">
        <v>-4.76502E-3</v>
      </c>
      <c r="T807" s="35">
        <v>0</v>
      </c>
      <c r="U807" s="35">
        <v>0</v>
      </c>
      <c r="V807" s="35">
        <v>4.76502E-3</v>
      </c>
    </row>
    <row r="808" spans="1:22">
      <c r="A808" s="7"/>
      <c r="B808" s="8"/>
      <c r="C808" s="8"/>
      <c r="D808" s="8"/>
      <c r="E808" s="7"/>
      <c r="F808" s="7"/>
      <c r="G808" s="7"/>
      <c r="H808" s="7"/>
      <c r="I808" s="7"/>
      <c r="J808" s="7"/>
      <c r="K808" s="7"/>
    </row>
    <row r="809" spans="1:22">
      <c r="A809" s="7"/>
      <c r="B809" s="8">
        <v>2.0770709056556562</v>
      </c>
      <c r="C809" s="8">
        <v>-2.1445635165533226</v>
      </c>
      <c r="D809" s="8">
        <v>-5.6653180844775664E-2</v>
      </c>
      <c r="E809" s="7">
        <v>-1.4990516053215155E-2</v>
      </c>
      <c r="F809" s="7">
        <v>0</v>
      </c>
      <c r="G809" s="7">
        <v>0</v>
      </c>
      <c r="H809" s="7">
        <v>-1.5970575730977998E-2</v>
      </c>
      <c r="I809" s="7">
        <v>2.2872089329671663E-2</v>
      </c>
      <c r="J809" s="7">
        <v>0</v>
      </c>
      <c r="K809" s="7">
        <v>0</v>
      </c>
      <c r="L809" s="3">
        <f t="shared" si="105"/>
        <v>8.5420825755806035E-4</v>
      </c>
      <c r="M809" s="3">
        <v>2.077</v>
      </c>
      <c r="N809" s="3">
        <v>-2.145</v>
      </c>
      <c r="O809" s="3">
        <v>-5.7000000000000002E-2</v>
      </c>
      <c r="P809" s="35">
        <v>-1.49698E-2</v>
      </c>
      <c r="Q809" s="35">
        <v>0</v>
      </c>
      <c r="R809" s="35">
        <v>0</v>
      </c>
      <c r="S809" s="35">
        <v>-4.76502E-3</v>
      </c>
      <c r="T809" s="35">
        <v>4.76502E-3</v>
      </c>
      <c r="U809" s="35">
        <v>0</v>
      </c>
      <c r="V809" s="35">
        <v>0</v>
      </c>
    </row>
    <row r="810" spans="1:22">
      <c r="A810" s="7" t="s">
        <v>218</v>
      </c>
      <c r="B810" s="8">
        <v>-0.36768865949079377</v>
      </c>
      <c r="C810" s="8">
        <v>-1.2890795247765441</v>
      </c>
      <c r="D810" s="8">
        <v>-0.10954983766095538</v>
      </c>
      <c r="E810" s="7">
        <v>0</v>
      </c>
      <c r="F810" s="7">
        <v>-1.4990516053215155E-2</v>
      </c>
      <c r="G810" s="7">
        <v>0</v>
      </c>
      <c r="H810" s="7">
        <v>-1.5970575730977998E-2</v>
      </c>
      <c r="I810" s="7">
        <v>0</v>
      </c>
      <c r="J810" s="7">
        <v>2.2385887789414392E-2</v>
      </c>
      <c r="K810" s="7">
        <v>0</v>
      </c>
      <c r="L810" s="3">
        <f t="shared" si="105"/>
        <v>6.8197807170657099E-4</v>
      </c>
      <c r="M810" s="3">
        <v>-0.36799999999999999</v>
      </c>
      <c r="N810" s="3">
        <v>-1.2889999999999999</v>
      </c>
      <c r="O810" s="3">
        <v>-0.11</v>
      </c>
      <c r="P810" s="35">
        <v>0</v>
      </c>
      <c r="Q810" s="35">
        <v>-1.49698E-2</v>
      </c>
      <c r="R810" s="35">
        <v>0</v>
      </c>
      <c r="S810" s="35">
        <v>-4.76502E-3</v>
      </c>
      <c r="T810" s="35">
        <v>0</v>
      </c>
      <c r="U810" s="35">
        <v>4.76502E-3</v>
      </c>
      <c r="V810" s="35">
        <v>0</v>
      </c>
    </row>
    <row r="811" spans="1:22">
      <c r="A811" s="7"/>
      <c r="B811" s="8">
        <v>1.0097006711160386</v>
      </c>
      <c r="C811" s="8">
        <v>0.26302086313966178</v>
      </c>
      <c r="D811" s="8">
        <v>-0.76545275918666766</v>
      </c>
      <c r="E811" s="7">
        <v>0</v>
      </c>
      <c r="F811" s="7">
        <v>0</v>
      </c>
      <c r="G811" s="7">
        <v>-1.4990516053215155E-2</v>
      </c>
      <c r="H811" s="7">
        <v>-1.5970575730977998E-2</v>
      </c>
      <c r="I811" s="7">
        <v>0</v>
      </c>
      <c r="J811" s="7">
        <v>0</v>
      </c>
      <c r="K811" s="7">
        <v>2.0521745021313972E-2</v>
      </c>
      <c r="L811" s="3">
        <f t="shared" si="105"/>
        <v>2.6877506903266735E-4</v>
      </c>
      <c r="M811" s="3">
        <v>1.01</v>
      </c>
      <c r="N811" s="3">
        <v>0.26300000000000001</v>
      </c>
      <c r="O811" s="3">
        <v>-0.76600000000000001</v>
      </c>
      <c r="P811" s="35">
        <v>0</v>
      </c>
      <c r="Q811" s="35">
        <v>0</v>
      </c>
      <c r="R811" s="35">
        <v>-1.49698E-2</v>
      </c>
      <c r="S811" s="35">
        <v>-4.76502E-3</v>
      </c>
      <c r="T811" s="35">
        <v>0</v>
      </c>
      <c r="U811" s="35">
        <v>0</v>
      </c>
      <c r="V811" s="35">
        <v>4.76502E-3</v>
      </c>
    </row>
    <row r="812" spans="1:22">
      <c r="A812" s="7"/>
      <c r="B812" s="8"/>
      <c r="C812" s="8"/>
      <c r="D812" s="8"/>
      <c r="E812" s="7"/>
      <c r="F812" s="7"/>
      <c r="G812" s="7"/>
      <c r="H812" s="7"/>
      <c r="I812" s="7"/>
      <c r="J812" s="7"/>
      <c r="K812" s="7"/>
    </row>
    <row r="813" spans="1:22">
      <c r="A813" s="7"/>
      <c r="B813" s="8">
        <v>2.0770709056556562</v>
      </c>
      <c r="C813" s="8">
        <v>-2.1445635165533226</v>
      </c>
      <c r="D813" s="8">
        <v>-5.6653180844775664E-2</v>
      </c>
      <c r="E813" s="7">
        <v>-1.4990516053215155E-2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3">
        <f t="shared" si="106"/>
        <v>8.5420825755806035E-4</v>
      </c>
      <c r="M813" s="3">
        <v>2.077</v>
      </c>
      <c r="N813" s="3">
        <v>-2.145</v>
      </c>
      <c r="O813" s="3">
        <v>-5.7000000000000002E-2</v>
      </c>
      <c r="P813" s="35">
        <v>-1.49698E-2</v>
      </c>
      <c r="Q813" s="35">
        <v>0</v>
      </c>
      <c r="R813" s="35">
        <v>0</v>
      </c>
      <c r="S813" s="35">
        <v>-4.76502E-3</v>
      </c>
      <c r="T813" s="35">
        <v>4.76502E-3</v>
      </c>
      <c r="U813" s="35">
        <v>0</v>
      </c>
      <c r="V813" s="35">
        <v>0</v>
      </c>
    </row>
    <row r="814" spans="1:22">
      <c r="A814" s="7" t="s">
        <v>219</v>
      </c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-1.4990516053215155E-2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3">
        <f t="shared" si="105"/>
        <v>8.9116669979390911E-4</v>
      </c>
      <c r="M814" s="3">
        <v>2.4769999999999999</v>
      </c>
      <c r="N814" s="3">
        <v>-1.0609999999999999</v>
      </c>
      <c r="O814" s="3">
        <v>-0.04</v>
      </c>
      <c r="P814" s="35">
        <v>0</v>
      </c>
      <c r="Q814" s="35">
        <v>-1.49698E-2</v>
      </c>
      <c r="R814" s="35">
        <v>0</v>
      </c>
      <c r="S814" s="35">
        <v>-4.76502E-3</v>
      </c>
      <c r="T814" s="35">
        <v>0</v>
      </c>
      <c r="U814" s="35">
        <v>4.76502E-3</v>
      </c>
      <c r="V814" s="35">
        <v>0</v>
      </c>
    </row>
    <row r="815" spans="1:22">
      <c r="A815" s="7"/>
      <c r="B815" s="8">
        <v>1.6188303733889171</v>
      </c>
      <c r="C815" s="8">
        <v>-1.9594494251009342E-2</v>
      </c>
      <c r="D815" s="8">
        <v>-7.7422792294721043E-2</v>
      </c>
      <c r="E815" s="7">
        <v>0</v>
      </c>
      <c r="F815" s="7">
        <v>0</v>
      </c>
      <c r="G815" s="7">
        <v>-1.4990516053215155E-2</v>
      </c>
      <c r="H815" s="7">
        <v>0</v>
      </c>
      <c r="I815" s="7">
        <v>0</v>
      </c>
      <c r="J815" s="7">
        <v>0</v>
      </c>
      <c r="K815" s="7">
        <v>0</v>
      </c>
      <c r="L815" s="3">
        <f t="shared" si="105"/>
        <v>8.130868431867333E-4</v>
      </c>
      <c r="M815" s="3">
        <v>1.619</v>
      </c>
      <c r="N815" s="3">
        <v>-0.02</v>
      </c>
      <c r="O815" s="3">
        <v>-7.8E-2</v>
      </c>
      <c r="P815" s="35">
        <v>0</v>
      </c>
      <c r="Q815" s="35">
        <v>0</v>
      </c>
      <c r="R815" s="35">
        <v>-1.49698E-2</v>
      </c>
      <c r="S815" s="35">
        <v>-4.76502E-3</v>
      </c>
      <c r="T815" s="35">
        <v>0</v>
      </c>
      <c r="U815" s="35">
        <v>0</v>
      </c>
      <c r="V815" s="35">
        <v>4.76502E-3</v>
      </c>
    </row>
    <row r="816" spans="1:22">
      <c r="A816" s="7"/>
      <c r="B816" s="8"/>
      <c r="C816" s="8"/>
      <c r="D816" s="8"/>
      <c r="E816" s="7"/>
      <c r="F816" s="7"/>
      <c r="G816" s="7"/>
      <c r="H816" s="7"/>
      <c r="I816" s="7"/>
      <c r="J816" s="7"/>
      <c r="K816" s="7"/>
    </row>
    <row r="817" spans="1:22">
      <c r="A817" s="7"/>
      <c r="B817" s="8">
        <v>2.0770709056556562</v>
      </c>
      <c r="C817" s="8">
        <v>-2.1445635165533226</v>
      </c>
      <c r="D817" s="8">
        <v>-5.6653180844775664E-2</v>
      </c>
      <c r="E817" s="7">
        <v>-1.4990516053215155E-2</v>
      </c>
      <c r="F817" s="7">
        <v>0</v>
      </c>
      <c r="G817" s="7">
        <v>0</v>
      </c>
      <c r="H817" s="7">
        <v>-1.5970575730977998E-2</v>
      </c>
      <c r="I817" s="7">
        <v>2.2872089329671663E-2</v>
      </c>
      <c r="J817" s="7">
        <v>0</v>
      </c>
      <c r="K817" s="7">
        <v>0</v>
      </c>
      <c r="L817" s="3">
        <f t="shared" si="107"/>
        <v>8.5420825755806035E-4</v>
      </c>
      <c r="M817" s="3">
        <v>2.077</v>
      </c>
      <c r="N817" s="3">
        <v>-2.145</v>
      </c>
      <c r="O817" s="3">
        <v>-5.7000000000000002E-2</v>
      </c>
      <c r="P817" s="35">
        <v>-1.49698E-2</v>
      </c>
      <c r="Q817" s="35">
        <v>0</v>
      </c>
      <c r="R817" s="35">
        <v>0</v>
      </c>
      <c r="S817" s="35">
        <v>-4.76502E-3</v>
      </c>
      <c r="T817" s="35">
        <v>4.76502E-3</v>
      </c>
      <c r="U817" s="35">
        <v>0</v>
      </c>
      <c r="V817" s="35">
        <v>0</v>
      </c>
    </row>
    <row r="818" spans="1:22">
      <c r="A818" s="7" t="s">
        <v>220</v>
      </c>
      <c r="B818" s="8">
        <v>2.4772611105726599</v>
      </c>
      <c r="C818" s="8">
        <v>-1.0605572692523213</v>
      </c>
      <c r="D818" s="8">
        <v>-3.9812674620544719E-2</v>
      </c>
      <c r="E818" s="7">
        <v>0</v>
      </c>
      <c r="F818" s="7">
        <v>-1.4990516053215155E-2</v>
      </c>
      <c r="G818" s="7">
        <v>0</v>
      </c>
      <c r="H818" s="7">
        <v>-1.5970575730977998E-2</v>
      </c>
      <c r="I818" s="7">
        <v>0</v>
      </c>
      <c r="J818" s="7">
        <v>1.6236379226863738E-2</v>
      </c>
      <c r="K818" s="7">
        <v>0</v>
      </c>
      <c r="L818" s="3">
        <f t="shared" si="105"/>
        <v>8.9116669979390911E-4</v>
      </c>
      <c r="M818" s="3">
        <v>2.4769999999999999</v>
      </c>
      <c r="N818" s="3">
        <v>-1.0609999999999999</v>
      </c>
      <c r="O818" s="3">
        <v>-0.04</v>
      </c>
      <c r="P818" s="35">
        <v>0</v>
      </c>
      <c r="Q818" s="35">
        <v>-1.49698E-2</v>
      </c>
      <c r="R818" s="35">
        <v>0</v>
      </c>
      <c r="S818" s="35">
        <v>-4.76502E-3</v>
      </c>
      <c r="T818" s="35">
        <v>0</v>
      </c>
      <c r="U818" s="35">
        <v>4.76502E-3</v>
      </c>
      <c r="V818" s="35">
        <v>0</v>
      </c>
    </row>
    <row r="819" spans="1:22">
      <c r="A819" s="7"/>
      <c r="B819" s="8">
        <v>1.0097006711160386</v>
      </c>
      <c r="C819" s="8">
        <v>0.26302086313966178</v>
      </c>
      <c r="D819" s="8">
        <v>-0.76545275918666766</v>
      </c>
      <c r="E819" s="7">
        <v>0</v>
      </c>
      <c r="F819" s="7">
        <v>0</v>
      </c>
      <c r="G819" s="7">
        <v>-1.4990516053215155E-2</v>
      </c>
      <c r="H819" s="7">
        <v>-1.5970575730977998E-2</v>
      </c>
      <c r="I819" s="7">
        <v>0</v>
      </c>
      <c r="J819" s="7">
        <v>0</v>
      </c>
      <c r="K819" s="7">
        <v>2.0521745021313972E-2</v>
      </c>
      <c r="L819" s="3">
        <f t="shared" si="105"/>
        <v>2.6877506903266735E-4</v>
      </c>
      <c r="M819" s="3">
        <v>1.01</v>
      </c>
      <c r="N819" s="3">
        <v>0.26300000000000001</v>
      </c>
      <c r="O819" s="3">
        <v>-0.76600000000000001</v>
      </c>
      <c r="P819" s="35">
        <v>0</v>
      </c>
      <c r="Q819" s="35">
        <v>0</v>
      </c>
      <c r="R819" s="35">
        <v>-1.49698E-2</v>
      </c>
      <c r="S819" s="35">
        <v>-4.76502E-3</v>
      </c>
      <c r="T819" s="35">
        <v>0</v>
      </c>
      <c r="U819" s="35">
        <v>0</v>
      </c>
      <c r="V819" s="35">
        <v>4.76502E-3</v>
      </c>
    </row>
    <row r="820" spans="1:22">
      <c r="A820" s="7"/>
      <c r="B820" s="8"/>
      <c r="C820" s="8"/>
      <c r="D820" s="8"/>
      <c r="E820" s="7"/>
      <c r="F820" s="7"/>
      <c r="G820" s="7"/>
      <c r="H820" s="7"/>
      <c r="I820" s="7"/>
      <c r="J820" s="7"/>
      <c r="K820" s="7"/>
    </row>
    <row r="821" spans="1:22">
      <c r="A821" s="7"/>
      <c r="B821" s="8">
        <v>2.0770709056556562</v>
      </c>
      <c r="C821" s="8">
        <v>-2.1445635165533226</v>
      </c>
      <c r="D821" s="8">
        <v>-5.6653180844775664E-2</v>
      </c>
      <c r="E821" s="7">
        <v>-1.4990516053215155E-2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3">
        <f t="shared" si="108"/>
        <v>8.5420825755806035E-4</v>
      </c>
      <c r="M821" s="3">
        <v>2.077</v>
      </c>
      <c r="N821" s="3">
        <v>-2.145</v>
      </c>
      <c r="O821" s="3">
        <v>-5.7000000000000002E-2</v>
      </c>
      <c r="P821" s="35">
        <v>-1.49698E-2</v>
      </c>
      <c r="Q821" s="35">
        <v>0</v>
      </c>
      <c r="R821" s="35">
        <v>0</v>
      </c>
      <c r="S821" s="35">
        <v>-4.76502E-3</v>
      </c>
      <c r="T821" s="35">
        <v>4.76502E-3</v>
      </c>
      <c r="U821" s="35">
        <v>0</v>
      </c>
      <c r="V821" s="35">
        <v>0</v>
      </c>
    </row>
    <row r="822" spans="1:22">
      <c r="A822" s="7" t="s">
        <v>221</v>
      </c>
      <c r="B822" s="8">
        <v>1.6188303733889171</v>
      </c>
      <c r="C822" s="8">
        <v>-1.9594494251009342E-2</v>
      </c>
      <c r="D822" s="8">
        <v>-7.7422792294721043E-2</v>
      </c>
      <c r="E822" s="7">
        <v>0</v>
      </c>
      <c r="F822" s="7">
        <v>-1.4990516053215155E-2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3">
        <f t="shared" si="105"/>
        <v>8.130868431867333E-4</v>
      </c>
      <c r="M822" s="3">
        <v>1.619</v>
      </c>
      <c r="N822" s="3">
        <v>-0.02</v>
      </c>
      <c r="O822" s="3">
        <v>-7.8E-2</v>
      </c>
      <c r="P822" s="35">
        <v>0</v>
      </c>
      <c r="Q822" s="35">
        <v>-1.49698E-2</v>
      </c>
      <c r="R822" s="35">
        <v>0</v>
      </c>
      <c r="S822" s="35">
        <v>-4.76502E-3</v>
      </c>
      <c r="T822" s="35">
        <v>0</v>
      </c>
      <c r="U822" s="35">
        <v>4.76502E-3</v>
      </c>
      <c r="V822" s="35">
        <v>0</v>
      </c>
    </row>
    <row r="823" spans="1:22">
      <c r="A823" s="7"/>
      <c r="B823" s="8">
        <v>1.0097006711160386</v>
      </c>
      <c r="C823" s="8">
        <v>0.26302086313966178</v>
      </c>
      <c r="D823" s="8">
        <v>-0.76545275918666766</v>
      </c>
      <c r="E823" s="7">
        <v>0</v>
      </c>
      <c r="F823" s="7">
        <v>0</v>
      </c>
      <c r="G823" s="7">
        <v>-1.4990516053215155E-2</v>
      </c>
      <c r="H823" s="7">
        <v>0</v>
      </c>
      <c r="I823" s="7">
        <v>0</v>
      </c>
      <c r="J823" s="7">
        <v>0</v>
      </c>
      <c r="K823" s="7">
        <v>0</v>
      </c>
      <c r="L823" s="3">
        <f t="shared" si="105"/>
        <v>2.6877506903266735E-4</v>
      </c>
      <c r="M823" s="3">
        <v>1.01</v>
      </c>
      <c r="N823" s="3">
        <v>0.26300000000000001</v>
      </c>
      <c r="O823" s="3">
        <v>-0.76600000000000001</v>
      </c>
      <c r="P823" s="35">
        <v>0</v>
      </c>
      <c r="Q823" s="35">
        <v>0</v>
      </c>
      <c r="R823" s="35">
        <v>-1.49698E-2</v>
      </c>
      <c r="S823" s="35">
        <v>-4.76502E-3</v>
      </c>
      <c r="T823" s="35">
        <v>0</v>
      </c>
      <c r="U823" s="35">
        <v>0</v>
      </c>
      <c r="V823" s="35">
        <v>4.76502E-3</v>
      </c>
    </row>
    <row r="824" spans="1:22">
      <c r="A824" s="7"/>
      <c r="B824" s="8"/>
      <c r="C824" s="8"/>
      <c r="D824" s="8"/>
      <c r="E824" s="7"/>
      <c r="F824" s="7"/>
      <c r="G824" s="7"/>
      <c r="H824" s="7"/>
      <c r="I824" s="7"/>
      <c r="J824" s="7"/>
      <c r="K824" s="7"/>
    </row>
    <row r="825" spans="1:22">
      <c r="A825" s="7"/>
      <c r="B825" s="8">
        <v>-0.36768865949079377</v>
      </c>
      <c r="C825" s="8">
        <v>-1.2890795247765441</v>
      </c>
      <c r="D825" s="8">
        <v>-0.10954983766095538</v>
      </c>
      <c r="E825" s="7">
        <v>-1.4990516053215155E-2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3">
        <f t="shared" si="109"/>
        <v>6.8197807170657099E-4</v>
      </c>
      <c r="M825" s="3">
        <v>-0.36799999999999999</v>
      </c>
      <c r="N825" s="3">
        <v>-1.2889999999999999</v>
      </c>
      <c r="O825" s="3">
        <v>-0.11</v>
      </c>
      <c r="P825" s="35">
        <v>-1.49698E-2</v>
      </c>
      <c r="Q825" s="35">
        <v>0</v>
      </c>
      <c r="R825" s="35">
        <v>0</v>
      </c>
      <c r="S825" s="35">
        <v>-4.76502E-3</v>
      </c>
      <c r="T825" s="35">
        <v>4.76502E-3</v>
      </c>
      <c r="U825" s="35">
        <v>0</v>
      </c>
      <c r="V825" s="35">
        <v>0</v>
      </c>
    </row>
    <row r="826" spans="1:22">
      <c r="A826" s="7" t="s">
        <v>222</v>
      </c>
      <c r="B826" s="8">
        <v>2.4772611105726599</v>
      </c>
      <c r="C826" s="8">
        <v>-1.0605572692523213</v>
      </c>
      <c r="D826" s="8">
        <v>-3.9812674620544719E-2</v>
      </c>
      <c r="E826" s="7">
        <v>0</v>
      </c>
      <c r="F826" s="7">
        <v>-1.4990516053215155E-2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3">
        <f t="shared" si="105"/>
        <v>8.9116669979390911E-4</v>
      </c>
      <c r="M826" s="3">
        <v>2.4769999999999999</v>
      </c>
      <c r="N826" s="3">
        <v>-1.0609999999999999</v>
      </c>
      <c r="O826" s="3">
        <v>-0.04</v>
      </c>
      <c r="P826" s="35">
        <v>0</v>
      </c>
      <c r="Q826" s="35">
        <v>-1.49698E-2</v>
      </c>
      <c r="R826" s="35">
        <v>0</v>
      </c>
      <c r="S826" s="35">
        <v>-4.76502E-3</v>
      </c>
      <c r="T826" s="35">
        <v>0</v>
      </c>
      <c r="U826" s="35">
        <v>4.76502E-3</v>
      </c>
      <c r="V826" s="35">
        <v>0</v>
      </c>
    </row>
    <row r="827" spans="1:22">
      <c r="A827" s="7"/>
      <c r="B827" s="8">
        <v>1.6188303733889171</v>
      </c>
      <c r="C827" s="8">
        <v>-1.9594494251009342E-2</v>
      </c>
      <c r="D827" s="8">
        <v>-7.7422792294721043E-2</v>
      </c>
      <c r="E827" s="7">
        <v>0</v>
      </c>
      <c r="F827" s="7">
        <v>0</v>
      </c>
      <c r="G827" s="7">
        <v>-1.4990516053215155E-2</v>
      </c>
      <c r="H827" s="7">
        <v>0</v>
      </c>
      <c r="I827" s="7">
        <v>0</v>
      </c>
      <c r="J827" s="7">
        <v>0</v>
      </c>
      <c r="K827" s="7">
        <v>0</v>
      </c>
      <c r="L827" s="3">
        <f t="shared" si="105"/>
        <v>8.130868431867333E-4</v>
      </c>
      <c r="M827" s="3">
        <v>1.619</v>
      </c>
      <c r="N827" s="3">
        <v>-0.02</v>
      </c>
      <c r="O827" s="3">
        <v>-7.8E-2</v>
      </c>
      <c r="P827" s="35">
        <v>0</v>
      </c>
      <c r="Q827" s="35">
        <v>0</v>
      </c>
      <c r="R827" s="35">
        <v>-1.49698E-2</v>
      </c>
      <c r="S827" s="35">
        <v>-4.76502E-3</v>
      </c>
      <c r="T827" s="35">
        <v>0</v>
      </c>
      <c r="U827" s="35">
        <v>0</v>
      </c>
      <c r="V827" s="35">
        <v>4.76502E-3</v>
      </c>
    </row>
    <row r="828" spans="1:22">
      <c r="A828" s="7"/>
      <c r="B828" s="8"/>
      <c r="C828" s="8"/>
      <c r="D828" s="8"/>
      <c r="E828" s="7"/>
      <c r="F828" s="7"/>
      <c r="G828" s="7"/>
      <c r="H828" s="7"/>
      <c r="I828" s="7"/>
      <c r="J828" s="7"/>
      <c r="K828" s="7"/>
    </row>
    <row r="829" spans="1:22">
      <c r="A829" s="7"/>
      <c r="B829" s="8">
        <v>-0.36768865949079377</v>
      </c>
      <c r="C829" s="8">
        <v>-1.2890795247765441</v>
      </c>
      <c r="D829" s="8">
        <v>-0.10954983766095538</v>
      </c>
      <c r="E829" s="7">
        <v>-1.4990516053215155E-2</v>
      </c>
      <c r="F829" s="7">
        <v>0</v>
      </c>
      <c r="G829" s="7">
        <v>0</v>
      </c>
      <c r="H829" s="7">
        <v>-1.5970575730977998E-2</v>
      </c>
      <c r="I829" s="7">
        <v>2.2385887789414392E-2</v>
      </c>
      <c r="J829" s="7">
        <v>0</v>
      </c>
      <c r="K829" s="7">
        <v>0</v>
      </c>
      <c r="L829" s="3">
        <f t="shared" ref="L829:L867" si="111">B829-M829+C829-N829+D829-O829</f>
        <v>6.8197807170657099E-4</v>
      </c>
      <c r="M829" s="3">
        <v>-0.36799999999999999</v>
      </c>
      <c r="N829" s="3">
        <v>-1.2889999999999999</v>
      </c>
      <c r="O829" s="3">
        <v>-0.11</v>
      </c>
      <c r="P829" s="35">
        <v>-1.49698E-2</v>
      </c>
      <c r="Q829" s="35">
        <v>0</v>
      </c>
      <c r="R829" s="35">
        <v>0</v>
      </c>
      <c r="S829" s="35">
        <v>-4.76502E-3</v>
      </c>
      <c r="T829" s="35">
        <v>4.76502E-3</v>
      </c>
      <c r="U829" s="35">
        <v>0</v>
      </c>
      <c r="V829" s="35">
        <v>0</v>
      </c>
    </row>
    <row r="830" spans="1:22">
      <c r="A830" s="7" t="s">
        <v>223</v>
      </c>
      <c r="B830" s="8">
        <v>2.4772611105726599</v>
      </c>
      <c r="C830" s="8">
        <v>-1.0605572692523213</v>
      </c>
      <c r="D830" s="8">
        <v>-3.9812674620544719E-2</v>
      </c>
      <c r="E830" s="7">
        <v>0</v>
      </c>
      <c r="F830" s="7">
        <v>-1.4990516053215155E-2</v>
      </c>
      <c r="G830" s="7">
        <v>0</v>
      </c>
      <c r="H830" s="7">
        <v>-1.5970575730977998E-2</v>
      </c>
      <c r="I830" s="7">
        <v>0</v>
      </c>
      <c r="J830" s="7">
        <v>1.6236379226863738E-2</v>
      </c>
      <c r="K830" s="7">
        <v>0</v>
      </c>
      <c r="L830" s="3">
        <f t="shared" si="111"/>
        <v>8.9116669979390911E-4</v>
      </c>
      <c r="M830" s="3">
        <v>2.4769999999999999</v>
      </c>
      <c r="N830" s="3">
        <v>-1.0609999999999999</v>
      </c>
      <c r="O830" s="3">
        <v>-0.04</v>
      </c>
      <c r="P830" s="35">
        <v>0</v>
      </c>
      <c r="Q830" s="35">
        <v>-1.49698E-2</v>
      </c>
      <c r="R830" s="35">
        <v>0</v>
      </c>
      <c r="S830" s="35">
        <v>-4.76502E-3</v>
      </c>
      <c r="T830" s="35">
        <v>0</v>
      </c>
      <c r="U830" s="35">
        <v>4.76502E-3</v>
      </c>
      <c r="V830" s="35">
        <v>0</v>
      </c>
    </row>
    <row r="831" spans="1:22">
      <c r="A831" s="7"/>
      <c r="B831" s="8">
        <v>1.0097006711160386</v>
      </c>
      <c r="C831" s="8">
        <v>0.26302086313966178</v>
      </c>
      <c r="D831" s="8">
        <v>-0.76545275918666766</v>
      </c>
      <c r="E831" s="7">
        <v>0</v>
      </c>
      <c r="F831" s="7">
        <v>0</v>
      </c>
      <c r="G831" s="7">
        <v>-1.4990516053215155E-2</v>
      </c>
      <c r="H831" s="7">
        <v>-1.5970575730977998E-2</v>
      </c>
      <c r="I831" s="7">
        <v>0</v>
      </c>
      <c r="J831" s="7">
        <v>0</v>
      </c>
      <c r="K831" s="7">
        <v>2.0521745021313972E-2</v>
      </c>
      <c r="L831" s="3">
        <f t="shared" si="111"/>
        <v>2.6877506903266735E-4</v>
      </c>
      <c r="M831" s="3">
        <v>1.01</v>
      </c>
      <c r="N831" s="3">
        <v>0.26300000000000001</v>
      </c>
      <c r="O831" s="3">
        <v>-0.76600000000000001</v>
      </c>
      <c r="P831" s="35">
        <v>0</v>
      </c>
      <c r="Q831" s="35">
        <v>0</v>
      </c>
      <c r="R831" s="35">
        <v>-1.49698E-2</v>
      </c>
      <c r="S831" s="35">
        <v>-4.76502E-3</v>
      </c>
      <c r="T831" s="35">
        <v>0</v>
      </c>
      <c r="U831" s="35">
        <v>0</v>
      </c>
      <c r="V831" s="35">
        <v>4.76502E-3</v>
      </c>
    </row>
    <row r="832" spans="1:22">
      <c r="A832" s="7"/>
      <c r="B832" s="8"/>
      <c r="C832" s="8"/>
      <c r="D832" s="8"/>
      <c r="E832" s="7"/>
      <c r="F832" s="7"/>
      <c r="G832" s="7"/>
      <c r="H832" s="7"/>
      <c r="I832" s="7"/>
      <c r="J832" s="7"/>
      <c r="K832" s="7"/>
    </row>
    <row r="833" spans="1:22">
      <c r="A833" s="7"/>
      <c r="B833" s="8">
        <v>-0.36768865949079377</v>
      </c>
      <c r="C833" s="8">
        <v>-1.2890795247765441</v>
      </c>
      <c r="D833" s="8">
        <v>-0.10954983766095538</v>
      </c>
      <c r="E833" s="7">
        <v>-1.4990516053215155E-2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3">
        <f t="shared" si="105"/>
        <v>6.8197807170657099E-4</v>
      </c>
      <c r="M833" s="3">
        <v>-0.36799999999999999</v>
      </c>
      <c r="N833" s="3">
        <v>-1.2889999999999999</v>
      </c>
      <c r="O833" s="3">
        <v>-0.11</v>
      </c>
      <c r="P833" s="35">
        <v>-1.49698E-2</v>
      </c>
      <c r="Q833" s="35">
        <v>0</v>
      </c>
      <c r="R833" s="35">
        <v>0</v>
      </c>
      <c r="S833" s="35">
        <v>-4.76502E-3</v>
      </c>
      <c r="T833" s="35">
        <v>4.76502E-3</v>
      </c>
      <c r="U833" s="35">
        <v>0</v>
      </c>
      <c r="V833" s="35">
        <v>0</v>
      </c>
    </row>
    <row r="834" spans="1:22">
      <c r="A834" s="7" t="s">
        <v>224</v>
      </c>
      <c r="B834" s="8">
        <v>1.6188303733889171</v>
      </c>
      <c r="C834" s="8">
        <v>-1.9594494251009342E-2</v>
      </c>
      <c r="D834" s="8">
        <v>-7.7422792294721043E-2</v>
      </c>
      <c r="E834" s="7">
        <v>0</v>
      </c>
      <c r="F834" s="7">
        <v>-1.4990516053215155E-2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3">
        <f t="shared" si="105"/>
        <v>8.130868431867333E-4</v>
      </c>
      <c r="M834" s="3">
        <v>1.619</v>
      </c>
      <c r="N834" s="3">
        <v>-0.02</v>
      </c>
      <c r="O834" s="3">
        <v>-7.8E-2</v>
      </c>
      <c r="P834" s="35">
        <v>0</v>
      </c>
      <c r="Q834" s="35">
        <v>-1.49698E-2</v>
      </c>
      <c r="R834" s="35">
        <v>0</v>
      </c>
      <c r="S834" s="35">
        <v>-4.76502E-3</v>
      </c>
      <c r="T834" s="35">
        <v>0</v>
      </c>
      <c r="U834" s="35">
        <v>4.76502E-3</v>
      </c>
      <c r="V834" s="35">
        <v>0</v>
      </c>
    </row>
    <row r="835" spans="1:22">
      <c r="A835" s="7"/>
      <c r="B835" s="8">
        <v>1.0097006711160386</v>
      </c>
      <c r="C835" s="8">
        <v>0.26302086313966178</v>
      </c>
      <c r="D835" s="8">
        <v>-0.76545275918666766</v>
      </c>
      <c r="E835" s="7">
        <v>0</v>
      </c>
      <c r="F835" s="7">
        <v>0</v>
      </c>
      <c r="G835" s="7">
        <v>-1.4990516053215155E-2</v>
      </c>
      <c r="H835" s="7">
        <v>0</v>
      </c>
      <c r="I835" s="7">
        <v>0</v>
      </c>
      <c r="J835" s="7">
        <v>0</v>
      </c>
      <c r="K835" s="7">
        <v>0</v>
      </c>
      <c r="L835" s="3">
        <f t="shared" si="105"/>
        <v>2.6877506903266735E-4</v>
      </c>
      <c r="M835" s="3">
        <v>1.01</v>
      </c>
      <c r="N835" s="3">
        <v>0.26300000000000001</v>
      </c>
      <c r="O835" s="3">
        <v>-0.76600000000000001</v>
      </c>
      <c r="P835" s="35">
        <v>0</v>
      </c>
      <c r="Q835" s="35">
        <v>0</v>
      </c>
      <c r="R835" s="35">
        <v>-1.49698E-2</v>
      </c>
      <c r="S835" s="35">
        <v>-4.76502E-3</v>
      </c>
      <c r="T835" s="35">
        <v>0</v>
      </c>
      <c r="U835" s="35">
        <v>0</v>
      </c>
      <c r="V835" s="35">
        <v>4.76502E-3</v>
      </c>
    </row>
    <row r="836" spans="1:22">
      <c r="A836" s="7"/>
      <c r="B836" s="8"/>
      <c r="C836" s="8"/>
      <c r="D836" s="8"/>
      <c r="E836" s="7"/>
      <c r="F836" s="7"/>
      <c r="G836" s="7"/>
      <c r="H836" s="7"/>
      <c r="I836" s="7"/>
      <c r="J836" s="7"/>
      <c r="K836" s="7"/>
    </row>
    <row r="837" spans="1:22">
      <c r="A837" s="7"/>
      <c r="B837" s="8">
        <v>2.4772611105726599</v>
      </c>
      <c r="C837" s="8">
        <v>-1.0605572692523213</v>
      </c>
      <c r="D837" s="8">
        <v>-3.9812674620544719E-2</v>
      </c>
      <c r="E837" s="7">
        <v>-1.4990516053215155E-2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3">
        <f t="shared" ref="L837:L899" si="112">B837-M837+C837-N837+D837-O837</f>
        <v>8.9116669979390911E-4</v>
      </c>
      <c r="M837" s="3">
        <v>2.4769999999999999</v>
      </c>
      <c r="N837" s="3">
        <v>-1.0609999999999999</v>
      </c>
      <c r="O837" s="3">
        <v>-0.04</v>
      </c>
      <c r="P837" s="35">
        <v>-1.49698E-2</v>
      </c>
      <c r="Q837" s="35">
        <v>0</v>
      </c>
      <c r="R837" s="35">
        <v>0</v>
      </c>
      <c r="S837" s="35">
        <v>-4.76502E-3</v>
      </c>
      <c r="T837" s="35">
        <v>4.76502E-3</v>
      </c>
      <c r="U837" s="35">
        <v>0</v>
      </c>
      <c r="V837" s="35">
        <v>0</v>
      </c>
    </row>
    <row r="838" spans="1:22">
      <c r="A838" s="7" t="s">
        <v>225</v>
      </c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-1.4990516053215155E-2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3">
        <f t="shared" si="112"/>
        <v>8.130868431867333E-4</v>
      </c>
      <c r="M838" s="3">
        <v>1.619</v>
      </c>
      <c r="N838" s="3">
        <v>-0.02</v>
      </c>
      <c r="O838" s="3">
        <v>-7.8E-2</v>
      </c>
      <c r="P838" s="35">
        <v>0</v>
      </c>
      <c r="Q838" s="35">
        <v>-1.49698E-2</v>
      </c>
      <c r="R838" s="35">
        <v>0</v>
      </c>
      <c r="S838" s="35">
        <v>-4.76502E-3</v>
      </c>
      <c r="T838" s="35">
        <v>0</v>
      </c>
      <c r="U838" s="35">
        <v>4.76502E-3</v>
      </c>
      <c r="V838" s="35">
        <v>0</v>
      </c>
    </row>
    <row r="839" spans="1:22">
      <c r="A839" s="7"/>
      <c r="B839" s="8">
        <v>1.0097006711160386</v>
      </c>
      <c r="C839" s="8">
        <v>0.26302086313966178</v>
      </c>
      <c r="D839" s="8">
        <v>-0.76545275918666766</v>
      </c>
      <c r="E839" s="7">
        <v>0</v>
      </c>
      <c r="F839" s="7">
        <v>0</v>
      </c>
      <c r="G839" s="7">
        <v>-1.4990516053215155E-2</v>
      </c>
      <c r="H839" s="7">
        <v>0</v>
      </c>
      <c r="I839" s="7">
        <v>0</v>
      </c>
      <c r="J839" s="7">
        <v>0</v>
      </c>
      <c r="K839" s="7">
        <v>0</v>
      </c>
      <c r="L839" s="3">
        <f t="shared" si="112"/>
        <v>2.6877506903266735E-4</v>
      </c>
      <c r="M839" s="3">
        <v>1.01</v>
      </c>
      <c r="N839" s="3">
        <v>0.26300000000000001</v>
      </c>
      <c r="O839" s="3">
        <v>-0.76600000000000001</v>
      </c>
      <c r="P839" s="35">
        <v>0</v>
      </c>
      <c r="Q839" s="35">
        <v>0</v>
      </c>
      <c r="R839" s="35">
        <v>-1.49698E-2</v>
      </c>
      <c r="S839" s="35">
        <v>-4.76502E-3</v>
      </c>
      <c r="T839" s="35">
        <v>0</v>
      </c>
      <c r="U839" s="35">
        <v>0</v>
      </c>
      <c r="V839" s="35">
        <v>4.76502E-3</v>
      </c>
    </row>
    <row r="840" spans="1:22">
      <c r="A840" s="7"/>
      <c r="B840" s="8"/>
      <c r="C840" s="8"/>
      <c r="D840" s="8"/>
      <c r="E840" s="7"/>
      <c r="F840" s="7"/>
      <c r="G840" s="7"/>
      <c r="H840" s="7"/>
      <c r="I840" s="7"/>
      <c r="J840" s="7"/>
      <c r="K840" s="7"/>
    </row>
    <row r="841" spans="1:22">
      <c r="A841" s="7"/>
      <c r="B841" s="8">
        <v>-0.58367185674448252</v>
      </c>
      <c r="C841" s="8">
        <v>-2.0841504898711007</v>
      </c>
      <c r="D841" s="8">
        <v>-0.75171422039661484</v>
      </c>
      <c r="E841" s="7">
        <v>-1.4990516053215155E-2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3">
        <f t="shared" ref="L841:L877" si="113">B841-M841+C841-N841+D841-O841</f>
        <v>-5.3656701219817471E-4</v>
      </c>
      <c r="M841" s="3">
        <v>-0.58399999999999996</v>
      </c>
      <c r="N841" s="3">
        <v>-2.0840000000000001</v>
      </c>
      <c r="O841" s="3">
        <v>-0.751</v>
      </c>
      <c r="P841" s="35">
        <v>-1.49698E-2</v>
      </c>
      <c r="Q841" s="35">
        <v>0</v>
      </c>
      <c r="R841" s="35">
        <v>0</v>
      </c>
      <c r="S841" s="35">
        <v>-4.76502E-3</v>
      </c>
      <c r="T841" s="35">
        <v>4.76502E-3</v>
      </c>
      <c r="U841" s="35">
        <v>0</v>
      </c>
      <c r="V841" s="35">
        <v>0</v>
      </c>
    </row>
    <row r="842" spans="1:22">
      <c r="A842" s="7" t="s">
        <v>226</v>
      </c>
      <c r="B842" s="8">
        <v>-1.8375474863113905</v>
      </c>
      <c r="C842" s="8">
        <v>-2.1167426559988707</v>
      </c>
      <c r="D842" s="8">
        <v>-1.2367606559382516E-2</v>
      </c>
      <c r="E842" s="7">
        <v>0</v>
      </c>
      <c r="F842" s="7">
        <v>-1.4990516053215155E-2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3">
        <f t="shared" si="112"/>
        <v>3.4225113035634205E-4</v>
      </c>
      <c r="M842" s="3">
        <v>-1.8380000000000001</v>
      </c>
      <c r="N842" s="3">
        <v>-2.117</v>
      </c>
      <c r="O842" s="3">
        <v>-1.2E-2</v>
      </c>
      <c r="P842" s="35">
        <v>0</v>
      </c>
      <c r="Q842" s="35">
        <v>-1.49698E-2</v>
      </c>
      <c r="R842" s="35">
        <v>0</v>
      </c>
      <c r="S842" s="35">
        <v>-4.76502E-3</v>
      </c>
      <c r="T842" s="35">
        <v>0</v>
      </c>
      <c r="U842" s="35">
        <v>4.76502E-3</v>
      </c>
      <c r="V842" s="35">
        <v>0</v>
      </c>
    </row>
    <row r="843" spans="1:22">
      <c r="A843" s="7"/>
      <c r="B843" s="8">
        <v>0.45824053226673911</v>
      </c>
      <c r="C843" s="8">
        <v>-2.124969022302313</v>
      </c>
      <c r="D843" s="8">
        <v>2.076961144994538E-2</v>
      </c>
      <c r="E843" s="7">
        <v>0</v>
      </c>
      <c r="F843" s="7">
        <v>0</v>
      </c>
      <c r="G843" s="7">
        <v>-1.4990516053215155E-2</v>
      </c>
      <c r="H843" s="7">
        <v>0</v>
      </c>
      <c r="I843" s="7">
        <v>0</v>
      </c>
      <c r="J843" s="7">
        <v>0</v>
      </c>
      <c r="K843" s="7">
        <v>0</v>
      </c>
      <c r="L843" s="3">
        <f t="shared" si="112"/>
        <v>4.11214143713097E-5</v>
      </c>
      <c r="M843" s="3">
        <v>0.45800000000000002</v>
      </c>
      <c r="N843" s="3">
        <v>-2.125</v>
      </c>
      <c r="O843" s="3">
        <v>2.1000000000000001E-2</v>
      </c>
      <c r="P843" s="35">
        <v>0</v>
      </c>
      <c r="Q843" s="35">
        <v>0</v>
      </c>
      <c r="R843" s="35">
        <v>-1.49698E-2</v>
      </c>
      <c r="S843" s="35">
        <v>-4.76502E-3</v>
      </c>
      <c r="T843" s="35">
        <v>0</v>
      </c>
      <c r="U843" s="35">
        <v>0</v>
      </c>
      <c r="V843" s="35">
        <v>4.76502E-3</v>
      </c>
    </row>
    <row r="844" spans="1:22">
      <c r="A844" s="7"/>
      <c r="B844" s="8"/>
      <c r="C844" s="8"/>
      <c r="D844" s="8"/>
      <c r="E844" s="7"/>
      <c r="F844" s="7"/>
      <c r="G844" s="7"/>
      <c r="H844" s="7"/>
      <c r="I844" s="7"/>
      <c r="J844" s="7"/>
      <c r="K844" s="7"/>
    </row>
    <row r="845" spans="1:22">
      <c r="A845" s="7"/>
      <c r="B845" s="8">
        <v>-0.58367185674448252</v>
      </c>
      <c r="C845" s="8">
        <v>-2.0841504898711007</v>
      </c>
      <c r="D845" s="8">
        <v>-0.75171422039661484</v>
      </c>
      <c r="E845" s="7">
        <v>-1.4990516053215155E-2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3">
        <f t="shared" ref="L845:L881" si="114">B845-M845+C845-N845+D845-O845</f>
        <v>-5.3656701219817471E-4</v>
      </c>
      <c r="M845" s="3">
        <v>-0.58399999999999996</v>
      </c>
      <c r="N845" s="3">
        <v>-2.0840000000000001</v>
      </c>
      <c r="O845" s="3">
        <v>-0.751</v>
      </c>
      <c r="P845" s="35">
        <v>-1.49698E-2</v>
      </c>
      <c r="Q845" s="35">
        <v>0</v>
      </c>
      <c r="R845" s="35">
        <v>0</v>
      </c>
      <c r="S845" s="35">
        <v>-4.76502E-3</v>
      </c>
      <c r="T845" s="35">
        <v>4.76502E-3</v>
      </c>
      <c r="U845" s="35">
        <v>0</v>
      </c>
      <c r="V845" s="35">
        <v>0</v>
      </c>
    </row>
    <row r="846" spans="1:22">
      <c r="A846" s="7" t="s">
        <v>227</v>
      </c>
      <c r="B846" s="8">
        <v>-1.8375474863113905</v>
      </c>
      <c r="C846" s="8">
        <v>-2.1167426559988707</v>
      </c>
      <c r="D846" s="8">
        <v>-1.2367606559382516E-2</v>
      </c>
      <c r="E846" s="7">
        <v>0</v>
      </c>
      <c r="F846" s="7">
        <v>-1.4990516053215155E-2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3">
        <f t="shared" si="112"/>
        <v>3.4225113035634205E-4</v>
      </c>
      <c r="M846" s="3">
        <v>-1.8380000000000001</v>
      </c>
      <c r="N846" s="3">
        <v>-2.117</v>
      </c>
      <c r="O846" s="3">
        <v>-1.2E-2</v>
      </c>
      <c r="P846" s="35">
        <v>0</v>
      </c>
      <c r="Q846" s="35">
        <v>-1.49698E-2</v>
      </c>
      <c r="R846" s="35">
        <v>0</v>
      </c>
      <c r="S846" s="35">
        <v>-4.76502E-3</v>
      </c>
      <c r="T846" s="35">
        <v>0</v>
      </c>
      <c r="U846" s="35">
        <v>4.76502E-3</v>
      </c>
      <c r="V846" s="35">
        <v>0</v>
      </c>
    </row>
    <row r="847" spans="1:22">
      <c r="A847" s="7"/>
      <c r="B847" s="8">
        <v>-1.9865190328797109</v>
      </c>
      <c r="C847" s="8">
        <v>-1.2694850305255347</v>
      </c>
      <c r="D847" s="8">
        <v>-3.2127045366234341E-2</v>
      </c>
      <c r="E847" s="7">
        <v>0</v>
      </c>
      <c r="F847" s="7">
        <v>0</v>
      </c>
      <c r="G847" s="7">
        <v>-1.4990516053215155E-2</v>
      </c>
      <c r="H847" s="7">
        <v>0</v>
      </c>
      <c r="I847" s="7">
        <v>0</v>
      </c>
      <c r="J847" s="7">
        <v>0</v>
      </c>
      <c r="K847" s="7">
        <v>0</v>
      </c>
      <c r="L847" s="3">
        <f t="shared" si="112"/>
        <v>-1.3110877147995414E-4</v>
      </c>
      <c r="M847" s="3">
        <v>-1.9870000000000001</v>
      </c>
      <c r="N847" s="3">
        <v>-1.2689999999999999</v>
      </c>
      <c r="O847" s="3">
        <v>-3.2000000000000001E-2</v>
      </c>
      <c r="P847" s="35">
        <v>0</v>
      </c>
      <c r="Q847" s="35">
        <v>0</v>
      </c>
      <c r="R847" s="35">
        <v>-1.49698E-2</v>
      </c>
      <c r="S847" s="35">
        <v>-4.76502E-3</v>
      </c>
      <c r="T847" s="35">
        <v>0</v>
      </c>
      <c r="U847" s="35">
        <v>0</v>
      </c>
      <c r="V847" s="35">
        <v>4.76502E-3</v>
      </c>
    </row>
    <row r="848" spans="1:22">
      <c r="A848" s="7"/>
      <c r="B848" s="8"/>
      <c r="C848" s="8"/>
      <c r="D848" s="8"/>
      <c r="E848" s="7"/>
      <c r="F848" s="7"/>
      <c r="G848" s="7"/>
      <c r="H848" s="7"/>
      <c r="I848" s="7"/>
      <c r="J848" s="7"/>
      <c r="K848" s="7"/>
    </row>
    <row r="849" spans="1:22">
      <c r="A849" s="7"/>
      <c r="B849" s="8">
        <v>-0.58367185674448252</v>
      </c>
      <c r="C849" s="8">
        <v>-2.0841504898711007</v>
      </c>
      <c r="D849" s="8">
        <v>-0.75171422039661484</v>
      </c>
      <c r="E849" s="7">
        <v>-1.4990516053215155E-2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3">
        <f t="shared" ref="L849:L885" si="115">B849-M849+C849-N849+D849-O849</f>
        <v>-5.3656701219817471E-4</v>
      </c>
      <c r="M849" s="3">
        <v>-0.58399999999999996</v>
      </c>
      <c r="N849" s="3">
        <v>-2.0840000000000001</v>
      </c>
      <c r="O849" s="3">
        <v>-0.751</v>
      </c>
      <c r="P849" s="35">
        <v>-1.49698E-2</v>
      </c>
      <c r="Q849" s="35">
        <v>0</v>
      </c>
      <c r="R849" s="35">
        <v>0</v>
      </c>
      <c r="S849" s="35">
        <v>-4.76502E-3</v>
      </c>
      <c r="T849" s="35">
        <v>4.76502E-3</v>
      </c>
      <c r="U849" s="35">
        <v>0</v>
      </c>
      <c r="V849" s="35">
        <v>0</v>
      </c>
    </row>
    <row r="850" spans="1:22">
      <c r="A850" s="7" t="s">
        <v>228</v>
      </c>
      <c r="B850" s="8">
        <v>-1.8375474863113905</v>
      </c>
      <c r="C850" s="8">
        <v>-2.1167426559988707</v>
      </c>
      <c r="D850" s="8">
        <v>-1.2367606559382516E-2</v>
      </c>
      <c r="E850" s="7">
        <v>0</v>
      </c>
      <c r="F850" s="7">
        <v>-1.4990516053215155E-2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3">
        <f t="shared" si="112"/>
        <v>3.4225113035634205E-4</v>
      </c>
      <c r="M850" s="3">
        <v>-1.8380000000000001</v>
      </c>
      <c r="N850" s="3">
        <v>-2.117</v>
      </c>
      <c r="O850" s="3">
        <v>-1.2E-2</v>
      </c>
      <c r="P850" s="35">
        <v>0</v>
      </c>
      <c r="Q850" s="35">
        <v>-1.49698E-2</v>
      </c>
      <c r="R850" s="35">
        <v>0</v>
      </c>
      <c r="S850" s="35">
        <v>-4.76502E-3</v>
      </c>
      <c r="T850" s="35">
        <v>0</v>
      </c>
      <c r="U850" s="35">
        <v>4.76502E-3</v>
      </c>
      <c r="V850" s="35">
        <v>0</v>
      </c>
    </row>
    <row r="851" spans="1:22">
      <c r="A851" s="7"/>
      <c r="B851" s="8">
        <v>0.85843073718374274</v>
      </c>
      <c r="C851" s="8">
        <v>-1.040962775001312</v>
      </c>
      <c r="D851" s="8">
        <v>3.7610117674176324E-2</v>
      </c>
      <c r="E851" s="7">
        <v>0</v>
      </c>
      <c r="F851" s="7">
        <v>0</v>
      </c>
      <c r="G851" s="7">
        <v>-1.4990516053215155E-2</v>
      </c>
      <c r="H851" s="7">
        <v>0</v>
      </c>
      <c r="I851" s="7">
        <v>0</v>
      </c>
      <c r="J851" s="7">
        <v>0</v>
      </c>
      <c r="K851" s="7">
        <v>0</v>
      </c>
      <c r="L851" s="3">
        <f t="shared" si="112"/>
        <v>7.807985660693989E-5</v>
      </c>
      <c r="M851" s="3">
        <v>0.85799999999999998</v>
      </c>
      <c r="N851" s="3">
        <v>-1.0409999999999999</v>
      </c>
      <c r="O851" s="3">
        <v>3.7999999999999999E-2</v>
      </c>
      <c r="P851" s="35">
        <v>0</v>
      </c>
      <c r="Q851" s="35">
        <v>0</v>
      </c>
      <c r="R851" s="35">
        <v>-1.49698E-2</v>
      </c>
      <c r="S851" s="35">
        <v>-4.76502E-3</v>
      </c>
      <c r="T851" s="35">
        <v>0</v>
      </c>
      <c r="U851" s="35">
        <v>0</v>
      </c>
      <c r="V851" s="35">
        <v>4.76502E-3</v>
      </c>
    </row>
    <row r="852" spans="1:22">
      <c r="A852" s="7"/>
      <c r="B852" s="8"/>
      <c r="C852" s="8"/>
      <c r="D852" s="8"/>
      <c r="E852" s="7"/>
      <c r="F852" s="7"/>
      <c r="G852" s="7"/>
      <c r="H852" s="7"/>
      <c r="I852" s="7"/>
      <c r="J852" s="7"/>
      <c r="K852" s="7"/>
    </row>
    <row r="853" spans="1:22">
      <c r="A853" s="7"/>
      <c r="B853" s="8">
        <v>-0.58367185674448252</v>
      </c>
      <c r="C853" s="8">
        <v>-2.0841504898711007</v>
      </c>
      <c r="D853" s="8">
        <v>-0.75171422039661484</v>
      </c>
      <c r="E853" s="7">
        <v>-1.4990516053215155E-2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3">
        <f t="shared" ref="L853:L889" si="116">B853-M853+C853-N853+D853-O853</f>
        <v>-5.3656701219817471E-4</v>
      </c>
      <c r="M853" s="3">
        <v>-0.58399999999999996</v>
      </c>
      <c r="N853" s="3">
        <v>-2.0840000000000001</v>
      </c>
      <c r="O853" s="3">
        <v>-0.751</v>
      </c>
      <c r="P853" s="35">
        <v>-1.49698E-2</v>
      </c>
      <c r="Q853" s="35">
        <v>0</v>
      </c>
      <c r="R853" s="35">
        <v>0</v>
      </c>
      <c r="S853" s="35">
        <v>-4.76502E-3</v>
      </c>
      <c r="T853" s="35">
        <v>4.76502E-3</v>
      </c>
      <c r="U853" s="35">
        <v>0</v>
      </c>
      <c r="V853" s="35">
        <v>0</v>
      </c>
    </row>
    <row r="854" spans="1:22">
      <c r="A854" s="7" t="s">
        <v>229</v>
      </c>
      <c r="B854" s="8">
        <v>-1.8375474863113905</v>
      </c>
      <c r="C854" s="8">
        <v>-2.1167426559988707</v>
      </c>
      <c r="D854" s="8">
        <v>-1.2367606559382516E-2</v>
      </c>
      <c r="E854" s="7">
        <v>0</v>
      </c>
      <c r="F854" s="7">
        <v>-1.4990516053215155E-2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3">
        <f t="shared" si="112"/>
        <v>3.4225113035634205E-4</v>
      </c>
      <c r="M854" s="3">
        <v>-1.8380000000000001</v>
      </c>
      <c r="N854" s="3">
        <v>-2.117</v>
      </c>
      <c r="O854" s="3">
        <v>-1.2E-2</v>
      </c>
      <c r="P854" s="35">
        <v>0</v>
      </c>
      <c r="Q854" s="35">
        <v>-1.49698E-2</v>
      </c>
      <c r="R854" s="35">
        <v>0</v>
      </c>
      <c r="S854" s="35">
        <v>-4.76502E-3</v>
      </c>
      <c r="T854" s="35">
        <v>0</v>
      </c>
      <c r="U854" s="35">
        <v>4.76502E-3</v>
      </c>
      <c r="V854" s="35">
        <v>0</v>
      </c>
    </row>
    <row r="855" spans="1:22">
      <c r="A855" s="7"/>
      <c r="B855" s="8">
        <v>-1.6188303733889171</v>
      </c>
      <c r="C855" s="8">
        <v>1.9594494251009342E-2</v>
      </c>
      <c r="D855" s="8">
        <v>7.7422792294721043E-2</v>
      </c>
      <c r="E855" s="7">
        <v>0</v>
      </c>
      <c r="F855" s="7">
        <v>0</v>
      </c>
      <c r="G855" s="7">
        <v>-1.4990516053215155E-2</v>
      </c>
      <c r="H855" s="7">
        <v>0</v>
      </c>
      <c r="I855" s="7">
        <v>0</v>
      </c>
      <c r="J855" s="7">
        <v>0</v>
      </c>
      <c r="K855" s="7">
        <v>0</v>
      </c>
      <c r="L855" s="3">
        <f t="shared" si="112"/>
        <v>-8.130868431867333E-4</v>
      </c>
      <c r="M855" s="3">
        <v>-1.619</v>
      </c>
      <c r="N855" s="3">
        <v>0.02</v>
      </c>
      <c r="O855" s="3">
        <v>7.8E-2</v>
      </c>
      <c r="P855" s="35">
        <v>0</v>
      </c>
      <c r="Q855" s="35">
        <v>0</v>
      </c>
      <c r="R855" s="35">
        <v>-1.49698E-2</v>
      </c>
      <c r="S855" s="35">
        <v>-4.76502E-3</v>
      </c>
      <c r="T855" s="35">
        <v>0</v>
      </c>
      <c r="U855" s="35">
        <v>0</v>
      </c>
      <c r="V855" s="35">
        <v>4.76502E-3</v>
      </c>
    </row>
    <row r="856" spans="1:22">
      <c r="A856" s="7"/>
      <c r="B856" s="8"/>
      <c r="C856" s="8"/>
      <c r="D856" s="8"/>
      <c r="E856" s="7"/>
      <c r="F856" s="7"/>
      <c r="G856" s="7"/>
      <c r="H856" s="7"/>
      <c r="I856" s="7"/>
      <c r="J856" s="7"/>
      <c r="K856" s="7"/>
    </row>
    <row r="857" spans="1:22">
      <c r="A857" s="7"/>
      <c r="B857" s="8">
        <v>-0.58367185674448252</v>
      </c>
      <c r="C857" s="8">
        <v>-2.0841504898711007</v>
      </c>
      <c r="D857" s="8">
        <v>-0.75171422039661484</v>
      </c>
      <c r="E857" s="7">
        <v>-1.4990516053215155E-2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3">
        <f t="shared" ref="L857:L893" si="117">B857-M857+C857-N857+D857-O857</f>
        <v>-5.3656701219817471E-4</v>
      </c>
      <c r="M857" s="3">
        <v>-0.58399999999999996</v>
      </c>
      <c r="N857" s="3">
        <v>-2.0840000000000001</v>
      </c>
      <c r="O857" s="3">
        <v>-0.751</v>
      </c>
      <c r="P857" s="35">
        <v>-1.49698E-2</v>
      </c>
      <c r="Q857" s="35">
        <v>0</v>
      </c>
      <c r="R857" s="35">
        <v>0</v>
      </c>
      <c r="S857" s="35">
        <v>-4.76502E-3</v>
      </c>
      <c r="T857" s="35">
        <v>4.76502E-3</v>
      </c>
      <c r="U857" s="35">
        <v>0</v>
      </c>
      <c r="V857" s="35">
        <v>0</v>
      </c>
    </row>
    <row r="858" spans="1:22">
      <c r="A858" s="7" t="s">
        <v>230</v>
      </c>
      <c r="B858" s="8">
        <v>-1.8375474863113905</v>
      </c>
      <c r="C858" s="8">
        <v>-2.1167426559988707</v>
      </c>
      <c r="D858" s="8">
        <v>-1.2367606559382516E-2</v>
      </c>
      <c r="E858" s="7">
        <v>0</v>
      </c>
      <c r="F858" s="7">
        <v>-1.4990516053215155E-2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3">
        <f t="shared" si="112"/>
        <v>3.4225113035634205E-4</v>
      </c>
      <c r="M858" s="3">
        <v>-1.8380000000000001</v>
      </c>
      <c r="N858" s="3">
        <v>-2.117</v>
      </c>
      <c r="O858" s="3">
        <v>-1.2E-2</v>
      </c>
      <c r="P858" s="35">
        <v>0</v>
      </c>
      <c r="Q858" s="35">
        <v>-1.49698E-2</v>
      </c>
      <c r="R858" s="35">
        <v>0</v>
      </c>
      <c r="S858" s="35">
        <v>-4.76502E-3</v>
      </c>
      <c r="T858" s="35">
        <v>0</v>
      </c>
      <c r="U858" s="35">
        <v>4.76502E-3</v>
      </c>
      <c r="V858" s="35">
        <v>0</v>
      </c>
    </row>
    <row r="859" spans="1:22">
      <c r="A859" s="7"/>
      <c r="B859" s="8">
        <v>-0.60912970227287866</v>
      </c>
      <c r="C859" s="8">
        <v>0.28261535739067112</v>
      </c>
      <c r="D859" s="8">
        <v>-0.68802996689194662</v>
      </c>
      <c r="E859" s="7">
        <v>0</v>
      </c>
      <c r="F859" s="7">
        <v>0</v>
      </c>
      <c r="G859" s="7">
        <v>-1.4990516053215155E-2</v>
      </c>
      <c r="H859" s="7">
        <v>0</v>
      </c>
      <c r="I859" s="7">
        <v>0</v>
      </c>
      <c r="J859" s="7">
        <v>0</v>
      </c>
      <c r="K859" s="7">
        <v>0</v>
      </c>
      <c r="L859" s="3">
        <f t="shared" si="112"/>
        <v>-5.4431177415414922E-4</v>
      </c>
      <c r="M859" s="3">
        <v>-0.60899999999999999</v>
      </c>
      <c r="N859" s="3">
        <v>0.28299999999999997</v>
      </c>
      <c r="O859" s="3">
        <v>-0.68799999999999994</v>
      </c>
      <c r="P859" s="35">
        <v>0</v>
      </c>
      <c r="Q859" s="35">
        <v>0</v>
      </c>
      <c r="R859" s="35">
        <v>-1.49698E-2</v>
      </c>
      <c r="S859" s="35">
        <v>-4.76502E-3</v>
      </c>
      <c r="T859" s="35">
        <v>0</v>
      </c>
      <c r="U859" s="35">
        <v>0</v>
      </c>
      <c r="V859" s="35">
        <v>4.76502E-3</v>
      </c>
    </row>
    <row r="860" spans="1:22">
      <c r="A860" s="7"/>
      <c r="B860" s="8"/>
      <c r="C860" s="8"/>
      <c r="D860" s="8"/>
      <c r="E860" s="7"/>
      <c r="F860" s="7"/>
      <c r="G860" s="7"/>
      <c r="H860" s="7"/>
      <c r="I860" s="7"/>
      <c r="J860" s="7"/>
      <c r="K860" s="7"/>
    </row>
    <row r="861" spans="1:22">
      <c r="A861" s="7"/>
      <c r="B861" s="8">
        <v>-0.58367185674448252</v>
      </c>
      <c r="C861" s="8">
        <v>-2.0841504898711007</v>
      </c>
      <c r="D861" s="8">
        <v>-0.75171422039661484</v>
      </c>
      <c r="E861" s="7">
        <v>-1.4990516053215155E-2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3">
        <f t="shared" ref="L861:L897" si="118">B861-M861+C861-N861+D861-O861</f>
        <v>-5.3656701219817471E-4</v>
      </c>
      <c r="M861" s="3">
        <v>-0.58399999999999996</v>
      </c>
      <c r="N861" s="3">
        <v>-2.0840000000000001</v>
      </c>
      <c r="O861" s="3">
        <v>-0.751</v>
      </c>
      <c r="P861" s="35">
        <v>-1.49698E-2</v>
      </c>
      <c r="Q861" s="35">
        <v>0</v>
      </c>
      <c r="R861" s="35">
        <v>0</v>
      </c>
      <c r="S861" s="35">
        <v>-4.76502E-3</v>
      </c>
      <c r="T861" s="35">
        <v>4.76502E-3</v>
      </c>
      <c r="U861" s="35">
        <v>0</v>
      </c>
      <c r="V861" s="35">
        <v>0</v>
      </c>
    </row>
    <row r="862" spans="1:22">
      <c r="A862" s="7" t="s">
        <v>231</v>
      </c>
      <c r="B862" s="8">
        <v>0.45824053226673911</v>
      </c>
      <c r="C862" s="8">
        <v>-2.124969022302313</v>
      </c>
      <c r="D862" s="8">
        <v>2.076961144994538E-2</v>
      </c>
      <c r="E862" s="7">
        <v>0</v>
      </c>
      <c r="F862" s="7">
        <v>-1.4990516053215155E-2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3">
        <f t="shared" si="112"/>
        <v>4.11214143713097E-5</v>
      </c>
      <c r="M862" s="3">
        <v>0.45800000000000002</v>
      </c>
      <c r="N862" s="3">
        <v>-2.125</v>
      </c>
      <c r="O862" s="3">
        <v>2.1000000000000001E-2</v>
      </c>
      <c r="P862" s="35">
        <v>0</v>
      </c>
      <c r="Q862" s="35">
        <v>-1.49698E-2</v>
      </c>
      <c r="R862" s="35">
        <v>0</v>
      </c>
      <c r="S862" s="35">
        <v>-4.76502E-3</v>
      </c>
      <c r="T862" s="35">
        <v>0</v>
      </c>
      <c r="U862" s="35">
        <v>4.76502E-3</v>
      </c>
      <c r="V862" s="35">
        <v>0</v>
      </c>
    </row>
    <row r="863" spans="1:22">
      <c r="A863" s="7"/>
      <c r="B863" s="8">
        <v>-1.9865190328797109</v>
      </c>
      <c r="C863" s="8">
        <v>-1.2694850305255347</v>
      </c>
      <c r="D863" s="8">
        <v>-3.2127045366234341E-2</v>
      </c>
      <c r="E863" s="7">
        <v>0</v>
      </c>
      <c r="F863" s="7">
        <v>0</v>
      </c>
      <c r="G863" s="7">
        <v>-1.4990516053215155E-2</v>
      </c>
      <c r="H863" s="7">
        <v>0</v>
      </c>
      <c r="I863" s="7">
        <v>0</v>
      </c>
      <c r="J863" s="7">
        <v>0</v>
      </c>
      <c r="K863" s="7">
        <v>0</v>
      </c>
      <c r="L863" s="3">
        <f t="shared" si="112"/>
        <v>-1.3110877147995414E-4</v>
      </c>
      <c r="M863" s="3">
        <v>-1.9870000000000001</v>
      </c>
      <c r="N863" s="3">
        <v>-1.2689999999999999</v>
      </c>
      <c r="O863" s="3">
        <v>-3.2000000000000001E-2</v>
      </c>
      <c r="P863" s="35">
        <v>0</v>
      </c>
      <c r="Q863" s="35">
        <v>0</v>
      </c>
      <c r="R863" s="35">
        <v>-1.49698E-2</v>
      </c>
      <c r="S863" s="35">
        <v>-4.76502E-3</v>
      </c>
      <c r="T863" s="35">
        <v>0</v>
      </c>
      <c r="U863" s="35">
        <v>0</v>
      </c>
      <c r="V863" s="35">
        <v>4.76502E-3</v>
      </c>
    </row>
    <row r="864" spans="1:22">
      <c r="A864" s="7"/>
      <c r="B864" s="8"/>
      <c r="C864" s="8"/>
      <c r="D864" s="8"/>
      <c r="E864" s="7"/>
      <c r="F864" s="7"/>
      <c r="G864" s="7"/>
      <c r="H864" s="7"/>
      <c r="I864" s="7"/>
      <c r="J864" s="7"/>
      <c r="K864" s="7"/>
    </row>
    <row r="865" spans="1:22">
      <c r="A865" s="7"/>
      <c r="B865" s="8">
        <v>-0.58367185674448252</v>
      </c>
      <c r="C865" s="8">
        <v>-2.0841504898711007</v>
      </c>
      <c r="D865" s="8">
        <v>-0.75171422039661484</v>
      </c>
      <c r="E865" s="7">
        <v>-1.4990516053215155E-2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3">
        <f t="shared" ref="L865" si="119">B865-M865+C865-N865+D865-O865</f>
        <v>-5.3656701219817471E-4</v>
      </c>
      <c r="M865" s="3">
        <v>-0.58399999999999996</v>
      </c>
      <c r="N865" s="3">
        <v>-2.0840000000000001</v>
      </c>
      <c r="O865" s="3">
        <v>-0.751</v>
      </c>
      <c r="P865" s="35">
        <v>-1.49698E-2</v>
      </c>
      <c r="Q865" s="35">
        <v>0</v>
      </c>
      <c r="R865" s="35">
        <v>0</v>
      </c>
      <c r="S865" s="35">
        <v>-4.76502E-3</v>
      </c>
      <c r="T865" s="35">
        <v>4.76502E-3</v>
      </c>
      <c r="U865" s="35">
        <v>0</v>
      </c>
      <c r="V865" s="35">
        <v>0</v>
      </c>
    </row>
    <row r="866" spans="1:22">
      <c r="A866" s="7" t="s">
        <v>232</v>
      </c>
      <c r="B866" s="8">
        <v>0.45824053226673911</v>
      </c>
      <c r="C866" s="8">
        <v>-2.124969022302313</v>
      </c>
      <c r="D866" s="8">
        <v>2.076961144994538E-2</v>
      </c>
      <c r="E866" s="7">
        <v>0</v>
      </c>
      <c r="F866" s="7">
        <v>-1.4990516053215155E-2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3">
        <f t="shared" si="111"/>
        <v>4.11214143713097E-5</v>
      </c>
      <c r="M866" s="3">
        <v>0.45800000000000002</v>
      </c>
      <c r="N866" s="3">
        <v>-2.125</v>
      </c>
      <c r="O866" s="3">
        <v>2.1000000000000001E-2</v>
      </c>
      <c r="P866" s="35">
        <v>0</v>
      </c>
      <c r="Q866" s="35">
        <v>-1.49698E-2</v>
      </c>
      <c r="R866" s="35">
        <v>0</v>
      </c>
      <c r="S866" s="35">
        <v>-4.76502E-3</v>
      </c>
      <c r="T866" s="35">
        <v>0</v>
      </c>
      <c r="U866" s="35">
        <v>4.76502E-3</v>
      </c>
      <c r="V866" s="35">
        <v>0</v>
      </c>
    </row>
    <row r="867" spans="1:22">
      <c r="A867" s="7"/>
      <c r="B867" s="8">
        <v>0.85843073718374274</v>
      </c>
      <c r="C867" s="8">
        <v>-1.040962775001312</v>
      </c>
      <c r="D867" s="8">
        <v>3.7610117674176324E-2</v>
      </c>
      <c r="E867" s="7">
        <v>0</v>
      </c>
      <c r="F867" s="7">
        <v>0</v>
      </c>
      <c r="G867" s="7">
        <v>-1.4990516053215155E-2</v>
      </c>
      <c r="H867" s="7">
        <v>0</v>
      </c>
      <c r="I867" s="7">
        <v>0</v>
      </c>
      <c r="J867" s="7">
        <v>0</v>
      </c>
      <c r="K867" s="7">
        <v>0</v>
      </c>
      <c r="L867" s="3">
        <f t="shared" si="111"/>
        <v>7.807985660693989E-5</v>
      </c>
      <c r="M867" s="3">
        <v>0.85799999999999998</v>
      </c>
      <c r="N867" s="3">
        <v>-1.0409999999999999</v>
      </c>
      <c r="O867" s="3">
        <v>3.7999999999999999E-2</v>
      </c>
      <c r="P867" s="35">
        <v>0</v>
      </c>
      <c r="Q867" s="35">
        <v>0</v>
      </c>
      <c r="R867" s="35">
        <v>-1.49698E-2</v>
      </c>
      <c r="S867" s="35">
        <v>-4.76502E-3</v>
      </c>
      <c r="T867" s="35">
        <v>0</v>
      </c>
      <c r="U867" s="35">
        <v>0</v>
      </c>
      <c r="V867" s="35">
        <v>4.76502E-3</v>
      </c>
    </row>
    <row r="868" spans="1:22">
      <c r="A868" s="7"/>
      <c r="B868" s="8"/>
      <c r="C868" s="8"/>
      <c r="D868" s="8"/>
      <c r="E868" s="7"/>
      <c r="F868" s="7"/>
      <c r="G868" s="7"/>
      <c r="H868" s="7"/>
      <c r="I868" s="7"/>
      <c r="J868" s="7"/>
      <c r="K868" s="7"/>
    </row>
    <row r="869" spans="1:22">
      <c r="A869" s="7"/>
      <c r="B869" s="8">
        <v>-0.58367185674448252</v>
      </c>
      <c r="C869" s="8">
        <v>-2.0841504898711007</v>
      </c>
      <c r="D869" s="8">
        <v>-0.75171422039661484</v>
      </c>
      <c r="E869" s="7">
        <v>-1.4990516053215155E-2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3">
        <f t="shared" si="112"/>
        <v>-5.3656701219817471E-4</v>
      </c>
      <c r="M869" s="3">
        <v>-0.58399999999999996</v>
      </c>
      <c r="N869" s="3">
        <v>-2.0840000000000001</v>
      </c>
      <c r="O869" s="3">
        <v>-0.751</v>
      </c>
      <c r="P869" s="35">
        <v>-1.49698E-2</v>
      </c>
      <c r="Q869" s="35">
        <v>0</v>
      </c>
      <c r="R869" s="35">
        <v>0</v>
      </c>
      <c r="S869" s="35">
        <v>-4.76502E-3</v>
      </c>
      <c r="T869" s="35">
        <v>4.76502E-3</v>
      </c>
      <c r="U869" s="35">
        <v>0</v>
      </c>
      <c r="V869" s="35">
        <v>0</v>
      </c>
    </row>
    <row r="870" spans="1:22">
      <c r="A870" s="7" t="s">
        <v>233</v>
      </c>
      <c r="B870" s="8">
        <v>0.45824053226673911</v>
      </c>
      <c r="C870" s="8">
        <v>-2.124969022302313</v>
      </c>
      <c r="D870" s="8">
        <v>2.076961144994538E-2</v>
      </c>
      <c r="E870" s="7">
        <v>0</v>
      </c>
      <c r="F870" s="7">
        <v>-1.4990516053215155E-2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3">
        <f t="shared" si="112"/>
        <v>4.11214143713097E-5</v>
      </c>
      <c r="M870" s="3">
        <v>0.45800000000000002</v>
      </c>
      <c r="N870" s="3">
        <v>-2.125</v>
      </c>
      <c r="O870" s="3">
        <v>2.1000000000000001E-2</v>
      </c>
      <c r="P870" s="35">
        <v>0</v>
      </c>
      <c r="Q870" s="35">
        <v>-1.49698E-2</v>
      </c>
      <c r="R870" s="35">
        <v>0</v>
      </c>
      <c r="S870" s="35">
        <v>-4.76502E-3</v>
      </c>
      <c r="T870" s="35">
        <v>0</v>
      </c>
      <c r="U870" s="35">
        <v>4.76502E-3</v>
      </c>
      <c r="V870" s="35">
        <v>0</v>
      </c>
    </row>
    <row r="871" spans="1:22">
      <c r="A871" s="7"/>
      <c r="B871" s="8">
        <v>-1.6188303733889171</v>
      </c>
      <c r="C871" s="8">
        <v>1.9594494251009342E-2</v>
      </c>
      <c r="D871" s="8">
        <v>7.7422792294721043E-2</v>
      </c>
      <c r="E871" s="7">
        <v>0</v>
      </c>
      <c r="F871" s="7">
        <v>0</v>
      </c>
      <c r="G871" s="7">
        <v>-1.4990516053215155E-2</v>
      </c>
      <c r="H871" s="7">
        <v>0</v>
      </c>
      <c r="I871" s="7">
        <v>0</v>
      </c>
      <c r="J871" s="7">
        <v>0</v>
      </c>
      <c r="K871" s="7">
        <v>0</v>
      </c>
      <c r="L871" s="3">
        <f t="shared" si="112"/>
        <v>-8.130868431867333E-4</v>
      </c>
      <c r="M871" s="3">
        <v>-1.619</v>
      </c>
      <c r="N871" s="3">
        <v>0.02</v>
      </c>
      <c r="O871" s="3">
        <v>7.8E-2</v>
      </c>
      <c r="P871" s="35">
        <v>0</v>
      </c>
      <c r="Q871" s="35">
        <v>0</v>
      </c>
      <c r="R871" s="35">
        <v>-1.49698E-2</v>
      </c>
      <c r="S871" s="35">
        <v>-4.76502E-3</v>
      </c>
      <c r="T871" s="35">
        <v>0</v>
      </c>
      <c r="U871" s="35">
        <v>0</v>
      </c>
      <c r="V871" s="35">
        <v>4.76502E-3</v>
      </c>
    </row>
    <row r="872" spans="1:22">
      <c r="A872" s="7"/>
      <c r="B872" s="8"/>
      <c r="C872" s="8"/>
      <c r="D872" s="8"/>
      <c r="E872" s="7"/>
      <c r="F872" s="7"/>
      <c r="G872" s="7"/>
      <c r="H872" s="7"/>
      <c r="I872" s="7"/>
      <c r="J872" s="7"/>
      <c r="K872" s="7"/>
    </row>
    <row r="873" spans="1:22">
      <c r="A873" s="7"/>
      <c r="B873" s="8">
        <v>-0.58367185674448252</v>
      </c>
      <c r="C873" s="8">
        <v>-2.0841504898711007</v>
      </c>
      <c r="D873" s="8">
        <v>-0.75171422039661484</v>
      </c>
      <c r="E873" s="7">
        <v>-1.4990516053215155E-2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3">
        <f t="shared" si="112"/>
        <v>-5.3656701219817471E-4</v>
      </c>
      <c r="M873" s="3">
        <v>-0.58399999999999996</v>
      </c>
      <c r="N873" s="3">
        <v>-2.0840000000000001</v>
      </c>
      <c r="O873" s="3">
        <v>-0.751</v>
      </c>
      <c r="P873" s="35">
        <v>-1.49698E-2</v>
      </c>
      <c r="Q873" s="35">
        <v>0</v>
      </c>
      <c r="R873" s="35">
        <v>0</v>
      </c>
      <c r="S873" s="35">
        <v>-4.76502E-3</v>
      </c>
      <c r="T873" s="35">
        <v>4.76502E-3</v>
      </c>
      <c r="U873" s="35">
        <v>0</v>
      </c>
      <c r="V873" s="35">
        <v>0</v>
      </c>
    </row>
    <row r="874" spans="1:22">
      <c r="A874" s="7" t="s">
        <v>234</v>
      </c>
      <c r="B874" s="8">
        <v>0.45824053226673911</v>
      </c>
      <c r="C874" s="8">
        <v>-2.124969022302313</v>
      </c>
      <c r="D874" s="8">
        <v>2.076961144994538E-2</v>
      </c>
      <c r="E874" s="7">
        <v>0</v>
      </c>
      <c r="F874" s="7">
        <v>-1.4990516053215155E-2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3">
        <f t="shared" si="112"/>
        <v>4.11214143713097E-5</v>
      </c>
      <c r="M874" s="3">
        <v>0.45800000000000002</v>
      </c>
      <c r="N874" s="3">
        <v>-2.125</v>
      </c>
      <c r="O874" s="3">
        <v>2.1000000000000001E-2</v>
      </c>
      <c r="P874" s="35">
        <v>0</v>
      </c>
      <c r="Q874" s="35">
        <v>-1.49698E-2</v>
      </c>
      <c r="R874" s="35">
        <v>0</v>
      </c>
      <c r="S874" s="35">
        <v>-4.76502E-3</v>
      </c>
      <c r="T874" s="35">
        <v>0</v>
      </c>
      <c r="U874" s="35">
        <v>4.76502E-3</v>
      </c>
      <c r="V874" s="35">
        <v>0</v>
      </c>
    </row>
    <row r="875" spans="1:22">
      <c r="A875" s="7"/>
      <c r="B875" s="8">
        <v>-0.60912970227287866</v>
      </c>
      <c r="C875" s="8">
        <v>0.28261535739067112</v>
      </c>
      <c r="D875" s="8">
        <v>-0.68802996689194662</v>
      </c>
      <c r="E875" s="7">
        <v>0</v>
      </c>
      <c r="F875" s="7">
        <v>0</v>
      </c>
      <c r="G875" s="7">
        <v>-1.4990516053215155E-2</v>
      </c>
      <c r="H875" s="7">
        <v>0</v>
      </c>
      <c r="I875" s="7">
        <v>0</v>
      </c>
      <c r="J875" s="7">
        <v>0</v>
      </c>
      <c r="K875" s="7">
        <v>0</v>
      </c>
      <c r="L875" s="3">
        <f t="shared" si="112"/>
        <v>-5.4431177415414922E-4</v>
      </c>
      <c r="M875" s="3">
        <v>-0.60899999999999999</v>
      </c>
      <c r="N875" s="3">
        <v>0.28299999999999997</v>
      </c>
      <c r="O875" s="3">
        <v>-0.68799999999999994</v>
      </c>
      <c r="P875" s="35">
        <v>0</v>
      </c>
      <c r="Q875" s="35">
        <v>0</v>
      </c>
      <c r="R875" s="35">
        <v>-1.49698E-2</v>
      </c>
      <c r="S875" s="35">
        <v>-4.76502E-3</v>
      </c>
      <c r="T875" s="35">
        <v>0</v>
      </c>
      <c r="U875" s="35">
        <v>0</v>
      </c>
      <c r="V875" s="35">
        <v>4.76502E-3</v>
      </c>
    </row>
    <row r="876" spans="1:22">
      <c r="A876" s="7"/>
      <c r="B876" s="8"/>
      <c r="C876" s="8"/>
      <c r="D876" s="8"/>
      <c r="E876" s="7"/>
      <c r="F876" s="7"/>
      <c r="G876" s="7"/>
      <c r="H876" s="7"/>
      <c r="I876" s="7"/>
      <c r="J876" s="7"/>
      <c r="K876" s="7"/>
    </row>
    <row r="877" spans="1:22">
      <c r="A877" s="7"/>
      <c r="B877" s="8">
        <v>-0.58367185674448252</v>
      </c>
      <c r="C877" s="8">
        <v>-2.0841504898711007</v>
      </c>
      <c r="D877" s="8">
        <v>-0.75171422039661484</v>
      </c>
      <c r="E877" s="7">
        <v>-1.4990516053215155E-2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3">
        <f t="shared" si="113"/>
        <v>-5.3656701219817471E-4</v>
      </c>
      <c r="M877" s="3">
        <v>-0.58399999999999996</v>
      </c>
      <c r="N877" s="3">
        <v>-2.0840000000000001</v>
      </c>
      <c r="O877" s="3">
        <v>-0.751</v>
      </c>
      <c r="P877" s="35">
        <v>-1.49698E-2</v>
      </c>
      <c r="Q877" s="35">
        <v>0</v>
      </c>
      <c r="R877" s="35">
        <v>0</v>
      </c>
      <c r="S877" s="35">
        <v>-4.76502E-3</v>
      </c>
      <c r="T877" s="35">
        <v>4.76502E-3</v>
      </c>
      <c r="U877" s="35">
        <v>0</v>
      </c>
      <c r="V877" s="35">
        <v>0</v>
      </c>
    </row>
    <row r="878" spans="1:22">
      <c r="A878" s="7" t="s">
        <v>235</v>
      </c>
      <c r="B878" s="8">
        <v>-1.9865190328797109</v>
      </c>
      <c r="C878" s="8">
        <v>-1.2694850305255347</v>
      </c>
      <c r="D878" s="8">
        <v>-3.2127045366234341E-2</v>
      </c>
      <c r="E878" s="7">
        <v>0</v>
      </c>
      <c r="F878" s="7">
        <v>-1.4990516053215155E-2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3">
        <f t="shared" si="112"/>
        <v>-1.3110877147995414E-4</v>
      </c>
      <c r="M878" s="3">
        <v>-1.9870000000000001</v>
      </c>
      <c r="N878" s="3">
        <v>-1.2689999999999999</v>
      </c>
      <c r="O878" s="3">
        <v>-3.2000000000000001E-2</v>
      </c>
      <c r="P878" s="35">
        <v>0</v>
      </c>
      <c r="Q878" s="35">
        <v>-1.49698E-2</v>
      </c>
      <c r="R878" s="35">
        <v>0</v>
      </c>
      <c r="S878" s="35">
        <v>-4.76502E-3</v>
      </c>
      <c r="T878" s="35">
        <v>0</v>
      </c>
      <c r="U878" s="35">
        <v>4.76502E-3</v>
      </c>
      <c r="V878" s="35">
        <v>0</v>
      </c>
    </row>
    <row r="879" spans="1:22">
      <c r="A879" s="7"/>
      <c r="B879" s="8">
        <v>0.85843073718374274</v>
      </c>
      <c r="C879" s="8">
        <v>-1.040962775001312</v>
      </c>
      <c r="D879" s="8">
        <v>3.7610117674176324E-2</v>
      </c>
      <c r="E879" s="7">
        <v>0</v>
      </c>
      <c r="F879" s="7">
        <v>0</v>
      </c>
      <c r="G879" s="7">
        <v>-1.4990516053215155E-2</v>
      </c>
      <c r="H879" s="7">
        <v>0</v>
      </c>
      <c r="I879" s="7">
        <v>0</v>
      </c>
      <c r="J879" s="7">
        <v>0</v>
      </c>
      <c r="K879" s="7">
        <v>0</v>
      </c>
      <c r="L879" s="3">
        <f t="shared" si="112"/>
        <v>7.807985660693989E-5</v>
      </c>
      <c r="M879" s="3">
        <v>0.85799999999999998</v>
      </c>
      <c r="N879" s="3">
        <v>-1.0409999999999999</v>
      </c>
      <c r="O879" s="3">
        <v>3.7999999999999999E-2</v>
      </c>
      <c r="P879" s="35">
        <v>0</v>
      </c>
      <c r="Q879" s="35">
        <v>0</v>
      </c>
      <c r="R879" s="35">
        <v>-1.49698E-2</v>
      </c>
      <c r="S879" s="35">
        <v>-4.76502E-3</v>
      </c>
      <c r="T879" s="35">
        <v>0</v>
      </c>
      <c r="U879" s="35">
        <v>0</v>
      </c>
      <c r="V879" s="35">
        <v>4.76502E-3</v>
      </c>
    </row>
    <row r="880" spans="1:22">
      <c r="A880" s="7"/>
      <c r="B880" s="8"/>
      <c r="C880" s="8"/>
      <c r="D880" s="8"/>
      <c r="E880" s="7"/>
      <c r="F880" s="7"/>
      <c r="G880" s="7"/>
      <c r="H880" s="7"/>
      <c r="I880" s="7"/>
      <c r="J880" s="7"/>
      <c r="K880" s="7"/>
    </row>
    <row r="881" spans="1:22">
      <c r="A881" s="7"/>
      <c r="B881" s="8">
        <v>-0.58367185674448252</v>
      </c>
      <c r="C881" s="8">
        <v>-2.0841504898711007</v>
      </c>
      <c r="D881" s="8">
        <v>-0.75171422039661484</v>
      </c>
      <c r="E881" s="7">
        <v>-1.4990516053215155E-2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 s="3">
        <f t="shared" si="114"/>
        <v>-5.3656701219817471E-4</v>
      </c>
      <c r="M881" s="3">
        <v>-0.58399999999999996</v>
      </c>
      <c r="N881" s="3">
        <v>-2.0840000000000001</v>
      </c>
      <c r="O881" s="3">
        <v>-0.751</v>
      </c>
      <c r="P881" s="35">
        <v>-1.49698E-2</v>
      </c>
      <c r="Q881" s="35">
        <v>0</v>
      </c>
      <c r="R881" s="35">
        <v>0</v>
      </c>
      <c r="S881" s="35">
        <v>-4.76502E-3</v>
      </c>
      <c r="T881" s="35">
        <v>4.76502E-3</v>
      </c>
      <c r="U881" s="35">
        <v>0</v>
      </c>
      <c r="V881" s="35">
        <v>0</v>
      </c>
    </row>
    <row r="882" spans="1:22">
      <c r="A882" s="7" t="s">
        <v>236</v>
      </c>
      <c r="B882" s="8">
        <v>-1.9865190328797109</v>
      </c>
      <c r="C882" s="8">
        <v>-1.2694850305255347</v>
      </c>
      <c r="D882" s="8">
        <v>-3.2127045366234341E-2</v>
      </c>
      <c r="E882" s="7">
        <v>0</v>
      </c>
      <c r="F882" s="7">
        <v>-1.4990516053215155E-2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3">
        <f t="shared" si="112"/>
        <v>-1.3110877147995414E-4</v>
      </c>
      <c r="M882" s="3">
        <v>-1.9870000000000001</v>
      </c>
      <c r="N882" s="3">
        <v>-1.2689999999999999</v>
      </c>
      <c r="O882" s="3">
        <v>-3.2000000000000001E-2</v>
      </c>
      <c r="P882" s="35">
        <v>0</v>
      </c>
      <c r="Q882" s="35">
        <v>-1.49698E-2</v>
      </c>
      <c r="R882" s="35">
        <v>0</v>
      </c>
      <c r="S882" s="35">
        <v>-4.76502E-3</v>
      </c>
      <c r="T882" s="35">
        <v>0</v>
      </c>
      <c r="U882" s="35">
        <v>4.76502E-3</v>
      </c>
      <c r="V882" s="35">
        <v>0</v>
      </c>
    </row>
    <row r="883" spans="1:22">
      <c r="A883" s="7"/>
      <c r="B883" s="8">
        <v>-1.6188303733889171</v>
      </c>
      <c r="C883" s="8">
        <v>1.9594494251009342E-2</v>
      </c>
      <c r="D883" s="8">
        <v>7.7422792294721043E-2</v>
      </c>
      <c r="E883" s="7">
        <v>0</v>
      </c>
      <c r="F883" s="7">
        <v>0</v>
      </c>
      <c r="G883" s="7">
        <v>-1.4990516053215155E-2</v>
      </c>
      <c r="H883" s="7">
        <v>0</v>
      </c>
      <c r="I883" s="7">
        <v>0</v>
      </c>
      <c r="J883" s="7">
        <v>0</v>
      </c>
      <c r="K883" s="7">
        <v>0</v>
      </c>
      <c r="L883" s="3">
        <f t="shared" si="112"/>
        <v>-8.130868431867333E-4</v>
      </c>
      <c r="M883" s="3">
        <v>-1.619</v>
      </c>
      <c r="N883" s="3">
        <v>0.02</v>
      </c>
      <c r="O883" s="3">
        <v>7.8E-2</v>
      </c>
      <c r="P883" s="35">
        <v>0</v>
      </c>
      <c r="Q883" s="35">
        <v>0</v>
      </c>
      <c r="R883" s="35">
        <v>-1.49698E-2</v>
      </c>
      <c r="S883" s="35">
        <v>-4.76502E-3</v>
      </c>
      <c r="T883" s="35">
        <v>0</v>
      </c>
      <c r="U883" s="35">
        <v>0</v>
      </c>
      <c r="V883" s="35">
        <v>4.76502E-3</v>
      </c>
    </row>
    <row r="884" spans="1:22">
      <c r="A884" s="7"/>
      <c r="B884" s="8"/>
      <c r="C884" s="8"/>
      <c r="D884" s="8"/>
      <c r="E884" s="7"/>
      <c r="F884" s="7"/>
      <c r="G884" s="7"/>
      <c r="H884" s="7"/>
      <c r="I884" s="7"/>
      <c r="J884" s="7"/>
      <c r="K884" s="7"/>
    </row>
    <row r="885" spans="1:22">
      <c r="A885" s="7"/>
      <c r="B885" s="8">
        <v>-0.58367185674448252</v>
      </c>
      <c r="C885" s="8">
        <v>-2.0841504898711007</v>
      </c>
      <c r="D885" s="8">
        <v>-0.75171422039661484</v>
      </c>
      <c r="E885" s="7">
        <v>-1.4990516053215155E-2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 s="3">
        <f t="shared" si="115"/>
        <v>-5.3656701219817471E-4</v>
      </c>
      <c r="M885" s="3">
        <v>-0.58399999999999996</v>
      </c>
      <c r="N885" s="3">
        <v>-2.0840000000000001</v>
      </c>
      <c r="O885" s="3">
        <v>-0.751</v>
      </c>
      <c r="P885" s="35">
        <v>-1.49698E-2</v>
      </c>
      <c r="Q885" s="35">
        <v>0</v>
      </c>
      <c r="R885" s="35">
        <v>0</v>
      </c>
      <c r="S885" s="35">
        <v>-4.76502E-3</v>
      </c>
      <c r="T885" s="35">
        <v>4.76502E-3</v>
      </c>
      <c r="U885" s="35">
        <v>0</v>
      </c>
      <c r="V885" s="35">
        <v>0</v>
      </c>
    </row>
    <row r="886" spans="1:22">
      <c r="A886" s="7" t="s">
        <v>237</v>
      </c>
      <c r="B886" s="8">
        <v>-1.9865190328797109</v>
      </c>
      <c r="C886" s="8">
        <v>-1.2694850305255347</v>
      </c>
      <c r="D886" s="8">
        <v>-3.2127045366234341E-2</v>
      </c>
      <c r="E886" s="7">
        <v>0</v>
      </c>
      <c r="F886" s="7">
        <v>-1.4990516053215155E-2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L886" s="3">
        <f t="shared" si="112"/>
        <v>-1.3110877147995414E-4</v>
      </c>
      <c r="M886" s="3">
        <v>-1.9870000000000001</v>
      </c>
      <c r="N886" s="3">
        <v>-1.2689999999999999</v>
      </c>
      <c r="O886" s="3">
        <v>-3.2000000000000001E-2</v>
      </c>
      <c r="P886" s="35">
        <v>0</v>
      </c>
      <c r="Q886" s="35">
        <v>-1.49698E-2</v>
      </c>
      <c r="R886" s="35">
        <v>0</v>
      </c>
      <c r="S886" s="35">
        <v>-4.76502E-3</v>
      </c>
      <c r="T886" s="35">
        <v>0</v>
      </c>
      <c r="U886" s="35">
        <v>4.76502E-3</v>
      </c>
      <c r="V886" s="35">
        <v>0</v>
      </c>
    </row>
    <row r="887" spans="1:22">
      <c r="A887" s="7"/>
      <c r="B887" s="8">
        <v>-0.60912970227287866</v>
      </c>
      <c r="C887" s="8">
        <v>0.28261535739067112</v>
      </c>
      <c r="D887" s="8">
        <v>-0.68802996689194662</v>
      </c>
      <c r="E887" s="7">
        <v>0</v>
      </c>
      <c r="F887" s="7">
        <v>0</v>
      </c>
      <c r="G887" s="7">
        <v>-1.4990516053215155E-2</v>
      </c>
      <c r="H887" s="7">
        <v>0</v>
      </c>
      <c r="I887" s="7">
        <v>0</v>
      </c>
      <c r="J887" s="7">
        <v>0</v>
      </c>
      <c r="K887" s="7">
        <v>0</v>
      </c>
      <c r="L887" s="3">
        <f t="shared" si="112"/>
        <v>-5.4431177415414922E-4</v>
      </c>
      <c r="M887" s="3">
        <v>-0.60899999999999999</v>
      </c>
      <c r="N887" s="3">
        <v>0.28299999999999997</v>
      </c>
      <c r="O887" s="3">
        <v>-0.68799999999999994</v>
      </c>
      <c r="P887" s="35">
        <v>0</v>
      </c>
      <c r="Q887" s="35">
        <v>0</v>
      </c>
      <c r="R887" s="35">
        <v>-1.49698E-2</v>
      </c>
      <c r="S887" s="35">
        <v>-4.76502E-3</v>
      </c>
      <c r="T887" s="35">
        <v>0</v>
      </c>
      <c r="U887" s="35">
        <v>0</v>
      </c>
      <c r="V887" s="35">
        <v>4.76502E-3</v>
      </c>
    </row>
    <row r="888" spans="1:22">
      <c r="A888" s="7"/>
      <c r="B888" s="8"/>
      <c r="C888" s="8"/>
      <c r="D888" s="8"/>
      <c r="E888" s="7"/>
      <c r="F888" s="7"/>
      <c r="G888" s="7"/>
      <c r="H888" s="7"/>
      <c r="I888" s="7"/>
      <c r="J888" s="7"/>
      <c r="K888" s="7"/>
    </row>
    <row r="889" spans="1:22">
      <c r="A889" s="7"/>
      <c r="B889" s="8">
        <v>-0.58367185674448252</v>
      </c>
      <c r="C889" s="8">
        <v>-2.0841504898711007</v>
      </c>
      <c r="D889" s="8">
        <v>-0.75171422039661484</v>
      </c>
      <c r="E889" s="7">
        <v>-1.4990516053215155E-2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 s="3">
        <f t="shared" si="116"/>
        <v>-5.3656701219817471E-4</v>
      </c>
      <c r="M889" s="3">
        <v>-0.58399999999999996</v>
      </c>
      <c r="N889" s="3">
        <v>-2.0840000000000001</v>
      </c>
      <c r="O889" s="3">
        <v>-0.751</v>
      </c>
      <c r="P889" s="35">
        <v>-1.49698E-2</v>
      </c>
      <c r="Q889" s="35">
        <v>0</v>
      </c>
      <c r="R889" s="35">
        <v>0</v>
      </c>
      <c r="S889" s="35">
        <v>-4.76502E-3</v>
      </c>
      <c r="T889" s="35">
        <v>4.76502E-3</v>
      </c>
      <c r="U889" s="35">
        <v>0</v>
      </c>
      <c r="V889" s="35">
        <v>0</v>
      </c>
    </row>
    <row r="890" spans="1:22">
      <c r="A890" s="7" t="s">
        <v>238</v>
      </c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-1.4990516053215155E-2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L890" s="3">
        <f t="shared" si="112"/>
        <v>7.807985660693989E-5</v>
      </c>
      <c r="M890" s="3">
        <v>0.85799999999999998</v>
      </c>
      <c r="N890" s="3">
        <v>-1.0409999999999999</v>
      </c>
      <c r="O890" s="3">
        <v>3.7999999999999999E-2</v>
      </c>
      <c r="P890" s="35">
        <v>0</v>
      </c>
      <c r="Q890" s="35">
        <v>-1.49698E-2</v>
      </c>
      <c r="R890" s="35">
        <v>0</v>
      </c>
      <c r="S890" s="35">
        <v>-4.76502E-3</v>
      </c>
      <c r="T890" s="35">
        <v>0</v>
      </c>
      <c r="U890" s="35">
        <v>4.76502E-3</v>
      </c>
      <c r="V890" s="35">
        <v>0</v>
      </c>
    </row>
    <row r="891" spans="1:22">
      <c r="A891" s="7"/>
      <c r="B891" s="8">
        <v>-1.6188303733889171</v>
      </c>
      <c r="C891" s="8">
        <v>1.9594494251009342E-2</v>
      </c>
      <c r="D891" s="8">
        <v>7.7422792294721043E-2</v>
      </c>
      <c r="E891" s="7">
        <v>0</v>
      </c>
      <c r="F891" s="7">
        <v>0</v>
      </c>
      <c r="G891" s="7">
        <v>-1.4990516053215155E-2</v>
      </c>
      <c r="H891" s="7">
        <v>0</v>
      </c>
      <c r="I891" s="7">
        <v>0</v>
      </c>
      <c r="J891" s="7">
        <v>0</v>
      </c>
      <c r="K891" s="7">
        <v>0</v>
      </c>
      <c r="L891" s="3">
        <f t="shared" si="112"/>
        <v>-8.130868431867333E-4</v>
      </c>
      <c r="M891" s="3">
        <v>-1.619</v>
      </c>
      <c r="N891" s="3">
        <v>0.02</v>
      </c>
      <c r="O891" s="3">
        <v>7.8E-2</v>
      </c>
      <c r="P891" s="35">
        <v>0</v>
      </c>
      <c r="Q891" s="35">
        <v>0</v>
      </c>
      <c r="R891" s="35">
        <v>-1.49698E-2</v>
      </c>
      <c r="S891" s="35">
        <v>-4.76502E-3</v>
      </c>
      <c r="T891" s="35">
        <v>0</v>
      </c>
      <c r="U891" s="35">
        <v>0</v>
      </c>
      <c r="V891" s="35">
        <v>4.76502E-3</v>
      </c>
    </row>
    <row r="892" spans="1:22">
      <c r="A892" s="7"/>
      <c r="B892" s="8"/>
      <c r="C892" s="8"/>
      <c r="D892" s="8"/>
      <c r="E892" s="7"/>
      <c r="F892" s="7"/>
      <c r="G892" s="7"/>
      <c r="H892" s="7"/>
      <c r="I892" s="7"/>
      <c r="J892" s="7"/>
      <c r="K892" s="7"/>
    </row>
    <row r="893" spans="1:22">
      <c r="A893" s="7"/>
      <c r="B893" s="8">
        <v>-0.58367185674448252</v>
      </c>
      <c r="C893" s="8">
        <v>-2.0841504898711007</v>
      </c>
      <c r="D893" s="8">
        <v>-0.75171422039661484</v>
      </c>
      <c r="E893" s="7">
        <v>-1.4990516053215155E-2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3">
        <f t="shared" si="117"/>
        <v>-5.3656701219817471E-4</v>
      </c>
      <c r="M893" s="3">
        <v>-0.58399999999999996</v>
      </c>
      <c r="N893" s="3">
        <v>-2.0840000000000001</v>
      </c>
      <c r="O893" s="3">
        <v>-0.751</v>
      </c>
      <c r="P893" s="35">
        <v>-1.49698E-2</v>
      </c>
      <c r="Q893" s="35">
        <v>0</v>
      </c>
      <c r="R893" s="35">
        <v>0</v>
      </c>
      <c r="S893" s="35">
        <v>-4.76502E-3</v>
      </c>
      <c r="T893" s="35">
        <v>4.76502E-3</v>
      </c>
      <c r="U893" s="35">
        <v>0</v>
      </c>
      <c r="V893" s="35">
        <v>0</v>
      </c>
    </row>
    <row r="894" spans="1:22">
      <c r="A894" s="7" t="s">
        <v>239</v>
      </c>
      <c r="B894" s="8">
        <v>0.85843073718374274</v>
      </c>
      <c r="C894" s="8">
        <v>-1.040962775001312</v>
      </c>
      <c r="D894" s="8">
        <v>3.7610117674176324E-2</v>
      </c>
      <c r="E894" s="7">
        <v>0</v>
      </c>
      <c r="F894" s="7">
        <v>-1.4990516053215155E-2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3">
        <f t="shared" si="112"/>
        <v>7.807985660693989E-5</v>
      </c>
      <c r="M894" s="3">
        <v>0.85799999999999998</v>
      </c>
      <c r="N894" s="3">
        <v>-1.0409999999999999</v>
      </c>
      <c r="O894" s="3">
        <v>3.7999999999999999E-2</v>
      </c>
      <c r="P894" s="35">
        <v>0</v>
      </c>
      <c r="Q894" s="35">
        <v>-1.49698E-2</v>
      </c>
      <c r="R894" s="35">
        <v>0</v>
      </c>
      <c r="S894" s="35">
        <v>-4.76502E-3</v>
      </c>
      <c r="T894" s="35">
        <v>0</v>
      </c>
      <c r="U894" s="35">
        <v>4.76502E-3</v>
      </c>
      <c r="V894" s="35">
        <v>0</v>
      </c>
    </row>
    <row r="895" spans="1:22">
      <c r="A895" s="7"/>
      <c r="B895" s="8">
        <v>-0.60912970227287866</v>
      </c>
      <c r="C895" s="8">
        <v>0.28261535739067112</v>
      </c>
      <c r="D895" s="8">
        <v>-0.68802996689194662</v>
      </c>
      <c r="E895" s="7">
        <v>0</v>
      </c>
      <c r="F895" s="7">
        <v>0</v>
      </c>
      <c r="G895" s="7">
        <v>-1.4990516053215155E-2</v>
      </c>
      <c r="H895" s="7">
        <v>0</v>
      </c>
      <c r="I895" s="7">
        <v>0</v>
      </c>
      <c r="J895" s="7">
        <v>0</v>
      </c>
      <c r="K895" s="7">
        <v>0</v>
      </c>
      <c r="L895" s="3">
        <f t="shared" si="112"/>
        <v>-5.4431177415414922E-4</v>
      </c>
      <c r="M895" s="3">
        <v>-0.60899999999999999</v>
      </c>
      <c r="N895" s="3">
        <v>0.28299999999999997</v>
      </c>
      <c r="O895" s="3">
        <v>-0.68799999999999994</v>
      </c>
      <c r="P895" s="35">
        <v>0</v>
      </c>
      <c r="Q895" s="35">
        <v>0</v>
      </c>
      <c r="R895" s="35">
        <v>-1.49698E-2</v>
      </c>
      <c r="S895" s="35">
        <v>-4.76502E-3</v>
      </c>
      <c r="T895" s="35">
        <v>0</v>
      </c>
      <c r="U895" s="35">
        <v>0</v>
      </c>
      <c r="V895" s="35">
        <v>4.76502E-3</v>
      </c>
    </row>
    <row r="896" spans="1:22">
      <c r="A896" s="7"/>
      <c r="B896" s="8"/>
      <c r="C896" s="8"/>
      <c r="D896" s="8"/>
      <c r="E896" s="7"/>
      <c r="F896" s="7"/>
      <c r="G896" s="7"/>
      <c r="H896" s="7"/>
      <c r="I896" s="7"/>
      <c r="J896" s="7"/>
      <c r="K896" s="7"/>
    </row>
    <row r="897" spans="1:22">
      <c r="A897" s="7"/>
      <c r="B897" s="8">
        <v>-0.58367185674448252</v>
      </c>
      <c r="C897" s="8">
        <v>-2.0841504898711007</v>
      </c>
      <c r="D897" s="8">
        <v>-0.75171422039661484</v>
      </c>
      <c r="E897" s="7">
        <v>-1.4990516053215155E-2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3">
        <f t="shared" si="118"/>
        <v>-5.3656701219817471E-4</v>
      </c>
      <c r="M897" s="3">
        <v>-0.58399999999999996</v>
      </c>
      <c r="N897" s="3">
        <v>-2.0840000000000001</v>
      </c>
      <c r="O897" s="3">
        <v>-0.751</v>
      </c>
      <c r="P897" s="35">
        <v>-1.49698E-2</v>
      </c>
      <c r="Q897" s="35">
        <v>0</v>
      </c>
      <c r="R897" s="35">
        <v>0</v>
      </c>
      <c r="S897" s="35">
        <v>-4.76502E-3</v>
      </c>
      <c r="T897" s="35">
        <v>4.76502E-3</v>
      </c>
      <c r="U897" s="35">
        <v>0</v>
      </c>
      <c r="V897" s="35">
        <v>0</v>
      </c>
    </row>
    <row r="898" spans="1:22">
      <c r="A898" s="7" t="s">
        <v>240</v>
      </c>
      <c r="B898" s="8">
        <v>-1.6188303733889171</v>
      </c>
      <c r="C898" s="8">
        <v>1.9594494251009342E-2</v>
      </c>
      <c r="D898" s="8">
        <v>7.7422792294721043E-2</v>
      </c>
      <c r="E898" s="7">
        <v>0</v>
      </c>
      <c r="F898" s="7">
        <v>-1.4990516053215155E-2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3">
        <f t="shared" si="112"/>
        <v>-8.130868431867333E-4</v>
      </c>
      <c r="M898" s="3">
        <v>-1.619</v>
      </c>
      <c r="N898" s="3">
        <v>0.02</v>
      </c>
      <c r="O898" s="3">
        <v>7.8E-2</v>
      </c>
      <c r="P898" s="35">
        <v>0</v>
      </c>
      <c r="Q898" s="35">
        <v>-1.49698E-2</v>
      </c>
      <c r="R898" s="35">
        <v>0</v>
      </c>
      <c r="S898" s="35">
        <v>-4.76502E-3</v>
      </c>
      <c r="T898" s="35">
        <v>0</v>
      </c>
      <c r="U898" s="35">
        <v>4.76502E-3</v>
      </c>
      <c r="V898" s="35">
        <v>0</v>
      </c>
    </row>
    <row r="899" spans="1:22">
      <c r="A899" s="7"/>
      <c r="B899" s="8">
        <v>-0.60912970227287866</v>
      </c>
      <c r="C899" s="8">
        <v>0.28261535739067112</v>
      </c>
      <c r="D899" s="8">
        <v>-0.68802996689194662</v>
      </c>
      <c r="E899" s="7">
        <v>0</v>
      </c>
      <c r="F899" s="7">
        <v>0</v>
      </c>
      <c r="G899" s="7">
        <v>-1.4990516053215155E-2</v>
      </c>
      <c r="H899" s="7">
        <v>0</v>
      </c>
      <c r="I899" s="7">
        <v>0</v>
      </c>
      <c r="J899" s="7">
        <v>0</v>
      </c>
      <c r="K899" s="7">
        <v>0</v>
      </c>
      <c r="L899" s="3">
        <f t="shared" si="112"/>
        <v>-5.4431177415414922E-4</v>
      </c>
      <c r="M899" s="3">
        <v>-0.60899999999999999</v>
      </c>
      <c r="N899" s="3">
        <v>0.28299999999999997</v>
      </c>
      <c r="O899" s="3">
        <v>-0.68799999999999994</v>
      </c>
      <c r="P899" s="35">
        <v>0</v>
      </c>
      <c r="Q899" s="35">
        <v>0</v>
      </c>
      <c r="R899" s="35">
        <v>-1.49698E-2</v>
      </c>
      <c r="S899" s="35">
        <v>-4.76502E-3</v>
      </c>
      <c r="T899" s="35">
        <v>0</v>
      </c>
      <c r="U899" s="35">
        <v>0</v>
      </c>
      <c r="V899" s="35">
        <v>4.76502E-3</v>
      </c>
    </row>
    <row r="900" spans="1:22">
      <c r="A900" s="7"/>
      <c r="B900" s="8"/>
      <c r="C900" s="8"/>
      <c r="D900" s="8"/>
      <c r="E900" s="7"/>
      <c r="F900" s="7"/>
      <c r="G900" s="7"/>
      <c r="H900" s="7"/>
      <c r="I900" s="7"/>
      <c r="J900" s="7"/>
      <c r="K900" s="7"/>
    </row>
    <row r="901" spans="1:22">
      <c r="A901" s="7"/>
      <c r="B901" s="8">
        <v>-1.8375474863113905</v>
      </c>
      <c r="C901" s="8">
        <v>-2.1167426559988707</v>
      </c>
      <c r="D901" s="8">
        <v>-1.2367606559382516E-2</v>
      </c>
      <c r="E901" s="7">
        <v>-1.4990516053215155E-2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3">
        <f t="shared" ref="L901:L939" si="120">B901-M901+C901-N901+D901-O901</f>
        <v>3.4225113035634205E-4</v>
      </c>
      <c r="M901" s="3">
        <v>-1.8380000000000001</v>
      </c>
      <c r="N901" s="3">
        <v>-2.117</v>
      </c>
      <c r="O901" s="3">
        <v>-1.2E-2</v>
      </c>
      <c r="P901" s="35">
        <v>-1.49698E-2</v>
      </c>
      <c r="Q901" s="35">
        <v>0</v>
      </c>
      <c r="R901" s="35">
        <v>0</v>
      </c>
      <c r="S901" s="35">
        <v>-4.76502E-3</v>
      </c>
      <c r="T901" s="35">
        <v>4.76502E-3</v>
      </c>
      <c r="U901" s="35">
        <v>0</v>
      </c>
      <c r="V901" s="35">
        <v>0</v>
      </c>
    </row>
    <row r="902" spans="1:22">
      <c r="A902" s="7" t="s">
        <v>241</v>
      </c>
      <c r="B902" s="8">
        <v>0.45824053226673911</v>
      </c>
      <c r="C902" s="8">
        <v>-2.124969022302313</v>
      </c>
      <c r="D902" s="8">
        <v>2.076961144994538E-2</v>
      </c>
      <c r="E902" s="7">
        <v>0</v>
      </c>
      <c r="F902" s="7">
        <v>-1.4990516053215155E-2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3">
        <f t="shared" si="120"/>
        <v>4.11214143713097E-5</v>
      </c>
      <c r="M902" s="3">
        <v>0.45800000000000002</v>
      </c>
      <c r="N902" s="3">
        <v>-2.125</v>
      </c>
      <c r="O902" s="3">
        <v>2.1000000000000001E-2</v>
      </c>
      <c r="P902" s="35">
        <v>0</v>
      </c>
      <c r="Q902" s="35">
        <v>-1.49698E-2</v>
      </c>
      <c r="R902" s="35">
        <v>0</v>
      </c>
      <c r="S902" s="35">
        <v>-4.76502E-3</v>
      </c>
      <c r="T902" s="35">
        <v>0</v>
      </c>
      <c r="U902" s="35">
        <v>4.76502E-3</v>
      </c>
      <c r="V902" s="35">
        <v>0</v>
      </c>
    </row>
    <row r="903" spans="1:22">
      <c r="A903" s="7"/>
      <c r="B903" s="8">
        <v>-1.9865190328797109</v>
      </c>
      <c r="C903" s="8">
        <v>-1.2694850305255347</v>
      </c>
      <c r="D903" s="8">
        <v>-3.2127045366234341E-2</v>
      </c>
      <c r="E903" s="7">
        <v>0</v>
      </c>
      <c r="F903" s="7">
        <v>0</v>
      </c>
      <c r="G903" s="7">
        <v>-1.4990516053215155E-2</v>
      </c>
      <c r="H903" s="7">
        <v>0</v>
      </c>
      <c r="I903" s="7">
        <v>0</v>
      </c>
      <c r="J903" s="7">
        <v>0</v>
      </c>
      <c r="K903" s="7">
        <v>0</v>
      </c>
      <c r="L903" s="3">
        <f t="shared" si="120"/>
        <v>-1.3110877147995414E-4</v>
      </c>
      <c r="M903" s="3">
        <v>-1.9870000000000001</v>
      </c>
      <c r="N903" s="3">
        <v>-1.2689999999999999</v>
      </c>
      <c r="O903" s="3">
        <v>-3.2000000000000001E-2</v>
      </c>
      <c r="P903" s="35">
        <v>0</v>
      </c>
      <c r="Q903" s="35">
        <v>0</v>
      </c>
      <c r="R903" s="35">
        <v>-1.49698E-2</v>
      </c>
      <c r="S903" s="35">
        <v>-4.76502E-3</v>
      </c>
      <c r="T903" s="35">
        <v>0</v>
      </c>
      <c r="U903" s="35">
        <v>0</v>
      </c>
      <c r="V903" s="35">
        <v>4.76502E-3</v>
      </c>
    </row>
    <row r="904" spans="1:22">
      <c r="A904" s="7"/>
      <c r="B904" s="8"/>
      <c r="C904" s="8"/>
      <c r="D904" s="8"/>
      <c r="E904" s="7"/>
      <c r="F904" s="7"/>
      <c r="G904" s="7"/>
      <c r="H904" s="7"/>
      <c r="I904" s="7"/>
      <c r="J904" s="7"/>
      <c r="K904" s="7"/>
    </row>
    <row r="905" spans="1:22">
      <c r="A905" s="7"/>
      <c r="B905" s="8">
        <v>-1.8375474863113905</v>
      </c>
      <c r="C905" s="8">
        <v>-2.1167426559988707</v>
      </c>
      <c r="D905" s="8">
        <v>-1.2367606559382516E-2</v>
      </c>
      <c r="E905" s="7">
        <v>-1.4990516053215155E-2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3">
        <f t="shared" ref="L905:L967" si="121">B905-M905+C905-N905+D905-O905</f>
        <v>3.4225113035634205E-4</v>
      </c>
      <c r="M905" s="3">
        <v>-1.8380000000000001</v>
      </c>
      <c r="N905" s="3">
        <v>-2.117</v>
      </c>
      <c r="O905" s="3">
        <v>-1.2E-2</v>
      </c>
      <c r="P905" s="35">
        <v>-1.49698E-2</v>
      </c>
      <c r="Q905" s="35">
        <v>0</v>
      </c>
      <c r="R905" s="35">
        <v>0</v>
      </c>
      <c r="S905" s="35">
        <v>-4.76502E-3</v>
      </c>
      <c r="T905" s="35">
        <v>4.76502E-3</v>
      </c>
      <c r="U905" s="35">
        <v>0</v>
      </c>
      <c r="V905" s="35">
        <v>0</v>
      </c>
    </row>
    <row r="906" spans="1:22">
      <c r="A906" s="7" t="s">
        <v>242</v>
      </c>
      <c r="B906" s="8">
        <v>0.45824053226673911</v>
      </c>
      <c r="C906" s="8">
        <v>-2.124969022302313</v>
      </c>
      <c r="D906" s="8">
        <v>2.076961144994538E-2</v>
      </c>
      <c r="E906" s="7">
        <v>0</v>
      </c>
      <c r="F906" s="7">
        <v>-1.4990516053215155E-2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3">
        <f t="shared" si="121"/>
        <v>4.11214143713097E-5</v>
      </c>
      <c r="M906" s="3">
        <v>0.45800000000000002</v>
      </c>
      <c r="N906" s="3">
        <v>-2.125</v>
      </c>
      <c r="O906" s="3">
        <v>2.1000000000000001E-2</v>
      </c>
      <c r="P906" s="35">
        <v>0</v>
      </c>
      <c r="Q906" s="35">
        <v>-1.49698E-2</v>
      </c>
      <c r="R906" s="35">
        <v>0</v>
      </c>
      <c r="S906" s="35">
        <v>-4.76502E-3</v>
      </c>
      <c r="T906" s="35">
        <v>0</v>
      </c>
      <c r="U906" s="35">
        <v>4.76502E-3</v>
      </c>
      <c r="V906" s="35">
        <v>0</v>
      </c>
    </row>
    <row r="907" spans="1:22">
      <c r="A907" s="7"/>
      <c r="B907" s="8">
        <v>0.85843073718374274</v>
      </c>
      <c r="C907" s="8">
        <v>-1.040962775001312</v>
      </c>
      <c r="D907" s="8">
        <v>3.7610117674176324E-2</v>
      </c>
      <c r="E907" s="7">
        <v>0</v>
      </c>
      <c r="F907" s="7">
        <v>0</v>
      </c>
      <c r="G907" s="7">
        <v>-1.4990516053215155E-2</v>
      </c>
      <c r="H907" s="7">
        <v>0</v>
      </c>
      <c r="I907" s="7">
        <v>0</v>
      </c>
      <c r="J907" s="7">
        <v>0</v>
      </c>
      <c r="K907" s="7">
        <v>0</v>
      </c>
      <c r="L907" s="3">
        <f t="shared" si="121"/>
        <v>7.807985660693989E-5</v>
      </c>
      <c r="M907" s="3">
        <v>0.85799999999999998</v>
      </c>
      <c r="N907" s="3">
        <v>-1.0409999999999999</v>
      </c>
      <c r="O907" s="3">
        <v>3.7999999999999999E-2</v>
      </c>
      <c r="P907" s="35">
        <v>0</v>
      </c>
      <c r="Q907" s="35">
        <v>0</v>
      </c>
      <c r="R907" s="35">
        <v>-1.49698E-2</v>
      </c>
      <c r="S907" s="35">
        <v>-4.76502E-3</v>
      </c>
      <c r="T907" s="35">
        <v>0</v>
      </c>
      <c r="U907" s="35">
        <v>0</v>
      </c>
      <c r="V907" s="35">
        <v>4.76502E-3</v>
      </c>
    </row>
    <row r="908" spans="1:22">
      <c r="A908" s="7"/>
      <c r="B908" s="8"/>
      <c r="C908" s="8"/>
      <c r="D908" s="8"/>
      <c r="E908" s="7"/>
      <c r="F908" s="7"/>
      <c r="G908" s="7"/>
      <c r="H908" s="7"/>
      <c r="I908" s="7"/>
      <c r="J908" s="7"/>
      <c r="K908" s="7"/>
    </row>
    <row r="909" spans="1:22">
      <c r="A909" s="7"/>
      <c r="B909" s="8">
        <v>-1.8375474863113905</v>
      </c>
      <c r="C909" s="8">
        <v>-2.1167426559988707</v>
      </c>
      <c r="D909" s="8">
        <v>-1.2367606559382516E-2</v>
      </c>
      <c r="E909" s="7">
        <v>-1.4990516053215155E-2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3">
        <f t="shared" ref="L909:L945" si="122">B909-M909+C909-N909+D909-O909</f>
        <v>3.4225113035634205E-4</v>
      </c>
      <c r="M909" s="3">
        <v>-1.8380000000000001</v>
      </c>
      <c r="N909" s="3">
        <v>-2.117</v>
      </c>
      <c r="O909" s="3">
        <v>-1.2E-2</v>
      </c>
      <c r="P909" s="35">
        <v>-1.49698E-2</v>
      </c>
      <c r="Q909" s="35">
        <v>0</v>
      </c>
      <c r="R909" s="35">
        <v>0</v>
      </c>
      <c r="S909" s="35">
        <v>-4.76502E-3</v>
      </c>
      <c r="T909" s="35">
        <v>4.76502E-3</v>
      </c>
      <c r="U909" s="35">
        <v>0</v>
      </c>
      <c r="V909" s="35">
        <v>0</v>
      </c>
    </row>
    <row r="910" spans="1:22">
      <c r="A910" s="7" t="s">
        <v>243</v>
      </c>
      <c r="B910" s="8">
        <v>0.45824053226673911</v>
      </c>
      <c r="C910" s="8">
        <v>-2.124969022302313</v>
      </c>
      <c r="D910" s="8">
        <v>2.076961144994538E-2</v>
      </c>
      <c r="E910" s="7">
        <v>0</v>
      </c>
      <c r="F910" s="7">
        <v>-1.4990516053215155E-2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3">
        <f t="shared" si="121"/>
        <v>4.11214143713097E-5</v>
      </c>
      <c r="M910" s="3">
        <v>0.45800000000000002</v>
      </c>
      <c r="N910" s="3">
        <v>-2.125</v>
      </c>
      <c r="O910" s="3">
        <v>2.1000000000000001E-2</v>
      </c>
      <c r="P910" s="35">
        <v>0</v>
      </c>
      <c r="Q910" s="35">
        <v>-1.49698E-2</v>
      </c>
      <c r="R910" s="35">
        <v>0</v>
      </c>
      <c r="S910" s="35">
        <v>-4.76502E-3</v>
      </c>
      <c r="T910" s="35">
        <v>0</v>
      </c>
      <c r="U910" s="35">
        <v>4.76502E-3</v>
      </c>
      <c r="V910" s="35">
        <v>0</v>
      </c>
    </row>
    <row r="911" spans="1:22">
      <c r="A911" s="7"/>
      <c r="B911" s="8">
        <v>-1.6188303733889171</v>
      </c>
      <c r="C911" s="8">
        <v>1.9594494251009342E-2</v>
      </c>
      <c r="D911" s="8">
        <v>7.7422792294721043E-2</v>
      </c>
      <c r="E911" s="7">
        <v>0</v>
      </c>
      <c r="F911" s="7">
        <v>0</v>
      </c>
      <c r="G911" s="7">
        <v>-1.4990516053215155E-2</v>
      </c>
      <c r="H911" s="7">
        <v>0</v>
      </c>
      <c r="I911" s="7">
        <v>0</v>
      </c>
      <c r="J911" s="7">
        <v>0</v>
      </c>
      <c r="K911" s="7">
        <v>0</v>
      </c>
      <c r="L911" s="3">
        <f t="shared" si="121"/>
        <v>-8.130868431867333E-4</v>
      </c>
      <c r="M911" s="3">
        <v>-1.619</v>
      </c>
      <c r="N911" s="3">
        <v>0.02</v>
      </c>
      <c r="O911" s="3">
        <v>7.8E-2</v>
      </c>
      <c r="P911" s="35">
        <v>0</v>
      </c>
      <c r="Q911" s="35">
        <v>0</v>
      </c>
      <c r="R911" s="35">
        <v>-1.49698E-2</v>
      </c>
      <c r="S911" s="35">
        <v>-4.76502E-3</v>
      </c>
      <c r="T911" s="35">
        <v>0</v>
      </c>
      <c r="U911" s="35">
        <v>0</v>
      </c>
      <c r="V911" s="35">
        <v>4.76502E-3</v>
      </c>
    </row>
    <row r="912" spans="1:22">
      <c r="A912" s="7"/>
      <c r="B912" s="8"/>
      <c r="C912" s="8"/>
      <c r="D912" s="8"/>
      <c r="E912" s="7"/>
      <c r="F912" s="7"/>
      <c r="G912" s="7"/>
      <c r="H912" s="7"/>
      <c r="I912" s="7"/>
      <c r="J912" s="7"/>
      <c r="K912" s="7"/>
    </row>
    <row r="913" spans="1:22">
      <c r="A913" s="7"/>
      <c r="B913" s="8">
        <v>-1.8375474863113905</v>
      </c>
      <c r="C913" s="8">
        <v>-2.1167426559988707</v>
      </c>
      <c r="D913" s="8">
        <v>-1.2367606559382516E-2</v>
      </c>
      <c r="E913" s="7">
        <v>-1.4990516053215155E-2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3">
        <f t="shared" ref="L913:L949" si="123">B913-M913+C913-N913+D913-O913</f>
        <v>3.4225113035634205E-4</v>
      </c>
      <c r="M913" s="3">
        <v>-1.8380000000000001</v>
      </c>
      <c r="N913" s="3">
        <v>-2.117</v>
      </c>
      <c r="O913" s="3">
        <v>-1.2E-2</v>
      </c>
      <c r="P913" s="35">
        <v>-1.49698E-2</v>
      </c>
      <c r="Q913" s="35">
        <v>0</v>
      </c>
      <c r="R913" s="35">
        <v>0</v>
      </c>
      <c r="S913" s="35">
        <v>-4.76502E-3</v>
      </c>
      <c r="T913" s="35">
        <v>4.76502E-3</v>
      </c>
      <c r="U913" s="35">
        <v>0</v>
      </c>
      <c r="V913" s="35">
        <v>0</v>
      </c>
    </row>
    <row r="914" spans="1:22">
      <c r="A914" s="7" t="s">
        <v>244</v>
      </c>
      <c r="B914" s="8">
        <v>0.45824053226673911</v>
      </c>
      <c r="C914" s="8">
        <v>-2.124969022302313</v>
      </c>
      <c r="D914" s="8">
        <v>2.076961144994538E-2</v>
      </c>
      <c r="E914" s="7">
        <v>0</v>
      </c>
      <c r="F914" s="7">
        <v>-1.4990516053215155E-2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3">
        <f t="shared" si="121"/>
        <v>4.11214143713097E-5</v>
      </c>
      <c r="M914" s="3">
        <v>0.45800000000000002</v>
      </c>
      <c r="N914" s="3">
        <v>-2.125</v>
      </c>
      <c r="O914" s="3">
        <v>2.1000000000000001E-2</v>
      </c>
      <c r="P914" s="35">
        <v>0</v>
      </c>
      <c r="Q914" s="35">
        <v>-1.49698E-2</v>
      </c>
      <c r="R914" s="35">
        <v>0</v>
      </c>
      <c r="S914" s="35">
        <v>-4.76502E-3</v>
      </c>
      <c r="T914" s="35">
        <v>0</v>
      </c>
      <c r="U914" s="35">
        <v>4.76502E-3</v>
      </c>
      <c r="V914" s="35">
        <v>0</v>
      </c>
    </row>
    <row r="915" spans="1:22">
      <c r="A915" s="7"/>
      <c r="B915" s="8">
        <v>-0.60912970227287866</v>
      </c>
      <c r="C915" s="8">
        <v>0.28261535739067112</v>
      </c>
      <c r="D915" s="8">
        <v>-0.68802996689194662</v>
      </c>
      <c r="E915" s="7">
        <v>0</v>
      </c>
      <c r="F915" s="7">
        <v>0</v>
      </c>
      <c r="G915" s="7">
        <v>-1.4990516053215155E-2</v>
      </c>
      <c r="H915" s="7">
        <v>0</v>
      </c>
      <c r="I915" s="7">
        <v>0</v>
      </c>
      <c r="J915" s="7">
        <v>0</v>
      </c>
      <c r="K915" s="7">
        <v>0</v>
      </c>
      <c r="L915" s="3">
        <f t="shared" si="121"/>
        <v>-5.4431177415414922E-4</v>
      </c>
      <c r="M915" s="3">
        <v>-0.60899999999999999</v>
      </c>
      <c r="N915" s="3">
        <v>0.28299999999999997</v>
      </c>
      <c r="O915" s="3">
        <v>-0.68799999999999994</v>
      </c>
      <c r="P915" s="35">
        <v>0</v>
      </c>
      <c r="Q915" s="35">
        <v>0</v>
      </c>
      <c r="R915" s="35">
        <v>-1.49698E-2</v>
      </c>
      <c r="S915" s="35">
        <v>-4.76502E-3</v>
      </c>
      <c r="T915" s="35">
        <v>0</v>
      </c>
      <c r="U915" s="35">
        <v>0</v>
      </c>
      <c r="V915" s="35">
        <v>4.76502E-3</v>
      </c>
    </row>
    <row r="916" spans="1:22">
      <c r="A916" s="7"/>
      <c r="B916" s="8"/>
      <c r="C916" s="8"/>
      <c r="D916" s="8"/>
      <c r="E916" s="7"/>
      <c r="F916" s="7"/>
      <c r="G916" s="7"/>
      <c r="H916" s="7"/>
      <c r="I916" s="7"/>
      <c r="J916" s="7"/>
      <c r="K916" s="7"/>
    </row>
    <row r="917" spans="1:22">
      <c r="A917" s="7"/>
      <c r="B917" s="8">
        <v>-1.8375474863113905</v>
      </c>
      <c r="C917" s="8">
        <v>-2.1167426559988707</v>
      </c>
      <c r="D917" s="8">
        <v>-1.2367606559382516E-2</v>
      </c>
      <c r="E917" s="7">
        <v>-1.4990516053215155E-2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3">
        <f t="shared" ref="L917:L953" si="124">B917-M917+C917-N917+D917-O917</f>
        <v>3.4225113035634205E-4</v>
      </c>
      <c r="M917" s="3">
        <v>-1.8380000000000001</v>
      </c>
      <c r="N917" s="3">
        <v>-2.117</v>
      </c>
      <c r="O917" s="3">
        <v>-1.2E-2</v>
      </c>
      <c r="P917" s="35">
        <v>-1.49698E-2</v>
      </c>
      <c r="Q917" s="35">
        <v>0</v>
      </c>
      <c r="R917" s="35">
        <v>0</v>
      </c>
      <c r="S917" s="35">
        <v>-4.76502E-3</v>
      </c>
      <c r="T917" s="35">
        <v>4.76502E-3</v>
      </c>
      <c r="U917" s="35">
        <v>0</v>
      </c>
      <c r="V917" s="35">
        <v>0</v>
      </c>
    </row>
    <row r="918" spans="1:22">
      <c r="A918" s="7" t="s">
        <v>245</v>
      </c>
      <c r="B918" s="8">
        <v>-1.9865190328797109</v>
      </c>
      <c r="C918" s="8">
        <v>-1.2694850305255347</v>
      </c>
      <c r="D918" s="8">
        <v>-3.2127045366234341E-2</v>
      </c>
      <c r="E918" s="7">
        <v>0</v>
      </c>
      <c r="F918" s="7">
        <v>-1.4990516053215155E-2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3">
        <f t="shared" si="121"/>
        <v>-1.3110877147995414E-4</v>
      </c>
      <c r="M918" s="3">
        <v>-1.9870000000000001</v>
      </c>
      <c r="N918" s="3">
        <v>-1.2689999999999999</v>
      </c>
      <c r="O918" s="3">
        <v>-3.2000000000000001E-2</v>
      </c>
      <c r="P918" s="35">
        <v>0</v>
      </c>
      <c r="Q918" s="35">
        <v>-1.49698E-2</v>
      </c>
      <c r="R918" s="35">
        <v>0</v>
      </c>
      <c r="S918" s="35">
        <v>-4.76502E-3</v>
      </c>
      <c r="T918" s="35">
        <v>0</v>
      </c>
      <c r="U918" s="35">
        <v>4.76502E-3</v>
      </c>
      <c r="V918" s="35">
        <v>0</v>
      </c>
    </row>
    <row r="919" spans="1:22">
      <c r="A919" s="7"/>
      <c r="B919" s="8">
        <v>0.85843073718374274</v>
      </c>
      <c r="C919" s="8">
        <v>-1.040962775001312</v>
      </c>
      <c r="D919" s="8">
        <v>3.7610117674176324E-2</v>
      </c>
      <c r="E919" s="7">
        <v>0</v>
      </c>
      <c r="F919" s="7">
        <v>0</v>
      </c>
      <c r="G919" s="7">
        <v>-1.4990516053215155E-2</v>
      </c>
      <c r="H919" s="7">
        <v>0</v>
      </c>
      <c r="I919" s="7">
        <v>0</v>
      </c>
      <c r="J919" s="7">
        <v>0</v>
      </c>
      <c r="K919" s="7">
        <v>0</v>
      </c>
      <c r="L919" s="3">
        <f t="shared" si="121"/>
        <v>7.807985660693989E-5</v>
      </c>
      <c r="M919" s="3">
        <v>0.85799999999999998</v>
      </c>
      <c r="N919" s="3">
        <v>-1.0409999999999999</v>
      </c>
      <c r="O919" s="3">
        <v>3.7999999999999999E-2</v>
      </c>
      <c r="P919" s="35">
        <v>0</v>
      </c>
      <c r="Q919" s="35">
        <v>0</v>
      </c>
      <c r="R919" s="35">
        <v>-1.49698E-2</v>
      </c>
      <c r="S919" s="35">
        <v>-4.76502E-3</v>
      </c>
      <c r="T919" s="35">
        <v>0</v>
      </c>
      <c r="U919" s="35">
        <v>0</v>
      </c>
      <c r="V919" s="35">
        <v>4.76502E-3</v>
      </c>
    </row>
    <row r="920" spans="1:22">
      <c r="A920" s="7"/>
      <c r="B920" s="8"/>
      <c r="C920" s="8"/>
      <c r="D920" s="8"/>
      <c r="E920" s="7"/>
      <c r="F920" s="7"/>
      <c r="G920" s="7"/>
      <c r="H920" s="7"/>
      <c r="I920" s="7"/>
      <c r="J920" s="7"/>
      <c r="K920" s="7"/>
    </row>
    <row r="921" spans="1:22">
      <c r="A921" s="7"/>
      <c r="B921" s="8">
        <v>-1.8375474863113905</v>
      </c>
      <c r="C921" s="8">
        <v>-2.1167426559988707</v>
      </c>
      <c r="D921" s="8">
        <v>-1.2367606559382516E-2</v>
      </c>
      <c r="E921" s="7">
        <v>-1.4990516053215155E-2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3">
        <f t="shared" ref="L921:L957" si="125">B921-M921+C921-N921+D921-O921</f>
        <v>3.4225113035634205E-4</v>
      </c>
      <c r="M921" s="3">
        <v>-1.8380000000000001</v>
      </c>
      <c r="N921" s="3">
        <v>-2.117</v>
      </c>
      <c r="O921" s="3">
        <v>-1.2E-2</v>
      </c>
      <c r="P921" s="35">
        <v>-1.49698E-2</v>
      </c>
      <c r="Q921" s="35">
        <v>0</v>
      </c>
      <c r="R921" s="35">
        <v>0</v>
      </c>
      <c r="S921" s="35">
        <v>-4.76502E-3</v>
      </c>
      <c r="T921" s="35">
        <v>4.76502E-3</v>
      </c>
      <c r="U921" s="35">
        <v>0</v>
      </c>
      <c r="V921" s="35">
        <v>0</v>
      </c>
    </row>
    <row r="922" spans="1:22">
      <c r="A922" s="7" t="s">
        <v>246</v>
      </c>
      <c r="B922" s="8">
        <v>-1.9865190328797109</v>
      </c>
      <c r="C922" s="8">
        <v>-1.2694850305255347</v>
      </c>
      <c r="D922" s="8">
        <v>-3.2127045366234341E-2</v>
      </c>
      <c r="E922" s="7">
        <v>0</v>
      </c>
      <c r="F922" s="7">
        <v>-1.4990516053215155E-2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3">
        <f t="shared" si="121"/>
        <v>-1.3110877147995414E-4</v>
      </c>
      <c r="M922" s="3">
        <v>-1.9870000000000001</v>
      </c>
      <c r="N922" s="3">
        <v>-1.2689999999999999</v>
      </c>
      <c r="O922" s="3">
        <v>-3.2000000000000001E-2</v>
      </c>
      <c r="P922" s="35">
        <v>0</v>
      </c>
      <c r="Q922" s="35">
        <v>-1.49698E-2</v>
      </c>
      <c r="R922" s="35">
        <v>0</v>
      </c>
      <c r="S922" s="35">
        <v>-4.76502E-3</v>
      </c>
      <c r="T922" s="35">
        <v>0</v>
      </c>
      <c r="U922" s="35">
        <v>4.76502E-3</v>
      </c>
      <c r="V922" s="35">
        <v>0</v>
      </c>
    </row>
    <row r="923" spans="1:22">
      <c r="A923" s="7"/>
      <c r="B923" s="8">
        <v>-1.6188303733889171</v>
      </c>
      <c r="C923" s="8">
        <v>1.9594494251009342E-2</v>
      </c>
      <c r="D923" s="8">
        <v>7.7422792294721043E-2</v>
      </c>
      <c r="E923" s="7">
        <v>0</v>
      </c>
      <c r="F923" s="7">
        <v>0</v>
      </c>
      <c r="G923" s="7">
        <v>-1.4990516053215155E-2</v>
      </c>
      <c r="H923" s="7">
        <v>0</v>
      </c>
      <c r="I923" s="7">
        <v>0</v>
      </c>
      <c r="J923" s="7">
        <v>0</v>
      </c>
      <c r="K923" s="7">
        <v>0</v>
      </c>
      <c r="L923" s="3">
        <f t="shared" si="121"/>
        <v>-8.130868431867333E-4</v>
      </c>
      <c r="M923" s="3">
        <v>-1.619</v>
      </c>
      <c r="N923" s="3">
        <v>0.02</v>
      </c>
      <c r="O923" s="3">
        <v>7.8E-2</v>
      </c>
      <c r="P923" s="35">
        <v>0</v>
      </c>
      <c r="Q923" s="35">
        <v>0</v>
      </c>
      <c r="R923" s="35">
        <v>-1.49698E-2</v>
      </c>
      <c r="S923" s="35">
        <v>-4.76502E-3</v>
      </c>
      <c r="T923" s="35">
        <v>0</v>
      </c>
      <c r="U923" s="35">
        <v>0</v>
      </c>
      <c r="V923" s="35">
        <v>4.76502E-3</v>
      </c>
    </row>
    <row r="924" spans="1:22">
      <c r="A924" s="7"/>
      <c r="B924" s="8"/>
      <c r="C924" s="8"/>
      <c r="D924" s="8"/>
      <c r="E924" s="7"/>
      <c r="F924" s="7"/>
      <c r="G924" s="7"/>
      <c r="H924" s="7"/>
      <c r="I924" s="7"/>
      <c r="J924" s="7"/>
      <c r="K924" s="7"/>
    </row>
    <row r="925" spans="1:22">
      <c r="A925" s="7"/>
      <c r="B925" s="8">
        <v>-1.8375474863113905</v>
      </c>
      <c r="C925" s="8">
        <v>-2.1167426559988707</v>
      </c>
      <c r="D925" s="8">
        <v>-1.2367606559382516E-2</v>
      </c>
      <c r="E925" s="7">
        <v>-1.4990516053215155E-2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3">
        <f t="shared" ref="L925:L961" si="126">B925-M925+C925-N925+D925-O925</f>
        <v>3.4225113035634205E-4</v>
      </c>
      <c r="M925" s="3">
        <v>-1.8380000000000001</v>
      </c>
      <c r="N925" s="3">
        <v>-2.117</v>
      </c>
      <c r="O925" s="3">
        <v>-1.2E-2</v>
      </c>
      <c r="P925" s="35">
        <v>-1.49698E-2</v>
      </c>
      <c r="Q925" s="35">
        <v>0</v>
      </c>
      <c r="R925" s="35">
        <v>0</v>
      </c>
      <c r="S925" s="35">
        <v>-4.76502E-3</v>
      </c>
      <c r="T925" s="35">
        <v>4.76502E-3</v>
      </c>
      <c r="U925" s="35">
        <v>0</v>
      </c>
      <c r="V925" s="35">
        <v>0</v>
      </c>
    </row>
    <row r="926" spans="1:22">
      <c r="A926" s="7" t="s">
        <v>247</v>
      </c>
      <c r="B926" s="8">
        <v>-1.9865190328797109</v>
      </c>
      <c r="C926" s="8">
        <v>-1.2694850305255347</v>
      </c>
      <c r="D926" s="8">
        <v>-3.2127045366234341E-2</v>
      </c>
      <c r="E926" s="7">
        <v>0</v>
      </c>
      <c r="F926" s="7">
        <v>-1.4990516053215155E-2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3">
        <f t="shared" si="121"/>
        <v>-1.3110877147995414E-4</v>
      </c>
      <c r="M926" s="3">
        <v>-1.9870000000000001</v>
      </c>
      <c r="N926" s="3">
        <v>-1.2689999999999999</v>
      </c>
      <c r="O926" s="3">
        <v>-3.2000000000000001E-2</v>
      </c>
      <c r="P926" s="35">
        <v>0</v>
      </c>
      <c r="Q926" s="35">
        <v>-1.49698E-2</v>
      </c>
      <c r="R926" s="35">
        <v>0</v>
      </c>
      <c r="S926" s="35">
        <v>-4.76502E-3</v>
      </c>
      <c r="T926" s="35">
        <v>0</v>
      </c>
      <c r="U926" s="35">
        <v>4.76502E-3</v>
      </c>
      <c r="V926" s="35">
        <v>0</v>
      </c>
    </row>
    <row r="927" spans="1:22">
      <c r="A927" s="7"/>
      <c r="B927" s="8">
        <v>-0.60912970227287866</v>
      </c>
      <c r="C927" s="8">
        <v>0.28261535739067112</v>
      </c>
      <c r="D927" s="8">
        <v>-0.68802996689194662</v>
      </c>
      <c r="E927" s="7">
        <v>0</v>
      </c>
      <c r="F927" s="7">
        <v>0</v>
      </c>
      <c r="G927" s="7">
        <v>-1.4990516053215155E-2</v>
      </c>
      <c r="H927" s="7">
        <v>0</v>
      </c>
      <c r="I927" s="7">
        <v>0</v>
      </c>
      <c r="J927" s="7">
        <v>0</v>
      </c>
      <c r="K927" s="7">
        <v>0</v>
      </c>
      <c r="L927" s="3">
        <f t="shared" si="121"/>
        <v>-5.4431177415414922E-4</v>
      </c>
      <c r="M927" s="3">
        <v>-0.60899999999999999</v>
      </c>
      <c r="N927" s="3">
        <v>0.28299999999999997</v>
      </c>
      <c r="O927" s="3">
        <v>-0.68799999999999994</v>
      </c>
      <c r="P927" s="35">
        <v>0</v>
      </c>
      <c r="Q927" s="35">
        <v>0</v>
      </c>
      <c r="R927" s="35">
        <v>-1.49698E-2</v>
      </c>
      <c r="S927" s="35">
        <v>-4.76502E-3</v>
      </c>
      <c r="T927" s="35">
        <v>0</v>
      </c>
      <c r="U927" s="35">
        <v>0</v>
      </c>
      <c r="V927" s="35">
        <v>4.76502E-3</v>
      </c>
    </row>
    <row r="928" spans="1:22">
      <c r="A928" s="7"/>
      <c r="B928" s="8"/>
      <c r="C928" s="8"/>
      <c r="D928" s="8"/>
      <c r="E928" s="7"/>
      <c r="F928" s="7"/>
      <c r="G928" s="7"/>
      <c r="H928" s="7"/>
      <c r="I928" s="7"/>
      <c r="J928" s="7"/>
      <c r="K928" s="7"/>
    </row>
    <row r="929" spans="1:22">
      <c r="A929" s="7"/>
      <c r="B929" s="8">
        <v>-1.8375474863113905</v>
      </c>
      <c r="C929" s="8">
        <v>-2.1167426559988707</v>
      </c>
      <c r="D929" s="8">
        <v>-1.2367606559382516E-2</v>
      </c>
      <c r="E929" s="7">
        <v>-1.4990516053215155E-2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3">
        <f t="shared" ref="L929:L965" si="127">B929-M929+C929-N929+D929-O929</f>
        <v>3.4225113035634205E-4</v>
      </c>
      <c r="M929" s="3">
        <v>-1.8380000000000001</v>
      </c>
      <c r="N929" s="3">
        <v>-2.117</v>
      </c>
      <c r="O929" s="3">
        <v>-1.2E-2</v>
      </c>
      <c r="P929" s="35">
        <v>-1.49698E-2</v>
      </c>
      <c r="Q929" s="35">
        <v>0</v>
      </c>
      <c r="R929" s="35">
        <v>0</v>
      </c>
      <c r="S929" s="35">
        <v>-4.76502E-3</v>
      </c>
      <c r="T929" s="35">
        <v>4.76502E-3</v>
      </c>
      <c r="U929" s="35">
        <v>0</v>
      </c>
      <c r="V929" s="35">
        <v>0</v>
      </c>
    </row>
    <row r="930" spans="1:22">
      <c r="A930" s="7" t="s">
        <v>248</v>
      </c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-1.4990516053215155E-2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3">
        <f t="shared" si="121"/>
        <v>7.807985660693989E-5</v>
      </c>
      <c r="M930" s="3">
        <v>0.85799999999999998</v>
      </c>
      <c r="N930" s="3">
        <v>-1.0409999999999999</v>
      </c>
      <c r="O930" s="3">
        <v>3.7999999999999999E-2</v>
      </c>
      <c r="P930" s="35">
        <v>0</v>
      </c>
      <c r="Q930" s="35">
        <v>-1.49698E-2</v>
      </c>
      <c r="R930" s="35">
        <v>0</v>
      </c>
      <c r="S930" s="35">
        <v>-4.76502E-3</v>
      </c>
      <c r="T930" s="35">
        <v>0</v>
      </c>
      <c r="U930" s="35">
        <v>4.76502E-3</v>
      </c>
      <c r="V930" s="35">
        <v>0</v>
      </c>
    </row>
    <row r="931" spans="1:22">
      <c r="A931" s="7"/>
      <c r="B931" s="8">
        <v>-1.6188303733889171</v>
      </c>
      <c r="C931" s="8">
        <v>1.9594494251009342E-2</v>
      </c>
      <c r="D931" s="8">
        <v>7.7422792294721043E-2</v>
      </c>
      <c r="E931" s="7">
        <v>0</v>
      </c>
      <c r="F931" s="7">
        <v>0</v>
      </c>
      <c r="G931" s="7">
        <v>-1.4990516053215155E-2</v>
      </c>
      <c r="H931" s="7">
        <v>0</v>
      </c>
      <c r="I931" s="7">
        <v>0</v>
      </c>
      <c r="J931" s="7">
        <v>0</v>
      </c>
      <c r="K931" s="7">
        <v>0</v>
      </c>
      <c r="L931" s="3">
        <f t="shared" si="121"/>
        <v>-8.130868431867333E-4</v>
      </c>
      <c r="M931" s="3">
        <v>-1.619</v>
      </c>
      <c r="N931" s="3">
        <v>0.02</v>
      </c>
      <c r="O931" s="3">
        <v>7.8E-2</v>
      </c>
      <c r="P931" s="35">
        <v>0</v>
      </c>
      <c r="Q931" s="35">
        <v>0</v>
      </c>
      <c r="R931" s="35">
        <v>-1.49698E-2</v>
      </c>
      <c r="S931" s="35">
        <v>-4.76502E-3</v>
      </c>
      <c r="T931" s="35">
        <v>0</v>
      </c>
      <c r="U931" s="35">
        <v>0</v>
      </c>
      <c r="V931" s="35">
        <v>4.76502E-3</v>
      </c>
    </row>
    <row r="932" spans="1:22">
      <c r="A932" s="7"/>
      <c r="B932" s="8"/>
      <c r="C932" s="8"/>
      <c r="D932" s="8"/>
      <c r="E932" s="7"/>
      <c r="F932" s="7"/>
      <c r="G932" s="7"/>
      <c r="H932" s="7"/>
      <c r="I932" s="7"/>
      <c r="J932" s="7"/>
      <c r="K932" s="7"/>
    </row>
    <row r="933" spans="1:22">
      <c r="A933" s="7"/>
      <c r="B933" s="8">
        <v>-1.8375474863113905</v>
      </c>
      <c r="C933" s="8">
        <v>-2.1167426559988707</v>
      </c>
      <c r="D933" s="8">
        <v>-1.2367606559382516E-2</v>
      </c>
      <c r="E933" s="7">
        <v>-1.4990516053215155E-2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3">
        <f t="shared" ref="L933:L995" si="128">B933-M933+C933-N933+D933-O933</f>
        <v>3.4225113035634205E-4</v>
      </c>
      <c r="M933" s="3">
        <v>-1.8380000000000001</v>
      </c>
      <c r="N933" s="3">
        <v>-2.117</v>
      </c>
      <c r="O933" s="3">
        <v>-1.2E-2</v>
      </c>
      <c r="P933" s="35">
        <v>-1.49698E-2</v>
      </c>
      <c r="Q933" s="35">
        <v>0</v>
      </c>
      <c r="R933" s="35">
        <v>0</v>
      </c>
      <c r="S933" s="35">
        <v>-4.76502E-3</v>
      </c>
      <c r="T933" s="35">
        <v>4.76502E-3</v>
      </c>
      <c r="U933" s="35">
        <v>0</v>
      </c>
      <c r="V933" s="35">
        <v>0</v>
      </c>
    </row>
    <row r="934" spans="1:22">
      <c r="A934" s="7" t="s">
        <v>249</v>
      </c>
      <c r="B934" s="8">
        <v>0.85843073718374274</v>
      </c>
      <c r="C934" s="8">
        <v>-1.040962775001312</v>
      </c>
      <c r="D934" s="8">
        <v>3.7610117674176324E-2</v>
      </c>
      <c r="E934" s="7">
        <v>0</v>
      </c>
      <c r="F934" s="7">
        <v>-1.4990516053215155E-2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3">
        <f t="shared" si="121"/>
        <v>7.807985660693989E-5</v>
      </c>
      <c r="M934" s="3">
        <v>0.85799999999999998</v>
      </c>
      <c r="N934" s="3">
        <v>-1.0409999999999999</v>
      </c>
      <c r="O934" s="3">
        <v>3.7999999999999999E-2</v>
      </c>
      <c r="P934" s="35">
        <v>0</v>
      </c>
      <c r="Q934" s="35">
        <v>-1.49698E-2</v>
      </c>
      <c r="R934" s="35">
        <v>0</v>
      </c>
      <c r="S934" s="35">
        <v>-4.76502E-3</v>
      </c>
      <c r="T934" s="35">
        <v>0</v>
      </c>
      <c r="U934" s="35">
        <v>4.76502E-3</v>
      </c>
      <c r="V934" s="35">
        <v>0</v>
      </c>
    </row>
    <row r="935" spans="1:22">
      <c r="A935" s="7"/>
      <c r="B935" s="8">
        <v>-0.60912970227287866</v>
      </c>
      <c r="C935" s="8">
        <v>0.28261535739067112</v>
      </c>
      <c r="D935" s="8">
        <v>-0.68802996689194662</v>
      </c>
      <c r="E935" s="7">
        <v>0</v>
      </c>
      <c r="F935" s="7">
        <v>0</v>
      </c>
      <c r="G935" s="7">
        <v>-1.4990516053215155E-2</v>
      </c>
      <c r="H935" s="7">
        <v>0</v>
      </c>
      <c r="I935" s="7">
        <v>0</v>
      </c>
      <c r="J935" s="7">
        <v>0</v>
      </c>
      <c r="K935" s="7">
        <v>0</v>
      </c>
      <c r="L935" s="3">
        <f t="shared" si="121"/>
        <v>-5.4431177415414922E-4</v>
      </c>
      <c r="M935" s="3">
        <v>-0.60899999999999999</v>
      </c>
      <c r="N935" s="3">
        <v>0.28299999999999997</v>
      </c>
      <c r="O935" s="3">
        <v>-0.68799999999999994</v>
      </c>
      <c r="P935" s="35">
        <v>0</v>
      </c>
      <c r="Q935" s="35">
        <v>0</v>
      </c>
      <c r="R935" s="35">
        <v>-1.49698E-2</v>
      </c>
      <c r="S935" s="35">
        <v>-4.76502E-3</v>
      </c>
      <c r="T935" s="35">
        <v>0</v>
      </c>
      <c r="U935" s="35">
        <v>0</v>
      </c>
      <c r="V935" s="35">
        <v>4.76502E-3</v>
      </c>
    </row>
    <row r="936" spans="1:22">
      <c r="A936" s="7"/>
      <c r="B936" s="8"/>
      <c r="C936" s="8"/>
      <c r="D936" s="8"/>
      <c r="E936" s="7"/>
      <c r="F936" s="7"/>
      <c r="G936" s="7"/>
      <c r="H936" s="7"/>
      <c r="I936" s="7"/>
      <c r="J936" s="7"/>
      <c r="K936" s="7"/>
    </row>
    <row r="937" spans="1:22">
      <c r="A937" s="7"/>
      <c r="B937" s="8">
        <v>-1.8375474863113905</v>
      </c>
      <c r="C937" s="8">
        <v>-2.1167426559988707</v>
      </c>
      <c r="D937" s="8">
        <v>-1.2367606559382516E-2</v>
      </c>
      <c r="E937" s="7">
        <v>-1.4990516053215155E-2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3">
        <f t="shared" ref="L937" si="129">B937-M937+C937-N937+D937-O937</f>
        <v>3.4225113035634205E-4</v>
      </c>
      <c r="M937" s="3">
        <v>-1.8380000000000001</v>
      </c>
      <c r="N937" s="3">
        <v>-2.117</v>
      </c>
      <c r="O937" s="3">
        <v>-1.2E-2</v>
      </c>
      <c r="P937" s="35">
        <v>-1.49698E-2</v>
      </c>
      <c r="Q937" s="35">
        <v>0</v>
      </c>
      <c r="R937" s="35">
        <v>0</v>
      </c>
      <c r="S937" s="35">
        <v>-4.76502E-3</v>
      </c>
      <c r="T937" s="35">
        <v>4.76502E-3</v>
      </c>
      <c r="U937" s="35">
        <v>0</v>
      </c>
      <c r="V937" s="35">
        <v>0</v>
      </c>
    </row>
    <row r="938" spans="1:22">
      <c r="A938" s="7" t="s">
        <v>250</v>
      </c>
      <c r="B938" s="8">
        <v>-1.6188303733889171</v>
      </c>
      <c r="C938" s="8">
        <v>1.9594494251009342E-2</v>
      </c>
      <c r="D938" s="8">
        <v>7.7422792294721043E-2</v>
      </c>
      <c r="E938" s="7">
        <v>0</v>
      </c>
      <c r="F938" s="7">
        <v>-1.4990516053215155E-2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3">
        <f t="shared" si="120"/>
        <v>-8.130868431867333E-4</v>
      </c>
      <c r="M938" s="3">
        <v>-1.619</v>
      </c>
      <c r="N938" s="3">
        <v>0.02</v>
      </c>
      <c r="O938" s="3">
        <v>7.8E-2</v>
      </c>
      <c r="P938" s="35">
        <v>0</v>
      </c>
      <c r="Q938" s="35">
        <v>-1.49698E-2</v>
      </c>
      <c r="R938" s="35">
        <v>0</v>
      </c>
      <c r="S938" s="35">
        <v>-4.76502E-3</v>
      </c>
      <c r="T938" s="35">
        <v>0</v>
      </c>
      <c r="U938" s="35">
        <v>4.76502E-3</v>
      </c>
      <c r="V938" s="35">
        <v>0</v>
      </c>
    </row>
    <row r="939" spans="1:22">
      <c r="A939" s="7"/>
      <c r="B939" s="8">
        <v>-0.60912970227287866</v>
      </c>
      <c r="C939" s="8">
        <v>0.28261535739067112</v>
      </c>
      <c r="D939" s="8">
        <v>-0.68802996689194662</v>
      </c>
      <c r="E939" s="7">
        <v>0</v>
      </c>
      <c r="F939" s="7">
        <v>0</v>
      </c>
      <c r="G939" s="7">
        <v>-1.4990516053215155E-2</v>
      </c>
      <c r="H939" s="7">
        <v>0</v>
      </c>
      <c r="I939" s="7">
        <v>0</v>
      </c>
      <c r="J939" s="7">
        <v>0</v>
      </c>
      <c r="K939" s="7">
        <v>0</v>
      </c>
      <c r="L939" s="3">
        <f t="shared" si="120"/>
        <v>-5.4431177415414922E-4</v>
      </c>
      <c r="M939" s="3">
        <v>-0.60899999999999999</v>
      </c>
      <c r="N939" s="3">
        <v>0.28299999999999997</v>
      </c>
      <c r="O939" s="3">
        <v>-0.68799999999999994</v>
      </c>
      <c r="P939" s="35">
        <v>0</v>
      </c>
      <c r="Q939" s="35">
        <v>0</v>
      </c>
      <c r="R939" s="35">
        <v>-1.49698E-2</v>
      </c>
      <c r="S939" s="35">
        <v>-4.76502E-3</v>
      </c>
      <c r="T939" s="35">
        <v>0</v>
      </c>
      <c r="U939" s="35">
        <v>0</v>
      </c>
      <c r="V939" s="35">
        <v>4.76502E-3</v>
      </c>
    </row>
    <row r="940" spans="1:22">
      <c r="A940" s="7"/>
      <c r="B940" s="8"/>
      <c r="C940" s="8"/>
      <c r="D940" s="8"/>
      <c r="E940" s="7"/>
      <c r="F940" s="7"/>
      <c r="G940" s="7"/>
      <c r="H940" s="7"/>
      <c r="I940" s="7"/>
      <c r="J940" s="7"/>
      <c r="K940" s="7"/>
    </row>
    <row r="941" spans="1:22">
      <c r="A941" s="7"/>
      <c r="B941" s="8">
        <v>0.45824053226673911</v>
      </c>
      <c r="C941" s="8">
        <v>-2.124969022302313</v>
      </c>
      <c r="D941" s="8">
        <v>2.076961144994538E-2</v>
      </c>
      <c r="E941" s="7">
        <v>-1.4990516053215155E-2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3">
        <f t="shared" si="121"/>
        <v>4.11214143713097E-5</v>
      </c>
      <c r="M941" s="3">
        <v>0.45800000000000002</v>
      </c>
      <c r="N941" s="3">
        <v>-2.125</v>
      </c>
      <c r="O941" s="3">
        <v>2.1000000000000001E-2</v>
      </c>
      <c r="P941" s="35">
        <v>-1.49698E-2</v>
      </c>
      <c r="Q941" s="35">
        <v>0</v>
      </c>
      <c r="R941" s="35">
        <v>0</v>
      </c>
      <c r="S941" s="35">
        <v>-4.76502E-3</v>
      </c>
      <c r="T941" s="35">
        <v>4.76502E-3</v>
      </c>
      <c r="U941" s="35">
        <v>0</v>
      </c>
      <c r="V941" s="35">
        <v>0</v>
      </c>
    </row>
    <row r="942" spans="1:22">
      <c r="A942" s="7" t="s">
        <v>251</v>
      </c>
      <c r="B942" s="8">
        <v>-1.9865190328797109</v>
      </c>
      <c r="C942" s="8">
        <v>-1.2694850305255347</v>
      </c>
      <c r="D942" s="8">
        <v>-3.2127045366234341E-2</v>
      </c>
      <c r="E942" s="7">
        <v>0</v>
      </c>
      <c r="F942" s="7">
        <v>-1.4990516053215155E-2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3">
        <f t="shared" si="121"/>
        <v>-1.3110877147995414E-4</v>
      </c>
      <c r="M942" s="3">
        <v>-1.9870000000000001</v>
      </c>
      <c r="N942" s="3">
        <v>-1.2689999999999999</v>
      </c>
      <c r="O942" s="3">
        <v>-3.2000000000000001E-2</v>
      </c>
      <c r="P942" s="35">
        <v>0</v>
      </c>
      <c r="Q942" s="35">
        <v>-1.49698E-2</v>
      </c>
      <c r="R942" s="35">
        <v>0</v>
      </c>
      <c r="S942" s="35">
        <v>-4.76502E-3</v>
      </c>
      <c r="T942" s="35">
        <v>0</v>
      </c>
      <c r="U942" s="35">
        <v>4.76502E-3</v>
      </c>
      <c r="V942" s="35">
        <v>0</v>
      </c>
    </row>
    <row r="943" spans="1:22">
      <c r="A943" s="7"/>
      <c r="B943" s="8">
        <v>0.85843073718374274</v>
      </c>
      <c r="C943" s="8">
        <v>-1.040962775001312</v>
      </c>
      <c r="D943" s="8">
        <v>3.7610117674176324E-2</v>
      </c>
      <c r="E943" s="7">
        <v>0</v>
      </c>
      <c r="F943" s="7">
        <v>0</v>
      </c>
      <c r="G943" s="7">
        <v>-1.4990516053215155E-2</v>
      </c>
      <c r="H943" s="7">
        <v>0</v>
      </c>
      <c r="I943" s="7">
        <v>0</v>
      </c>
      <c r="J943" s="7">
        <v>0</v>
      </c>
      <c r="K943" s="7">
        <v>0</v>
      </c>
      <c r="L943" s="3">
        <f t="shared" si="121"/>
        <v>7.807985660693989E-5</v>
      </c>
      <c r="M943" s="3">
        <v>0.85799999999999998</v>
      </c>
      <c r="N943" s="3">
        <v>-1.0409999999999999</v>
      </c>
      <c r="O943" s="3">
        <v>3.7999999999999999E-2</v>
      </c>
      <c r="P943" s="35">
        <v>0</v>
      </c>
      <c r="Q943" s="35">
        <v>0</v>
      </c>
      <c r="R943" s="35">
        <v>-1.49698E-2</v>
      </c>
      <c r="S943" s="35">
        <v>-4.76502E-3</v>
      </c>
      <c r="T943" s="35">
        <v>0</v>
      </c>
      <c r="U943" s="35">
        <v>0</v>
      </c>
      <c r="V943" s="35">
        <v>4.76502E-3</v>
      </c>
    </row>
    <row r="944" spans="1:22">
      <c r="A944" s="7"/>
      <c r="B944" s="8"/>
      <c r="C944" s="8"/>
      <c r="D944" s="8"/>
      <c r="E944" s="7"/>
      <c r="F944" s="7"/>
      <c r="G944" s="7"/>
      <c r="H944" s="7"/>
      <c r="I944" s="7"/>
      <c r="J944" s="7"/>
      <c r="K944" s="7"/>
    </row>
    <row r="945" spans="1:22">
      <c r="A945" s="7"/>
      <c r="B945" s="8">
        <v>0.45824053226673911</v>
      </c>
      <c r="C945" s="8">
        <v>-2.124969022302313</v>
      </c>
      <c r="D945" s="8">
        <v>2.076961144994538E-2</v>
      </c>
      <c r="E945" s="7">
        <v>-1.4990516053215155E-2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3">
        <f t="shared" si="122"/>
        <v>4.11214143713097E-5</v>
      </c>
      <c r="M945" s="3">
        <v>0.45800000000000002</v>
      </c>
      <c r="N945" s="3">
        <v>-2.125</v>
      </c>
      <c r="O945" s="3">
        <v>2.1000000000000001E-2</v>
      </c>
      <c r="P945" s="35">
        <v>-1.49698E-2</v>
      </c>
      <c r="Q945" s="35">
        <v>0</v>
      </c>
      <c r="R945" s="35">
        <v>0</v>
      </c>
      <c r="S945" s="35">
        <v>-4.76502E-3</v>
      </c>
      <c r="T945" s="35">
        <v>4.76502E-3</v>
      </c>
      <c r="U945" s="35">
        <v>0</v>
      </c>
      <c r="V945" s="35">
        <v>0</v>
      </c>
    </row>
    <row r="946" spans="1:22">
      <c r="A946" s="7" t="s">
        <v>252</v>
      </c>
      <c r="B946" s="8">
        <v>-1.9865190328797109</v>
      </c>
      <c r="C946" s="8">
        <v>-1.2694850305255347</v>
      </c>
      <c r="D946" s="8">
        <v>-3.2127045366234341E-2</v>
      </c>
      <c r="E946" s="7">
        <v>0</v>
      </c>
      <c r="F946" s="7">
        <v>-1.4990516053215155E-2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3">
        <f t="shared" si="121"/>
        <v>-1.3110877147995414E-4</v>
      </c>
      <c r="M946" s="3">
        <v>-1.9870000000000001</v>
      </c>
      <c r="N946" s="3">
        <v>-1.2689999999999999</v>
      </c>
      <c r="O946" s="3">
        <v>-3.2000000000000001E-2</v>
      </c>
      <c r="P946" s="35">
        <v>0</v>
      </c>
      <c r="Q946" s="35">
        <v>-1.49698E-2</v>
      </c>
      <c r="R946" s="35">
        <v>0</v>
      </c>
      <c r="S946" s="35">
        <v>-4.76502E-3</v>
      </c>
      <c r="T946" s="35">
        <v>0</v>
      </c>
      <c r="U946" s="35">
        <v>4.76502E-3</v>
      </c>
      <c r="V946" s="35">
        <v>0</v>
      </c>
    </row>
    <row r="947" spans="1:22">
      <c r="A947" s="7"/>
      <c r="B947" s="8">
        <v>-1.6188303733889171</v>
      </c>
      <c r="C947" s="8">
        <v>1.9594494251009342E-2</v>
      </c>
      <c r="D947" s="8">
        <v>7.7422792294721043E-2</v>
      </c>
      <c r="E947" s="7">
        <v>0</v>
      </c>
      <c r="F947" s="7">
        <v>0</v>
      </c>
      <c r="G947" s="7">
        <v>-1.4990516053215155E-2</v>
      </c>
      <c r="H947" s="7">
        <v>0</v>
      </c>
      <c r="I947" s="7">
        <v>0</v>
      </c>
      <c r="J947" s="7">
        <v>0</v>
      </c>
      <c r="K947" s="7">
        <v>0</v>
      </c>
      <c r="L947" s="3">
        <f t="shared" si="121"/>
        <v>-8.130868431867333E-4</v>
      </c>
      <c r="M947" s="3">
        <v>-1.619</v>
      </c>
      <c r="N947" s="3">
        <v>0.02</v>
      </c>
      <c r="O947" s="3">
        <v>7.8E-2</v>
      </c>
      <c r="P947" s="35">
        <v>0</v>
      </c>
      <c r="Q947" s="35">
        <v>0</v>
      </c>
      <c r="R947" s="35">
        <v>-1.49698E-2</v>
      </c>
      <c r="S947" s="35">
        <v>-4.76502E-3</v>
      </c>
      <c r="T947" s="35">
        <v>0</v>
      </c>
      <c r="U947" s="35">
        <v>0</v>
      </c>
      <c r="V947" s="35">
        <v>4.76502E-3</v>
      </c>
    </row>
    <row r="948" spans="1:22">
      <c r="A948" s="7"/>
      <c r="B948" s="8"/>
      <c r="C948" s="8"/>
      <c r="D948" s="8"/>
      <c r="E948" s="7"/>
      <c r="F948" s="7"/>
      <c r="G948" s="7"/>
      <c r="H948" s="7"/>
      <c r="I948" s="7"/>
      <c r="J948" s="7"/>
      <c r="K948" s="7"/>
    </row>
    <row r="949" spans="1:22">
      <c r="A949" s="7"/>
      <c r="B949" s="8">
        <v>0.45824053226673911</v>
      </c>
      <c r="C949" s="8">
        <v>-2.124969022302313</v>
      </c>
      <c r="D949" s="8">
        <v>2.076961144994538E-2</v>
      </c>
      <c r="E949" s="7">
        <v>-1.4990516053215155E-2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3">
        <f t="shared" si="123"/>
        <v>4.11214143713097E-5</v>
      </c>
      <c r="M949" s="3">
        <v>0.45800000000000002</v>
      </c>
      <c r="N949" s="3">
        <v>-2.125</v>
      </c>
      <c r="O949" s="3">
        <v>2.1000000000000001E-2</v>
      </c>
      <c r="P949" s="35">
        <v>-1.49698E-2</v>
      </c>
      <c r="Q949" s="35">
        <v>0</v>
      </c>
      <c r="R949" s="35">
        <v>0</v>
      </c>
      <c r="S949" s="35">
        <v>-4.76502E-3</v>
      </c>
      <c r="T949" s="35">
        <v>4.76502E-3</v>
      </c>
      <c r="U949" s="35">
        <v>0</v>
      </c>
      <c r="V949" s="35">
        <v>0</v>
      </c>
    </row>
    <row r="950" spans="1:22">
      <c r="A950" s="7" t="s">
        <v>253</v>
      </c>
      <c r="B950" s="8">
        <v>-1.9865190328797109</v>
      </c>
      <c r="C950" s="8">
        <v>-1.2694850305255347</v>
      </c>
      <c r="D950" s="8">
        <v>-3.2127045366234341E-2</v>
      </c>
      <c r="E950" s="7">
        <v>0</v>
      </c>
      <c r="F950" s="7">
        <v>-1.4990516053215155E-2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3">
        <f t="shared" si="121"/>
        <v>-1.3110877147995414E-4</v>
      </c>
      <c r="M950" s="3">
        <v>-1.9870000000000001</v>
      </c>
      <c r="N950" s="3">
        <v>-1.2689999999999999</v>
      </c>
      <c r="O950" s="3">
        <v>-3.2000000000000001E-2</v>
      </c>
      <c r="P950" s="35">
        <v>0</v>
      </c>
      <c r="Q950" s="35">
        <v>-1.49698E-2</v>
      </c>
      <c r="R950" s="35">
        <v>0</v>
      </c>
      <c r="S950" s="35">
        <v>-4.76502E-3</v>
      </c>
      <c r="T950" s="35">
        <v>0</v>
      </c>
      <c r="U950" s="35">
        <v>4.76502E-3</v>
      </c>
      <c r="V950" s="35">
        <v>0</v>
      </c>
    </row>
    <row r="951" spans="1:22">
      <c r="A951" s="7"/>
      <c r="B951" s="8">
        <v>-0.60912970227287866</v>
      </c>
      <c r="C951" s="8">
        <v>0.28261535739067112</v>
      </c>
      <c r="D951" s="8">
        <v>-0.68802996689194662</v>
      </c>
      <c r="E951" s="7">
        <v>0</v>
      </c>
      <c r="F951" s="7">
        <v>0</v>
      </c>
      <c r="G951" s="7">
        <v>-1.4990516053215155E-2</v>
      </c>
      <c r="H951" s="7">
        <v>0</v>
      </c>
      <c r="I951" s="7">
        <v>0</v>
      </c>
      <c r="J951" s="7">
        <v>0</v>
      </c>
      <c r="K951" s="7">
        <v>0</v>
      </c>
      <c r="L951" s="3">
        <f t="shared" si="121"/>
        <v>-5.4431177415414922E-4</v>
      </c>
      <c r="M951" s="3">
        <v>-0.60899999999999999</v>
      </c>
      <c r="N951" s="3">
        <v>0.28299999999999997</v>
      </c>
      <c r="O951" s="3">
        <v>-0.68799999999999994</v>
      </c>
      <c r="P951" s="35">
        <v>0</v>
      </c>
      <c r="Q951" s="35">
        <v>0</v>
      </c>
      <c r="R951" s="35">
        <v>-1.49698E-2</v>
      </c>
      <c r="S951" s="35">
        <v>-4.76502E-3</v>
      </c>
      <c r="T951" s="35">
        <v>0</v>
      </c>
      <c r="U951" s="35">
        <v>0</v>
      </c>
      <c r="V951" s="35">
        <v>4.76502E-3</v>
      </c>
    </row>
    <row r="952" spans="1:22">
      <c r="A952" s="7"/>
      <c r="B952" s="8"/>
      <c r="C952" s="8"/>
      <c r="D952" s="8"/>
      <c r="E952" s="7"/>
      <c r="F952" s="7"/>
      <c r="G952" s="7"/>
      <c r="H952" s="7"/>
      <c r="I952" s="7"/>
      <c r="J952" s="7"/>
      <c r="K952" s="7"/>
    </row>
    <row r="953" spans="1:22">
      <c r="A953" s="7"/>
      <c r="B953" s="8">
        <v>0.45824053226673911</v>
      </c>
      <c r="C953" s="8">
        <v>-2.124969022302313</v>
      </c>
      <c r="D953" s="8">
        <v>2.076961144994538E-2</v>
      </c>
      <c r="E953" s="7">
        <v>-1.4990516053215155E-2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3">
        <f t="shared" si="124"/>
        <v>4.11214143713097E-5</v>
      </c>
      <c r="M953" s="3">
        <v>0.45800000000000002</v>
      </c>
      <c r="N953" s="3">
        <v>-2.125</v>
      </c>
      <c r="O953" s="3">
        <v>2.1000000000000001E-2</v>
      </c>
      <c r="P953" s="35">
        <v>-1.49698E-2</v>
      </c>
      <c r="Q953" s="35">
        <v>0</v>
      </c>
      <c r="R953" s="35">
        <v>0</v>
      </c>
      <c r="S953" s="35">
        <v>-4.76502E-3</v>
      </c>
      <c r="T953" s="35">
        <v>4.76502E-3</v>
      </c>
      <c r="U953" s="35">
        <v>0</v>
      </c>
      <c r="V953" s="35">
        <v>0</v>
      </c>
    </row>
    <row r="954" spans="1:22">
      <c r="A954" s="7" t="s">
        <v>254</v>
      </c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-1.4990516053215155E-2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3">
        <f t="shared" si="121"/>
        <v>7.807985660693989E-5</v>
      </c>
      <c r="M954" s="3">
        <v>0.85799999999999998</v>
      </c>
      <c r="N954" s="3">
        <v>-1.0409999999999999</v>
      </c>
      <c r="O954" s="3">
        <v>3.7999999999999999E-2</v>
      </c>
      <c r="P954" s="35">
        <v>0</v>
      </c>
      <c r="Q954" s="35">
        <v>-1.49698E-2</v>
      </c>
      <c r="R954" s="35">
        <v>0</v>
      </c>
      <c r="S954" s="35">
        <v>-4.76502E-3</v>
      </c>
      <c r="T954" s="35">
        <v>0</v>
      </c>
      <c r="U954" s="35">
        <v>4.76502E-3</v>
      </c>
      <c r="V954" s="35">
        <v>0</v>
      </c>
    </row>
    <row r="955" spans="1:22">
      <c r="A955" s="7"/>
      <c r="B955" s="8">
        <v>-1.6188303733889171</v>
      </c>
      <c r="C955" s="8">
        <v>1.9594494251009342E-2</v>
      </c>
      <c r="D955" s="8">
        <v>7.7422792294721043E-2</v>
      </c>
      <c r="E955" s="7">
        <v>0</v>
      </c>
      <c r="F955" s="7">
        <v>0</v>
      </c>
      <c r="G955" s="7">
        <v>-1.4990516053215155E-2</v>
      </c>
      <c r="H955" s="7">
        <v>0</v>
      </c>
      <c r="I955" s="7">
        <v>0</v>
      </c>
      <c r="J955" s="7">
        <v>0</v>
      </c>
      <c r="K955" s="7">
        <v>0</v>
      </c>
      <c r="L955" s="3">
        <f t="shared" si="121"/>
        <v>-8.130868431867333E-4</v>
      </c>
      <c r="M955" s="3">
        <v>-1.619</v>
      </c>
      <c r="N955" s="3">
        <v>0.02</v>
      </c>
      <c r="O955" s="3">
        <v>7.8E-2</v>
      </c>
      <c r="P955" s="35">
        <v>0</v>
      </c>
      <c r="Q955" s="35">
        <v>0</v>
      </c>
      <c r="R955" s="35">
        <v>-1.49698E-2</v>
      </c>
      <c r="S955" s="35">
        <v>-4.76502E-3</v>
      </c>
      <c r="T955" s="35">
        <v>0</v>
      </c>
      <c r="U955" s="35">
        <v>0</v>
      </c>
      <c r="V955" s="35">
        <v>4.76502E-3</v>
      </c>
    </row>
    <row r="956" spans="1:22">
      <c r="A956" s="7"/>
      <c r="B956" s="8"/>
      <c r="C956" s="8"/>
      <c r="D956" s="8"/>
      <c r="E956" s="7"/>
      <c r="F956" s="7"/>
      <c r="G956" s="7"/>
      <c r="H956" s="7"/>
      <c r="I956" s="7"/>
      <c r="J956" s="7"/>
      <c r="K956" s="7"/>
    </row>
    <row r="957" spans="1:22">
      <c r="A957" s="7"/>
      <c r="B957" s="8">
        <v>0.45824053226673911</v>
      </c>
      <c r="C957" s="8">
        <v>-2.124969022302313</v>
      </c>
      <c r="D957" s="8">
        <v>2.076961144994538E-2</v>
      </c>
      <c r="E957" s="7">
        <v>-1.4990516053215155E-2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3">
        <f t="shared" si="125"/>
        <v>4.11214143713097E-5</v>
      </c>
      <c r="M957" s="3">
        <v>0.45800000000000002</v>
      </c>
      <c r="N957" s="3">
        <v>-2.125</v>
      </c>
      <c r="O957" s="3">
        <v>2.1000000000000001E-2</v>
      </c>
      <c r="P957" s="35">
        <v>-1.49698E-2</v>
      </c>
      <c r="Q957" s="35">
        <v>0</v>
      </c>
      <c r="R957" s="35">
        <v>0</v>
      </c>
      <c r="S957" s="35">
        <v>-4.76502E-3</v>
      </c>
      <c r="T957" s="35">
        <v>4.76502E-3</v>
      </c>
      <c r="U957" s="35">
        <v>0</v>
      </c>
      <c r="V957" s="35">
        <v>0</v>
      </c>
    </row>
    <row r="958" spans="1:22">
      <c r="A958" s="7" t="s">
        <v>255</v>
      </c>
      <c r="B958" s="8">
        <v>0.85843073718374274</v>
      </c>
      <c r="C958" s="8">
        <v>-1.040962775001312</v>
      </c>
      <c r="D958" s="8">
        <v>3.7610117674176324E-2</v>
      </c>
      <c r="E958" s="7">
        <v>0</v>
      </c>
      <c r="F958" s="7">
        <v>-1.4990516053215155E-2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3">
        <f t="shared" si="121"/>
        <v>7.807985660693989E-5</v>
      </c>
      <c r="M958" s="3">
        <v>0.85799999999999998</v>
      </c>
      <c r="N958" s="3">
        <v>-1.0409999999999999</v>
      </c>
      <c r="O958" s="3">
        <v>3.7999999999999999E-2</v>
      </c>
      <c r="P958" s="35">
        <v>0</v>
      </c>
      <c r="Q958" s="35">
        <v>-1.49698E-2</v>
      </c>
      <c r="R958" s="35">
        <v>0</v>
      </c>
      <c r="S958" s="35">
        <v>-4.76502E-3</v>
      </c>
      <c r="T958" s="35">
        <v>0</v>
      </c>
      <c r="U958" s="35">
        <v>4.76502E-3</v>
      </c>
      <c r="V958" s="35">
        <v>0</v>
      </c>
    </row>
    <row r="959" spans="1:22">
      <c r="A959" s="7"/>
      <c r="B959" s="8">
        <v>-0.60912970227287866</v>
      </c>
      <c r="C959" s="8">
        <v>0.28261535739067112</v>
      </c>
      <c r="D959" s="8">
        <v>-0.68802996689194662</v>
      </c>
      <c r="E959" s="7">
        <v>0</v>
      </c>
      <c r="F959" s="7">
        <v>0</v>
      </c>
      <c r="G959" s="7">
        <v>-1.4990516053215155E-2</v>
      </c>
      <c r="H959" s="7">
        <v>0</v>
      </c>
      <c r="I959" s="7">
        <v>0</v>
      </c>
      <c r="J959" s="7">
        <v>0</v>
      </c>
      <c r="K959" s="7">
        <v>0</v>
      </c>
      <c r="L959" s="3">
        <f t="shared" si="121"/>
        <v>-5.4431177415414922E-4</v>
      </c>
      <c r="M959" s="3">
        <v>-0.60899999999999999</v>
      </c>
      <c r="N959" s="3">
        <v>0.28299999999999997</v>
      </c>
      <c r="O959" s="3">
        <v>-0.68799999999999994</v>
      </c>
      <c r="P959" s="35">
        <v>0</v>
      </c>
      <c r="Q959" s="35">
        <v>0</v>
      </c>
      <c r="R959" s="35">
        <v>-1.49698E-2</v>
      </c>
      <c r="S959" s="35">
        <v>-4.76502E-3</v>
      </c>
      <c r="T959" s="35">
        <v>0</v>
      </c>
      <c r="U959" s="35">
        <v>0</v>
      </c>
      <c r="V959" s="35">
        <v>4.76502E-3</v>
      </c>
    </row>
    <row r="960" spans="1:22">
      <c r="A960" s="7"/>
      <c r="B960" s="8"/>
      <c r="C960" s="8"/>
      <c r="D960" s="8"/>
      <c r="E960" s="7"/>
      <c r="F960" s="7"/>
      <c r="G960" s="7"/>
      <c r="H960" s="7"/>
      <c r="I960" s="7"/>
      <c r="J960" s="7"/>
      <c r="K960" s="7"/>
    </row>
    <row r="961" spans="1:22">
      <c r="A961" s="7"/>
      <c r="B961" s="8">
        <v>0.45824053226673911</v>
      </c>
      <c r="C961" s="8">
        <v>-2.124969022302313</v>
      </c>
      <c r="D961" s="8">
        <v>2.076961144994538E-2</v>
      </c>
      <c r="E961" s="7">
        <v>-1.4990516053215155E-2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3">
        <f t="shared" si="126"/>
        <v>4.11214143713097E-5</v>
      </c>
      <c r="M961" s="3">
        <v>0.45800000000000002</v>
      </c>
      <c r="N961" s="3">
        <v>-2.125</v>
      </c>
      <c r="O961" s="3">
        <v>2.1000000000000001E-2</v>
      </c>
      <c r="P961" s="35">
        <v>-1.49698E-2</v>
      </c>
      <c r="Q961" s="35">
        <v>0</v>
      </c>
      <c r="R961" s="35">
        <v>0</v>
      </c>
      <c r="S961" s="35">
        <v>-4.76502E-3</v>
      </c>
      <c r="T961" s="35">
        <v>4.76502E-3</v>
      </c>
      <c r="U961" s="35">
        <v>0</v>
      </c>
      <c r="V961" s="35">
        <v>0</v>
      </c>
    </row>
    <row r="962" spans="1:22">
      <c r="A962" s="7" t="s">
        <v>256</v>
      </c>
      <c r="B962" s="8">
        <v>-1.6188303733889171</v>
      </c>
      <c r="C962" s="8">
        <v>1.9594494251009342E-2</v>
      </c>
      <c r="D962" s="8">
        <v>7.7422792294721043E-2</v>
      </c>
      <c r="E962" s="7">
        <v>0</v>
      </c>
      <c r="F962" s="7">
        <v>-1.4990516053215155E-2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3">
        <f t="shared" si="121"/>
        <v>-8.130868431867333E-4</v>
      </c>
      <c r="M962" s="3">
        <v>-1.619</v>
      </c>
      <c r="N962" s="3">
        <v>0.02</v>
      </c>
      <c r="O962" s="3">
        <v>7.8E-2</v>
      </c>
      <c r="P962" s="35">
        <v>0</v>
      </c>
      <c r="Q962" s="35">
        <v>-1.49698E-2</v>
      </c>
      <c r="R962" s="35">
        <v>0</v>
      </c>
      <c r="S962" s="35">
        <v>-4.76502E-3</v>
      </c>
      <c r="T962" s="35">
        <v>0</v>
      </c>
      <c r="U962" s="35">
        <v>4.76502E-3</v>
      </c>
      <c r="V962" s="35">
        <v>0</v>
      </c>
    </row>
    <row r="963" spans="1:22">
      <c r="A963" s="7"/>
      <c r="B963" s="8">
        <v>-0.60912970227287866</v>
      </c>
      <c r="C963" s="8">
        <v>0.28261535739067112</v>
      </c>
      <c r="D963" s="8">
        <v>-0.68802996689194662</v>
      </c>
      <c r="E963" s="7">
        <v>0</v>
      </c>
      <c r="F963" s="7">
        <v>0</v>
      </c>
      <c r="G963" s="7">
        <v>-1.4990516053215155E-2</v>
      </c>
      <c r="H963" s="7">
        <v>0</v>
      </c>
      <c r="I963" s="7">
        <v>0</v>
      </c>
      <c r="J963" s="7">
        <v>0</v>
      </c>
      <c r="K963" s="7">
        <v>0</v>
      </c>
      <c r="L963" s="3">
        <f t="shared" si="121"/>
        <v>-5.4431177415414922E-4</v>
      </c>
      <c r="M963" s="3">
        <v>-0.60899999999999999</v>
      </c>
      <c r="N963" s="3">
        <v>0.28299999999999997</v>
      </c>
      <c r="O963" s="3">
        <v>-0.68799999999999994</v>
      </c>
      <c r="P963" s="35">
        <v>0</v>
      </c>
      <c r="Q963" s="35">
        <v>0</v>
      </c>
      <c r="R963" s="35">
        <v>-1.49698E-2</v>
      </c>
      <c r="S963" s="35">
        <v>-4.76502E-3</v>
      </c>
      <c r="T963" s="35">
        <v>0</v>
      </c>
      <c r="U963" s="35">
        <v>0</v>
      </c>
      <c r="V963" s="35">
        <v>4.76502E-3</v>
      </c>
    </row>
    <row r="964" spans="1:22">
      <c r="A964" s="7"/>
      <c r="B964" s="8"/>
      <c r="C964" s="8"/>
      <c r="D964" s="8"/>
      <c r="E964" s="7"/>
      <c r="F964" s="7"/>
      <c r="G964" s="7"/>
      <c r="H964" s="7"/>
      <c r="I964" s="7"/>
      <c r="J964" s="7"/>
      <c r="K964" s="7"/>
    </row>
    <row r="965" spans="1:22">
      <c r="A965" s="7"/>
      <c r="B965" s="8">
        <v>-1.9865190328797109</v>
      </c>
      <c r="C965" s="8">
        <v>-1.2694850305255347</v>
      </c>
      <c r="D965" s="8">
        <v>-3.2127045366234341E-2</v>
      </c>
      <c r="E965" s="7">
        <v>-1.4990516053215155E-2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3">
        <f t="shared" si="127"/>
        <v>-1.3110877147995414E-4</v>
      </c>
      <c r="M965" s="3">
        <v>-1.9870000000000001</v>
      </c>
      <c r="N965" s="3">
        <v>-1.2689999999999999</v>
      </c>
      <c r="O965" s="3">
        <v>-3.2000000000000001E-2</v>
      </c>
      <c r="P965" s="35">
        <v>-1.49698E-2</v>
      </c>
      <c r="Q965" s="35">
        <v>0</v>
      </c>
      <c r="R965" s="35">
        <v>0</v>
      </c>
      <c r="S965" s="35">
        <v>-4.76502E-3</v>
      </c>
      <c r="T965" s="35">
        <v>4.76502E-3</v>
      </c>
      <c r="U965" s="35">
        <v>0</v>
      </c>
      <c r="V965" s="35">
        <v>0</v>
      </c>
    </row>
    <row r="966" spans="1:22">
      <c r="A966" s="7" t="s">
        <v>257</v>
      </c>
      <c r="B966" s="8">
        <v>0.85843073718374274</v>
      </c>
      <c r="C966" s="8">
        <v>-1.040962775001312</v>
      </c>
      <c r="D966" s="8">
        <v>3.7610117674176324E-2</v>
      </c>
      <c r="E966" s="7">
        <v>0</v>
      </c>
      <c r="F966" s="7">
        <v>-1.4990516053215155E-2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3">
        <f t="shared" si="121"/>
        <v>7.807985660693989E-5</v>
      </c>
      <c r="M966" s="3">
        <v>0.85799999999999998</v>
      </c>
      <c r="N966" s="3">
        <v>-1.0409999999999999</v>
      </c>
      <c r="O966" s="3">
        <v>3.7999999999999999E-2</v>
      </c>
      <c r="P966" s="35">
        <v>0</v>
      </c>
      <c r="Q966" s="35">
        <v>-1.49698E-2</v>
      </c>
      <c r="R966" s="35">
        <v>0</v>
      </c>
      <c r="S966" s="35">
        <v>-4.76502E-3</v>
      </c>
      <c r="T966" s="35">
        <v>0</v>
      </c>
      <c r="U966" s="35">
        <v>4.76502E-3</v>
      </c>
      <c r="V966" s="35">
        <v>0</v>
      </c>
    </row>
    <row r="967" spans="1:22">
      <c r="A967" s="7"/>
      <c r="B967" s="8">
        <v>-1.6188303733889171</v>
      </c>
      <c r="C967" s="8">
        <v>1.9594494251009342E-2</v>
      </c>
      <c r="D967" s="8">
        <v>7.7422792294721043E-2</v>
      </c>
      <c r="E967" s="7">
        <v>0</v>
      </c>
      <c r="F967" s="7">
        <v>0</v>
      </c>
      <c r="G967" s="7">
        <v>-1.4990516053215155E-2</v>
      </c>
      <c r="H967" s="7">
        <v>0</v>
      </c>
      <c r="I967" s="7">
        <v>0</v>
      </c>
      <c r="J967" s="7">
        <v>0</v>
      </c>
      <c r="K967" s="7">
        <v>0</v>
      </c>
      <c r="L967" s="3">
        <f t="shared" si="121"/>
        <v>-8.130868431867333E-4</v>
      </c>
      <c r="M967" s="3">
        <v>-1.619</v>
      </c>
      <c r="N967" s="3">
        <v>0.02</v>
      </c>
      <c r="O967" s="3">
        <v>7.8E-2</v>
      </c>
      <c r="P967" s="35">
        <v>0</v>
      </c>
      <c r="Q967" s="35">
        <v>0</v>
      </c>
      <c r="R967" s="35">
        <v>-1.49698E-2</v>
      </c>
      <c r="S967" s="35">
        <v>-4.76502E-3</v>
      </c>
      <c r="T967" s="35">
        <v>0</v>
      </c>
      <c r="U967" s="35">
        <v>0</v>
      </c>
      <c r="V967" s="35">
        <v>4.76502E-3</v>
      </c>
    </row>
    <row r="968" spans="1:22">
      <c r="A968" s="7"/>
      <c r="B968" s="8"/>
      <c r="C968" s="8"/>
      <c r="D968" s="8"/>
      <c r="E968" s="7"/>
      <c r="F968" s="7"/>
      <c r="G968" s="7"/>
      <c r="H968" s="7"/>
      <c r="I968" s="7"/>
      <c r="J968" s="7"/>
      <c r="K968" s="7"/>
    </row>
    <row r="969" spans="1:22">
      <c r="A969" s="7"/>
      <c r="B969" s="8">
        <v>-1.9865190328797109</v>
      </c>
      <c r="C969" s="8">
        <v>-1.2694850305255347</v>
      </c>
      <c r="D969" s="8">
        <v>-3.2127045366234341E-2</v>
      </c>
      <c r="E969" s="7">
        <v>-1.4990516053215155E-2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3">
        <f t="shared" si="128"/>
        <v>-1.3110877147995414E-4</v>
      </c>
      <c r="M969" s="3">
        <v>-1.9870000000000001</v>
      </c>
      <c r="N969" s="3">
        <v>-1.2689999999999999</v>
      </c>
      <c r="O969" s="3">
        <v>-3.2000000000000001E-2</v>
      </c>
      <c r="P969" s="35">
        <v>-1.49698E-2</v>
      </c>
      <c r="Q969" s="35">
        <v>0</v>
      </c>
      <c r="R969" s="35">
        <v>0</v>
      </c>
      <c r="S969" s="35">
        <v>-4.76502E-3</v>
      </c>
      <c r="T969" s="35">
        <v>4.76502E-3</v>
      </c>
      <c r="U969" s="35">
        <v>0</v>
      </c>
      <c r="V969" s="35">
        <v>0</v>
      </c>
    </row>
    <row r="970" spans="1:22">
      <c r="A970" s="7" t="s">
        <v>258</v>
      </c>
      <c r="B970" s="8">
        <v>0.85843073718374274</v>
      </c>
      <c r="C970" s="8">
        <v>-1.040962775001312</v>
      </c>
      <c r="D970" s="8">
        <v>3.7610117674176324E-2</v>
      </c>
      <c r="E970" s="7">
        <v>0</v>
      </c>
      <c r="F970" s="7">
        <v>-1.4990516053215155E-2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3">
        <f t="shared" si="128"/>
        <v>7.807985660693989E-5</v>
      </c>
      <c r="M970" s="3">
        <v>0.85799999999999998</v>
      </c>
      <c r="N970" s="3">
        <v>-1.0409999999999999</v>
      </c>
      <c r="O970" s="3">
        <v>3.7999999999999999E-2</v>
      </c>
      <c r="P970" s="35">
        <v>0</v>
      </c>
      <c r="Q970" s="35">
        <v>-1.49698E-2</v>
      </c>
      <c r="R970" s="35">
        <v>0</v>
      </c>
      <c r="S970" s="35">
        <v>-4.76502E-3</v>
      </c>
      <c r="T970" s="35">
        <v>0</v>
      </c>
      <c r="U970" s="35">
        <v>4.76502E-3</v>
      </c>
      <c r="V970" s="35">
        <v>0</v>
      </c>
    </row>
    <row r="971" spans="1:22">
      <c r="A971" s="7"/>
      <c r="B971" s="8">
        <v>-0.60912970227287866</v>
      </c>
      <c r="C971" s="8">
        <v>0.28261535739067112</v>
      </c>
      <c r="D971" s="8">
        <v>-0.68802996689194662</v>
      </c>
      <c r="E971" s="7">
        <v>0</v>
      </c>
      <c r="F971" s="7">
        <v>0</v>
      </c>
      <c r="G971" s="7">
        <v>-1.4990516053215155E-2</v>
      </c>
      <c r="H971" s="7">
        <v>0</v>
      </c>
      <c r="I971" s="7">
        <v>0</v>
      </c>
      <c r="J971" s="7">
        <v>0</v>
      </c>
      <c r="K971" s="7">
        <v>0</v>
      </c>
      <c r="L971" s="3">
        <f t="shared" si="128"/>
        <v>-5.4431177415414922E-4</v>
      </c>
      <c r="M971" s="3">
        <v>-0.60899999999999999</v>
      </c>
      <c r="N971" s="3">
        <v>0.28299999999999997</v>
      </c>
      <c r="O971" s="3">
        <v>-0.68799999999999994</v>
      </c>
      <c r="P971" s="35">
        <v>0</v>
      </c>
      <c r="Q971" s="35">
        <v>0</v>
      </c>
      <c r="R971" s="35">
        <v>-1.49698E-2</v>
      </c>
      <c r="S971" s="35">
        <v>-4.76502E-3</v>
      </c>
      <c r="T971" s="35">
        <v>0</v>
      </c>
      <c r="U971" s="35">
        <v>0</v>
      </c>
      <c r="V971" s="35">
        <v>4.76502E-3</v>
      </c>
    </row>
    <row r="972" spans="1:22">
      <c r="A972" s="7"/>
      <c r="B972" s="8"/>
      <c r="C972" s="8"/>
      <c r="D972" s="8"/>
      <c r="E972" s="7"/>
      <c r="F972" s="7"/>
      <c r="G972" s="7"/>
      <c r="H972" s="7"/>
      <c r="I972" s="7"/>
      <c r="J972" s="7"/>
      <c r="K972" s="7"/>
    </row>
    <row r="973" spans="1:22">
      <c r="A973" s="7"/>
      <c r="B973" s="8">
        <v>-1.9865190328797109</v>
      </c>
      <c r="C973" s="8">
        <v>-1.2694850305255347</v>
      </c>
      <c r="D973" s="8">
        <v>-3.2127045366234341E-2</v>
      </c>
      <c r="E973" s="7">
        <v>-1.4990516053215155E-2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3">
        <f t="shared" ref="L973:L1011" si="130">B973-M973+C973-N973+D973-O973</f>
        <v>-1.3110877147995414E-4</v>
      </c>
      <c r="M973" s="3">
        <v>-1.9870000000000001</v>
      </c>
      <c r="N973" s="3">
        <v>-1.2689999999999999</v>
      </c>
      <c r="O973" s="3">
        <v>-3.2000000000000001E-2</v>
      </c>
      <c r="P973" s="35">
        <v>-1.49698E-2</v>
      </c>
      <c r="Q973" s="35">
        <v>0</v>
      </c>
      <c r="R973" s="35">
        <v>0</v>
      </c>
      <c r="S973" s="35">
        <v>-4.76502E-3</v>
      </c>
      <c r="T973" s="35">
        <v>4.76502E-3</v>
      </c>
      <c r="U973" s="35">
        <v>0</v>
      </c>
      <c r="V973" s="35">
        <v>0</v>
      </c>
    </row>
    <row r="974" spans="1:22">
      <c r="A974" s="7" t="s">
        <v>259</v>
      </c>
      <c r="B974" s="8">
        <v>-1.6188303733889171</v>
      </c>
      <c r="C974" s="8">
        <v>1.9594494251009342E-2</v>
      </c>
      <c r="D974" s="8">
        <v>7.7422792294721043E-2</v>
      </c>
      <c r="E974" s="7">
        <v>0</v>
      </c>
      <c r="F974" s="7">
        <v>-1.4990516053215155E-2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3">
        <f t="shared" si="130"/>
        <v>-8.130868431867333E-4</v>
      </c>
      <c r="M974" s="3">
        <v>-1.619</v>
      </c>
      <c r="N974" s="3">
        <v>0.02</v>
      </c>
      <c r="O974" s="3">
        <v>7.8E-2</v>
      </c>
      <c r="P974" s="35">
        <v>0</v>
      </c>
      <c r="Q974" s="35">
        <v>-1.49698E-2</v>
      </c>
      <c r="R974" s="35">
        <v>0</v>
      </c>
      <c r="S974" s="35">
        <v>-4.76502E-3</v>
      </c>
      <c r="T974" s="35">
        <v>0</v>
      </c>
      <c r="U974" s="35">
        <v>4.76502E-3</v>
      </c>
      <c r="V974" s="35">
        <v>0</v>
      </c>
    </row>
    <row r="975" spans="1:22">
      <c r="A975" s="7"/>
      <c r="B975" s="8">
        <v>-0.60912970227287866</v>
      </c>
      <c r="C975" s="8">
        <v>0.28261535739067112</v>
      </c>
      <c r="D975" s="8">
        <v>-0.68802996689194662</v>
      </c>
      <c r="E975" s="7">
        <v>0</v>
      </c>
      <c r="F975" s="7">
        <v>0</v>
      </c>
      <c r="G975" s="7">
        <v>-1.4990516053215155E-2</v>
      </c>
      <c r="H975" s="7">
        <v>0</v>
      </c>
      <c r="I975" s="7">
        <v>0</v>
      </c>
      <c r="J975" s="7">
        <v>0</v>
      </c>
      <c r="K975" s="7">
        <v>0</v>
      </c>
      <c r="L975" s="3">
        <f t="shared" si="130"/>
        <v>-5.4431177415414922E-4</v>
      </c>
      <c r="M975" s="3">
        <v>-0.60899999999999999</v>
      </c>
      <c r="N975" s="3">
        <v>0.28299999999999997</v>
      </c>
      <c r="O975" s="3">
        <v>-0.68799999999999994</v>
      </c>
      <c r="P975" s="35">
        <v>0</v>
      </c>
      <c r="Q975" s="35">
        <v>0</v>
      </c>
      <c r="R975" s="35">
        <v>-1.49698E-2</v>
      </c>
      <c r="S975" s="35">
        <v>-4.76502E-3</v>
      </c>
      <c r="T975" s="35">
        <v>0</v>
      </c>
      <c r="U975" s="35">
        <v>0</v>
      </c>
      <c r="V975" s="35">
        <v>4.76502E-3</v>
      </c>
    </row>
    <row r="976" spans="1:22">
      <c r="A976" s="7"/>
      <c r="B976" s="8"/>
      <c r="C976" s="8"/>
      <c r="D976" s="8"/>
      <c r="E976" s="7"/>
      <c r="F976" s="7"/>
      <c r="G976" s="7"/>
      <c r="H976" s="7"/>
      <c r="I976" s="7"/>
      <c r="J976" s="7"/>
      <c r="K976" s="7"/>
    </row>
    <row r="977" spans="1:22">
      <c r="A977" s="7"/>
      <c r="B977" s="8">
        <v>0.85843073718374274</v>
      </c>
      <c r="C977" s="8">
        <v>-1.040962775001312</v>
      </c>
      <c r="D977" s="8">
        <v>3.7610117674176324E-2</v>
      </c>
      <c r="E977" s="7">
        <v>-1.4990516053215155E-2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3">
        <f t="shared" si="128"/>
        <v>7.807985660693989E-5</v>
      </c>
      <c r="M977" s="3">
        <v>0.85799999999999998</v>
      </c>
      <c r="N977" s="3">
        <v>-1.0409999999999999</v>
      </c>
      <c r="O977" s="3">
        <v>3.7999999999999999E-2</v>
      </c>
      <c r="P977" s="35">
        <v>-1.49698E-2</v>
      </c>
      <c r="Q977" s="35">
        <v>0</v>
      </c>
      <c r="R977" s="35">
        <v>0</v>
      </c>
      <c r="S977" s="35">
        <v>-4.76502E-3</v>
      </c>
      <c r="T977" s="35">
        <v>4.76502E-3</v>
      </c>
      <c r="U977" s="35">
        <v>0</v>
      </c>
      <c r="V977" s="35">
        <v>0</v>
      </c>
    </row>
    <row r="978" spans="1:22">
      <c r="A978" s="7" t="s">
        <v>260</v>
      </c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-1.4990516053215155E-2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3">
        <f t="shared" si="128"/>
        <v>-8.130868431867333E-4</v>
      </c>
      <c r="M978" s="3">
        <v>-1.619</v>
      </c>
      <c r="N978" s="3">
        <v>0.02</v>
      </c>
      <c r="O978" s="3">
        <v>7.8E-2</v>
      </c>
      <c r="P978" s="35">
        <v>0</v>
      </c>
      <c r="Q978" s="35">
        <v>-1.49698E-2</v>
      </c>
      <c r="R978" s="35">
        <v>0</v>
      </c>
      <c r="S978" s="35">
        <v>-4.76502E-3</v>
      </c>
      <c r="T978" s="35">
        <v>0</v>
      </c>
      <c r="U978" s="35">
        <v>4.76502E-3</v>
      </c>
      <c r="V978" s="35">
        <v>0</v>
      </c>
    </row>
    <row r="979" spans="1:22">
      <c r="A979" s="7"/>
      <c r="B979" s="8">
        <v>-0.60912970227287866</v>
      </c>
      <c r="C979" s="8">
        <v>0.28261535739067112</v>
      </c>
      <c r="D979" s="8">
        <v>-0.68802996689194662</v>
      </c>
      <c r="E979" s="7">
        <v>0</v>
      </c>
      <c r="F979" s="7">
        <v>0</v>
      </c>
      <c r="G979" s="7">
        <v>-1.4990516053215155E-2</v>
      </c>
      <c r="H979" s="7">
        <v>0</v>
      </c>
      <c r="I979" s="7">
        <v>0</v>
      </c>
      <c r="J979" s="7">
        <v>0</v>
      </c>
      <c r="K979" s="7">
        <v>0</v>
      </c>
      <c r="L979" s="3">
        <f t="shared" si="128"/>
        <v>-5.4431177415414922E-4</v>
      </c>
      <c r="M979" s="3">
        <v>-0.60899999999999999</v>
      </c>
      <c r="N979" s="3">
        <v>0.28299999999999997</v>
      </c>
      <c r="O979" s="3">
        <v>-0.68799999999999994</v>
      </c>
      <c r="P979" s="35">
        <v>0</v>
      </c>
      <c r="Q979" s="35">
        <v>0</v>
      </c>
      <c r="R979" s="35">
        <v>-1.49698E-2</v>
      </c>
      <c r="S979" s="35">
        <v>-4.76502E-3</v>
      </c>
      <c r="T979" s="35">
        <v>0</v>
      </c>
      <c r="U979" s="35">
        <v>0</v>
      </c>
      <c r="V979" s="35">
        <v>4.76502E-3</v>
      </c>
    </row>
    <row r="980" spans="1:22">
      <c r="A980" s="7"/>
      <c r="B980" s="8"/>
      <c r="C980" s="8"/>
      <c r="D980" s="8"/>
      <c r="E980" s="7"/>
      <c r="F980" s="7"/>
      <c r="G980" s="7"/>
      <c r="H980" s="7"/>
      <c r="I980" s="7"/>
      <c r="J980" s="7"/>
      <c r="K980" s="7"/>
    </row>
    <row r="981" spans="1:22">
      <c r="A981" s="7"/>
      <c r="B981" s="8">
        <v>2.5457845528396139E-2</v>
      </c>
      <c r="C981" s="8">
        <v>-2.3667658472617719</v>
      </c>
      <c r="D981" s="8">
        <v>-6.368425350466822E-2</v>
      </c>
      <c r="E981" s="7">
        <v>-1.4990516053215155E-2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3">
        <f t="shared" ref="L981:L1017" si="131">B981-M981+C981-N981+D981-O981</f>
        <v>7.7447619560300218E-6</v>
      </c>
      <c r="M981" s="3">
        <v>2.5000000000000001E-2</v>
      </c>
      <c r="N981" s="3">
        <v>-2.367</v>
      </c>
      <c r="O981" s="3">
        <v>-6.3E-2</v>
      </c>
      <c r="P981" s="35">
        <v>-1.49698E-2</v>
      </c>
      <c r="Q981" s="35">
        <v>0</v>
      </c>
      <c r="R981" s="35">
        <v>0</v>
      </c>
      <c r="S981" s="35">
        <v>-4.76502E-3</v>
      </c>
      <c r="T981" s="35">
        <v>4.76502E-3</v>
      </c>
      <c r="U981" s="35">
        <v>0</v>
      </c>
      <c r="V981" s="35">
        <v>0</v>
      </c>
    </row>
    <row r="982" spans="1:22">
      <c r="A982" s="7" t="s">
        <v>261</v>
      </c>
      <c r="B982" s="8">
        <v>-1.2284177840385118</v>
      </c>
      <c r="C982" s="8">
        <v>-2.3993580133895418</v>
      </c>
      <c r="D982" s="8">
        <v>0.6756623603325641</v>
      </c>
      <c r="E982" s="7">
        <v>0</v>
      </c>
      <c r="F982" s="7">
        <v>-1.4990516053215155E-2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3">
        <f t="shared" si="128"/>
        <v>8.8656290451050168E-4</v>
      </c>
      <c r="M982" s="3">
        <v>-1.2290000000000001</v>
      </c>
      <c r="N982" s="3">
        <v>-2.4</v>
      </c>
      <c r="O982" s="3">
        <v>0.67600000000000005</v>
      </c>
      <c r="P982" s="35">
        <v>0</v>
      </c>
      <c r="Q982" s="35">
        <v>-1.49698E-2</v>
      </c>
      <c r="R982" s="35">
        <v>0</v>
      </c>
      <c r="S982" s="35">
        <v>-4.76502E-3</v>
      </c>
      <c r="T982" s="35">
        <v>0</v>
      </c>
      <c r="U982" s="35">
        <v>4.76502E-3</v>
      </c>
      <c r="V982" s="35">
        <v>0</v>
      </c>
    </row>
    <row r="983" spans="1:22">
      <c r="A983" s="7"/>
      <c r="B983" s="8">
        <v>1.0673702345396179</v>
      </c>
      <c r="C983" s="8">
        <v>-2.4075843796929846</v>
      </c>
      <c r="D983" s="8">
        <v>0.708799578341892</v>
      </c>
      <c r="E983" s="7">
        <v>0</v>
      </c>
      <c r="F983" s="7">
        <v>0</v>
      </c>
      <c r="G983" s="7">
        <v>-1.4990516053215155E-2</v>
      </c>
      <c r="H983" s="7">
        <v>0</v>
      </c>
      <c r="I983" s="7">
        <v>0</v>
      </c>
      <c r="J983" s="7">
        <v>0</v>
      </c>
      <c r="K983" s="7">
        <v>0</v>
      </c>
      <c r="L983" s="3">
        <f t="shared" si="128"/>
        <v>5.8543318852555259E-4</v>
      </c>
      <c r="M983" s="3">
        <v>1.0669999999999999</v>
      </c>
      <c r="N983" s="3">
        <v>-2.4079999999999999</v>
      </c>
      <c r="O983" s="3">
        <v>0.70899999999999996</v>
      </c>
      <c r="P983" s="35">
        <v>0</v>
      </c>
      <c r="Q983" s="35">
        <v>0</v>
      </c>
      <c r="R983" s="35">
        <v>-1.49698E-2</v>
      </c>
      <c r="S983" s="35">
        <v>-4.76502E-3</v>
      </c>
      <c r="T983" s="35">
        <v>0</v>
      </c>
      <c r="U983" s="35">
        <v>0</v>
      </c>
      <c r="V983" s="35">
        <v>4.76502E-3</v>
      </c>
    </row>
    <row r="984" spans="1:22">
      <c r="A984" s="7"/>
      <c r="B984" s="8"/>
      <c r="C984" s="8"/>
      <c r="D984" s="8"/>
      <c r="E984" s="7"/>
      <c r="F984" s="7"/>
      <c r="G984" s="7"/>
      <c r="H984" s="7"/>
      <c r="I984" s="7"/>
      <c r="J984" s="7"/>
      <c r="K984" s="7"/>
    </row>
    <row r="985" spans="1:22">
      <c r="A985" s="7"/>
      <c r="B985" s="8">
        <v>2.5457845528396139E-2</v>
      </c>
      <c r="C985" s="8">
        <v>-2.3667658472617719</v>
      </c>
      <c r="D985" s="8">
        <v>-6.368425350466822E-2</v>
      </c>
      <c r="E985" s="7">
        <v>-1.4990516053215155E-2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3">
        <f t="shared" ref="L985:L1021" si="132">B985-M985+C985-N985+D985-O985</f>
        <v>7.7447619560300218E-6</v>
      </c>
      <c r="M985" s="3">
        <v>2.5000000000000001E-2</v>
      </c>
      <c r="N985" s="3">
        <v>-2.367</v>
      </c>
      <c r="O985" s="3">
        <v>-6.3E-2</v>
      </c>
      <c r="P985" s="35">
        <v>-1.49698E-2</v>
      </c>
      <c r="Q985" s="35">
        <v>0</v>
      </c>
      <c r="R985" s="35">
        <v>0</v>
      </c>
      <c r="S985" s="35">
        <v>-4.76502E-3</v>
      </c>
      <c r="T985" s="35">
        <v>4.76502E-3</v>
      </c>
      <c r="U985" s="35">
        <v>0</v>
      </c>
      <c r="V985" s="35">
        <v>0</v>
      </c>
    </row>
    <row r="986" spans="1:22">
      <c r="A986" s="7" t="s">
        <v>262</v>
      </c>
      <c r="B986" s="8">
        <v>-1.2284177840385118</v>
      </c>
      <c r="C986" s="8">
        <v>-2.3993580133895418</v>
      </c>
      <c r="D986" s="8">
        <v>0.6756623603325641</v>
      </c>
      <c r="E986" s="7">
        <v>0</v>
      </c>
      <c r="F986" s="7">
        <v>-1.4990516053215155E-2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3">
        <f t="shared" si="128"/>
        <v>8.8656290451050168E-4</v>
      </c>
      <c r="M986" s="3">
        <v>-1.2290000000000001</v>
      </c>
      <c r="N986" s="3">
        <v>-2.4</v>
      </c>
      <c r="O986" s="3">
        <v>0.67600000000000005</v>
      </c>
      <c r="P986" s="35">
        <v>0</v>
      </c>
      <c r="Q986" s="35">
        <v>-1.49698E-2</v>
      </c>
      <c r="R986" s="35">
        <v>0</v>
      </c>
      <c r="S986" s="35">
        <v>-4.76502E-3</v>
      </c>
      <c r="T986" s="35">
        <v>0</v>
      </c>
      <c r="U986" s="35">
        <v>4.76502E-3</v>
      </c>
      <c r="V986" s="35">
        <v>0</v>
      </c>
    </row>
    <row r="987" spans="1:22">
      <c r="A987" s="7"/>
      <c r="B987" s="8">
        <v>-1.3773893306068323</v>
      </c>
      <c r="C987" s="8">
        <v>-1.5521003879162059</v>
      </c>
      <c r="D987" s="8">
        <v>0.65590292152571228</v>
      </c>
      <c r="E987" s="7">
        <v>0</v>
      </c>
      <c r="F987" s="7">
        <v>0</v>
      </c>
      <c r="G987" s="7">
        <v>-1.4990516053215155E-2</v>
      </c>
      <c r="H987" s="7">
        <v>0</v>
      </c>
      <c r="I987" s="7">
        <v>0</v>
      </c>
      <c r="J987" s="7">
        <v>0</v>
      </c>
      <c r="K987" s="7">
        <v>0</v>
      </c>
      <c r="L987" s="3">
        <f t="shared" si="128"/>
        <v>4.1320300267400079E-4</v>
      </c>
      <c r="M987" s="3">
        <v>-1.3779999999999999</v>
      </c>
      <c r="N987" s="3">
        <v>-1.552</v>
      </c>
      <c r="O987" s="3">
        <v>0.65600000000000003</v>
      </c>
      <c r="P987" s="35">
        <v>0</v>
      </c>
      <c r="Q987" s="35">
        <v>0</v>
      </c>
      <c r="R987" s="35">
        <v>-1.49698E-2</v>
      </c>
      <c r="S987" s="35">
        <v>-4.76502E-3</v>
      </c>
      <c r="T987" s="35">
        <v>0</v>
      </c>
      <c r="U987" s="35">
        <v>0</v>
      </c>
      <c r="V987" s="35">
        <v>4.76502E-3</v>
      </c>
    </row>
    <row r="988" spans="1:22">
      <c r="A988" s="7"/>
      <c r="B988" s="8"/>
      <c r="C988" s="8"/>
      <c r="D988" s="8"/>
      <c r="E988" s="7"/>
      <c r="F988" s="7"/>
      <c r="G988" s="7"/>
      <c r="H988" s="7"/>
      <c r="I988" s="7"/>
      <c r="J988" s="7"/>
      <c r="K988" s="7"/>
    </row>
    <row r="989" spans="1:22">
      <c r="A989" s="7"/>
      <c r="B989" s="8">
        <v>2.5457845528396139E-2</v>
      </c>
      <c r="C989" s="8">
        <v>-2.3667658472617719</v>
      </c>
      <c r="D989" s="8">
        <v>-6.368425350466822E-2</v>
      </c>
      <c r="E989" s="7">
        <v>-1.4990516053215155E-2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3">
        <f t="shared" ref="L989:L1025" si="133">B989-M989+C989-N989+D989-O989</f>
        <v>7.7447619560300218E-6</v>
      </c>
      <c r="M989" s="3">
        <v>2.5000000000000001E-2</v>
      </c>
      <c r="N989" s="3">
        <v>-2.367</v>
      </c>
      <c r="O989" s="3">
        <v>-6.3E-2</v>
      </c>
      <c r="P989" s="35">
        <v>-1.49698E-2</v>
      </c>
      <c r="Q989" s="35">
        <v>0</v>
      </c>
      <c r="R989" s="35">
        <v>0</v>
      </c>
      <c r="S989" s="35">
        <v>-4.76502E-3</v>
      </c>
      <c r="T989" s="35">
        <v>4.76502E-3</v>
      </c>
      <c r="U989" s="35">
        <v>0</v>
      </c>
      <c r="V989" s="35">
        <v>0</v>
      </c>
    </row>
    <row r="990" spans="1:22">
      <c r="A990" s="7" t="s">
        <v>263</v>
      </c>
      <c r="B990" s="8">
        <v>-1.2284177840385118</v>
      </c>
      <c r="C990" s="8">
        <v>-2.3993580133895418</v>
      </c>
      <c r="D990" s="8">
        <v>0.6756623603325641</v>
      </c>
      <c r="E990" s="7">
        <v>0</v>
      </c>
      <c r="F990" s="7">
        <v>-1.4990516053215155E-2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3">
        <f t="shared" si="128"/>
        <v>8.8656290451050168E-4</v>
      </c>
      <c r="M990" s="3">
        <v>-1.2290000000000001</v>
      </c>
      <c r="N990" s="3">
        <v>-2.4</v>
      </c>
      <c r="O990" s="3">
        <v>0.67600000000000005</v>
      </c>
      <c r="P990" s="35">
        <v>0</v>
      </c>
      <c r="Q990" s="35">
        <v>-1.49698E-2</v>
      </c>
      <c r="R990" s="35">
        <v>0</v>
      </c>
      <c r="S990" s="35">
        <v>-4.76502E-3</v>
      </c>
      <c r="T990" s="35">
        <v>0</v>
      </c>
      <c r="U990" s="35">
        <v>4.76502E-3</v>
      </c>
      <c r="V990" s="35">
        <v>0</v>
      </c>
    </row>
    <row r="991" spans="1:22">
      <c r="A991" s="7"/>
      <c r="B991" s="8">
        <v>1.4675604394566215</v>
      </c>
      <c r="C991" s="8">
        <v>-1.3235781323919831</v>
      </c>
      <c r="D991" s="8">
        <v>0.72564008456612294</v>
      </c>
      <c r="E991" s="7">
        <v>0</v>
      </c>
      <c r="F991" s="7">
        <v>0</v>
      </c>
      <c r="G991" s="7">
        <v>-1.4990516053215155E-2</v>
      </c>
      <c r="H991" s="7">
        <v>0</v>
      </c>
      <c r="I991" s="7">
        <v>0</v>
      </c>
      <c r="J991" s="7">
        <v>0</v>
      </c>
      <c r="K991" s="7">
        <v>0</v>
      </c>
      <c r="L991" s="3">
        <f t="shared" si="128"/>
        <v>6.2239163076138748E-4</v>
      </c>
      <c r="M991" s="3">
        <v>1.4670000000000001</v>
      </c>
      <c r="N991" s="3">
        <v>-1.3240000000000001</v>
      </c>
      <c r="O991" s="3">
        <v>0.72599999999999998</v>
      </c>
      <c r="P991" s="35">
        <v>0</v>
      </c>
      <c r="Q991" s="35">
        <v>0</v>
      </c>
      <c r="R991" s="35">
        <v>-1.49698E-2</v>
      </c>
      <c r="S991" s="35">
        <v>-4.76502E-3</v>
      </c>
      <c r="T991" s="35">
        <v>0</v>
      </c>
      <c r="U991" s="35">
        <v>0</v>
      </c>
      <c r="V991" s="35">
        <v>4.76502E-3</v>
      </c>
    </row>
    <row r="992" spans="1:22">
      <c r="A992" s="7"/>
      <c r="B992" s="8"/>
      <c r="C992" s="8"/>
      <c r="D992" s="8"/>
      <c r="E992" s="7"/>
      <c r="F992" s="7"/>
      <c r="G992" s="7"/>
      <c r="H992" s="7"/>
      <c r="I992" s="7"/>
      <c r="J992" s="7"/>
      <c r="K992" s="7"/>
    </row>
    <row r="993" spans="1:22">
      <c r="A993" s="7"/>
      <c r="B993" s="8">
        <v>2.5457845528396139E-2</v>
      </c>
      <c r="C993" s="8">
        <v>-2.3667658472617719</v>
      </c>
      <c r="D993" s="8">
        <v>-6.368425350466822E-2</v>
      </c>
      <c r="E993" s="7">
        <v>-1.4990516053215155E-2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3">
        <f t="shared" ref="L993:L1029" si="134">B993-M993+C993-N993+D993-O993</f>
        <v>7.7447619560300218E-6</v>
      </c>
      <c r="M993" s="3">
        <v>2.5000000000000001E-2</v>
      </c>
      <c r="N993" s="3">
        <v>-2.367</v>
      </c>
      <c r="O993" s="3">
        <v>-6.3E-2</v>
      </c>
      <c r="P993" s="35">
        <v>-1.49698E-2</v>
      </c>
      <c r="Q993" s="35">
        <v>0</v>
      </c>
      <c r="R993" s="35">
        <v>0</v>
      </c>
      <c r="S993" s="35">
        <v>-4.76502E-3</v>
      </c>
      <c r="T993" s="35">
        <v>4.76502E-3</v>
      </c>
      <c r="U993" s="35">
        <v>0</v>
      </c>
      <c r="V993" s="35">
        <v>0</v>
      </c>
    </row>
    <row r="994" spans="1:22">
      <c r="A994" s="7" t="s">
        <v>264</v>
      </c>
      <c r="B994" s="8">
        <v>-1.2284177840385118</v>
      </c>
      <c r="C994" s="8">
        <v>-2.3993580133895418</v>
      </c>
      <c r="D994" s="8">
        <v>0.6756623603325641</v>
      </c>
      <c r="E994" s="7">
        <v>0</v>
      </c>
      <c r="F994" s="7">
        <v>-1.4990516053215155E-2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3">
        <f t="shared" si="128"/>
        <v>8.8656290451050168E-4</v>
      </c>
      <c r="M994" s="3">
        <v>-1.2290000000000001</v>
      </c>
      <c r="N994" s="3">
        <v>-2.4</v>
      </c>
      <c r="O994" s="3">
        <v>0.67600000000000005</v>
      </c>
      <c r="P994" s="35">
        <v>0</v>
      </c>
      <c r="Q994" s="35">
        <v>-1.49698E-2</v>
      </c>
      <c r="R994" s="35">
        <v>0</v>
      </c>
      <c r="S994" s="35">
        <v>-4.76502E-3</v>
      </c>
      <c r="T994" s="35">
        <v>0</v>
      </c>
      <c r="U994" s="35">
        <v>4.76502E-3</v>
      </c>
      <c r="V994" s="35">
        <v>0</v>
      </c>
    </row>
    <row r="995" spans="1:22">
      <c r="A995" s="7"/>
      <c r="B995" s="8">
        <v>-1.0097006711160386</v>
      </c>
      <c r="C995" s="8">
        <v>-0.26302086313966178</v>
      </c>
      <c r="D995" s="8">
        <v>0.76545275918666766</v>
      </c>
      <c r="E995" s="7">
        <v>0</v>
      </c>
      <c r="F995" s="7">
        <v>0</v>
      </c>
      <c r="G995" s="7">
        <v>-1.4990516053215155E-2</v>
      </c>
      <c r="H995" s="7">
        <v>0</v>
      </c>
      <c r="I995" s="7">
        <v>0</v>
      </c>
      <c r="J995" s="7">
        <v>0</v>
      </c>
      <c r="K995" s="7">
        <v>0</v>
      </c>
      <c r="L995" s="3">
        <f t="shared" si="128"/>
        <v>-2.6877506903266735E-4</v>
      </c>
      <c r="M995" s="3">
        <v>-1.01</v>
      </c>
      <c r="N995" s="3">
        <v>-0.26300000000000001</v>
      </c>
      <c r="O995" s="3">
        <v>0.76600000000000001</v>
      </c>
      <c r="P995" s="35">
        <v>0</v>
      </c>
      <c r="Q995" s="35">
        <v>0</v>
      </c>
      <c r="R995" s="35">
        <v>-1.49698E-2</v>
      </c>
      <c r="S995" s="35">
        <v>-4.76502E-3</v>
      </c>
      <c r="T995" s="35">
        <v>0</v>
      </c>
      <c r="U995" s="35">
        <v>0</v>
      </c>
      <c r="V995" s="35">
        <v>4.76502E-3</v>
      </c>
    </row>
    <row r="996" spans="1:22">
      <c r="A996" s="7"/>
      <c r="B996" s="8"/>
      <c r="C996" s="8"/>
      <c r="D996" s="8"/>
      <c r="E996" s="7"/>
      <c r="F996" s="7"/>
      <c r="G996" s="7"/>
      <c r="H996" s="7"/>
      <c r="I996" s="7"/>
      <c r="J996" s="7"/>
      <c r="K996" s="7"/>
    </row>
    <row r="997" spans="1:22">
      <c r="A997" s="7"/>
      <c r="B997" s="8">
        <v>2.5457845528396139E-2</v>
      </c>
      <c r="C997" s="8">
        <v>-2.3667658472617719</v>
      </c>
      <c r="D997" s="8">
        <v>-6.368425350466822E-2</v>
      </c>
      <c r="E997" s="7">
        <v>-1.4990516053215155E-2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3">
        <f t="shared" ref="L997:L1059" si="135">B997-M997+C997-N997+D997-O997</f>
        <v>7.7447619560300218E-6</v>
      </c>
      <c r="M997" s="3">
        <v>2.5000000000000001E-2</v>
      </c>
      <c r="N997" s="3">
        <v>-2.367</v>
      </c>
      <c r="O997" s="3">
        <v>-6.3E-2</v>
      </c>
      <c r="P997" s="35">
        <v>-1.49698E-2</v>
      </c>
      <c r="Q997" s="35">
        <v>0</v>
      </c>
      <c r="R997" s="35">
        <v>0</v>
      </c>
      <c r="S997" s="35">
        <v>-4.76502E-3</v>
      </c>
      <c r="T997" s="35">
        <v>4.76502E-3</v>
      </c>
      <c r="U997" s="35">
        <v>0</v>
      </c>
      <c r="V997" s="35">
        <v>0</v>
      </c>
    </row>
    <row r="998" spans="1:22">
      <c r="A998" s="7" t="s">
        <v>265</v>
      </c>
      <c r="B998" s="8">
        <v>-1.2284177840385118</v>
      </c>
      <c r="C998" s="8">
        <v>-2.3993580133895418</v>
      </c>
      <c r="D998" s="8">
        <v>0.6756623603325641</v>
      </c>
      <c r="E998" s="7">
        <v>0</v>
      </c>
      <c r="F998" s="7">
        <v>-1.4990516053215155E-2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3">
        <f t="shared" si="135"/>
        <v>8.8656290451050168E-4</v>
      </c>
      <c r="M998" s="3">
        <v>-1.2290000000000001</v>
      </c>
      <c r="N998" s="3">
        <v>-2.4</v>
      </c>
      <c r="O998" s="3">
        <v>0.67600000000000005</v>
      </c>
      <c r="P998" s="35">
        <v>0</v>
      </c>
      <c r="Q998" s="35">
        <v>-1.49698E-2</v>
      </c>
      <c r="R998" s="35">
        <v>0</v>
      </c>
      <c r="S998" s="35">
        <v>-4.76502E-3</v>
      </c>
      <c r="T998" s="35">
        <v>0</v>
      </c>
      <c r="U998" s="35">
        <v>4.76502E-3</v>
      </c>
      <c r="V998" s="35">
        <v>0</v>
      </c>
    </row>
    <row r="999" spans="1:22">
      <c r="A999" s="7"/>
      <c r="B999" s="8">
        <v>0.60912970227287866</v>
      </c>
      <c r="C999" s="8">
        <v>-0.28261535739067112</v>
      </c>
      <c r="D999" s="8">
        <v>0.68802996689194662</v>
      </c>
      <c r="E999" s="7">
        <v>0</v>
      </c>
      <c r="F999" s="7">
        <v>0</v>
      </c>
      <c r="G999" s="7">
        <v>-1.4990516053215155E-2</v>
      </c>
      <c r="H999" s="7">
        <v>0</v>
      </c>
      <c r="I999" s="7">
        <v>0</v>
      </c>
      <c r="J999" s="7">
        <v>0</v>
      </c>
      <c r="K999" s="7">
        <v>0</v>
      </c>
      <c r="L999" s="3">
        <f t="shared" si="135"/>
        <v>5.4431177415414922E-4</v>
      </c>
      <c r="M999" s="3">
        <v>0.60899999999999999</v>
      </c>
      <c r="N999" s="3">
        <v>-0.28299999999999997</v>
      </c>
      <c r="O999" s="3">
        <v>0.68799999999999994</v>
      </c>
      <c r="P999" s="35">
        <v>0</v>
      </c>
      <c r="Q999" s="35">
        <v>0</v>
      </c>
      <c r="R999" s="35">
        <v>-1.49698E-2</v>
      </c>
      <c r="S999" s="35">
        <v>-4.76502E-3</v>
      </c>
      <c r="T999" s="35">
        <v>0</v>
      </c>
      <c r="U999" s="35">
        <v>0</v>
      </c>
      <c r="V999" s="35">
        <v>4.76502E-3</v>
      </c>
    </row>
    <row r="1000" spans="1:22">
      <c r="A1000" s="7"/>
      <c r="B1000" s="8"/>
      <c r="C1000" s="8"/>
      <c r="D1000" s="8"/>
      <c r="E1000" s="7"/>
      <c r="F1000" s="7"/>
      <c r="G1000" s="7"/>
      <c r="H1000" s="7"/>
      <c r="I1000" s="7"/>
      <c r="J1000" s="7"/>
      <c r="K1000" s="7"/>
    </row>
    <row r="1001" spans="1:22">
      <c r="A1001" s="7"/>
      <c r="B1001" s="8">
        <v>2.5457845528396139E-2</v>
      </c>
      <c r="C1001" s="8">
        <v>-2.3667658472617719</v>
      </c>
      <c r="D1001" s="8">
        <v>-6.368425350466822E-2</v>
      </c>
      <c r="E1001" s="7">
        <v>-1.4990516053215155E-2</v>
      </c>
      <c r="F1001" s="7">
        <v>0</v>
      </c>
      <c r="G1001" s="7">
        <v>0</v>
      </c>
      <c r="H1001" s="7">
        <v>-2.0521745021313972E-2</v>
      </c>
      <c r="I1001" s="7">
        <v>2.1796664656245589E-2</v>
      </c>
      <c r="J1001" s="7">
        <v>0</v>
      </c>
      <c r="K1001" s="7">
        <v>0</v>
      </c>
      <c r="L1001" s="3">
        <f t="shared" ref="L1001:L1037" si="136">B1001-M1001+C1001-N1001+D1001-O1001</f>
        <v>7.7447619560300218E-6</v>
      </c>
      <c r="M1001" s="3">
        <v>2.5000000000000001E-2</v>
      </c>
      <c r="N1001" s="3">
        <v>-2.367</v>
      </c>
      <c r="O1001" s="3">
        <v>-6.3E-2</v>
      </c>
      <c r="P1001" s="35">
        <v>-1.49698E-2</v>
      </c>
      <c r="Q1001" s="35">
        <v>0</v>
      </c>
      <c r="R1001" s="35">
        <v>0</v>
      </c>
      <c r="S1001" s="35">
        <v>-4.76502E-3</v>
      </c>
      <c r="T1001" s="35">
        <v>4.76502E-3</v>
      </c>
      <c r="U1001" s="35">
        <v>0</v>
      </c>
      <c r="V1001" s="35">
        <v>0</v>
      </c>
    </row>
    <row r="1002" spans="1:22">
      <c r="A1002" s="7" t="s">
        <v>266</v>
      </c>
      <c r="B1002" s="8">
        <v>1.0673702345396179</v>
      </c>
      <c r="C1002" s="8">
        <v>-2.4075843796929846</v>
      </c>
      <c r="D1002" s="8">
        <v>0.708799578341892</v>
      </c>
      <c r="E1002" s="7">
        <v>0</v>
      </c>
      <c r="F1002" s="7">
        <v>-1.4990516053215155E-2</v>
      </c>
      <c r="G1002" s="7">
        <v>0</v>
      </c>
      <c r="H1002" s="7">
        <v>-2.0521745021313972E-2</v>
      </c>
      <c r="I1002" s="7">
        <v>0</v>
      </c>
      <c r="J1002" s="7">
        <v>2.2872089329671663E-2</v>
      </c>
      <c r="K1002" s="7">
        <v>0</v>
      </c>
      <c r="L1002" s="3">
        <f t="shared" si="135"/>
        <v>5.8543318852555259E-4</v>
      </c>
      <c r="M1002" s="3">
        <v>1.0669999999999999</v>
      </c>
      <c r="N1002" s="3">
        <v>-2.4079999999999999</v>
      </c>
      <c r="O1002" s="3">
        <v>0.70899999999999996</v>
      </c>
      <c r="P1002" s="35">
        <v>0</v>
      </c>
      <c r="Q1002" s="35">
        <v>-1.49698E-2</v>
      </c>
      <c r="R1002" s="35">
        <v>0</v>
      </c>
      <c r="S1002" s="35">
        <v>-4.76502E-3</v>
      </c>
      <c r="T1002" s="35">
        <v>0</v>
      </c>
      <c r="U1002" s="35">
        <v>4.76502E-3</v>
      </c>
      <c r="V1002" s="35">
        <v>0</v>
      </c>
    </row>
    <row r="1003" spans="1:22">
      <c r="A1003" s="7"/>
      <c r="B1003" s="8">
        <v>-1.3773893306068323</v>
      </c>
      <c r="C1003" s="8">
        <v>-1.5521003879162059</v>
      </c>
      <c r="D1003" s="8">
        <v>0.65590292152571228</v>
      </c>
      <c r="E1003" s="7">
        <v>0</v>
      </c>
      <c r="F1003" s="7">
        <v>0</v>
      </c>
      <c r="G1003" s="7">
        <v>-1.4990516053215155E-2</v>
      </c>
      <c r="H1003" s="7">
        <v>-2.0521745021313972E-2</v>
      </c>
      <c r="I1003" s="7">
        <v>0</v>
      </c>
      <c r="J1003" s="7">
        <v>0</v>
      </c>
      <c r="K1003" s="7">
        <v>2.2385887789414392E-2</v>
      </c>
      <c r="L1003" s="3">
        <f t="shared" si="135"/>
        <v>4.1320300267400079E-4</v>
      </c>
      <c r="M1003" s="3">
        <v>-1.3779999999999999</v>
      </c>
      <c r="N1003" s="3">
        <v>-1.552</v>
      </c>
      <c r="O1003" s="3">
        <v>0.65600000000000003</v>
      </c>
      <c r="P1003" s="35">
        <v>0</v>
      </c>
      <c r="Q1003" s="35">
        <v>0</v>
      </c>
      <c r="R1003" s="35">
        <v>-1.49698E-2</v>
      </c>
      <c r="S1003" s="35">
        <v>-4.76502E-3</v>
      </c>
      <c r="T1003" s="35">
        <v>0</v>
      </c>
      <c r="U1003" s="35">
        <v>0</v>
      </c>
      <c r="V1003" s="35">
        <v>4.76502E-3</v>
      </c>
    </row>
    <row r="1004" spans="1:22">
      <c r="A1004" s="7"/>
      <c r="B1004" s="8"/>
      <c r="C1004" s="8"/>
      <c r="D1004" s="8"/>
      <c r="E1004" s="7"/>
      <c r="F1004" s="7"/>
      <c r="G1004" s="7"/>
      <c r="H1004" s="7"/>
      <c r="I1004" s="7"/>
      <c r="J1004" s="7"/>
      <c r="K1004" s="7"/>
    </row>
    <row r="1005" spans="1:22">
      <c r="A1005" s="7"/>
      <c r="B1005" s="8">
        <v>2.5457845528396139E-2</v>
      </c>
      <c r="C1005" s="8">
        <v>-2.3667658472617719</v>
      </c>
      <c r="D1005" s="8">
        <v>-6.368425350466822E-2</v>
      </c>
      <c r="E1005" s="7">
        <v>-1.4990516053215155E-2</v>
      </c>
      <c r="F1005" s="7">
        <v>0</v>
      </c>
      <c r="G1005" s="7">
        <v>0</v>
      </c>
      <c r="H1005" s="7">
        <v>-2.0521745021313972E-2</v>
      </c>
      <c r="I1005" s="7">
        <v>2.1796664656245589E-2</v>
      </c>
      <c r="J1005" s="7">
        <v>0</v>
      </c>
      <c r="K1005" s="7">
        <v>0</v>
      </c>
      <c r="L1005" s="3">
        <f t="shared" ref="L1005:L1041" si="137">B1005-M1005+C1005-N1005+D1005-O1005</f>
        <v>7.7447619560300218E-6</v>
      </c>
      <c r="M1005" s="3">
        <v>2.5000000000000001E-2</v>
      </c>
      <c r="N1005" s="3">
        <v>-2.367</v>
      </c>
      <c r="O1005" s="3">
        <v>-6.3E-2</v>
      </c>
      <c r="P1005" s="35">
        <v>-1.49698E-2</v>
      </c>
      <c r="Q1005" s="35">
        <v>0</v>
      </c>
      <c r="R1005" s="35">
        <v>0</v>
      </c>
      <c r="S1005" s="35">
        <v>-4.76502E-3</v>
      </c>
      <c r="T1005" s="35">
        <v>4.76502E-3</v>
      </c>
      <c r="U1005" s="35">
        <v>0</v>
      </c>
      <c r="V1005" s="35">
        <v>0</v>
      </c>
    </row>
    <row r="1006" spans="1:22">
      <c r="A1006" s="7" t="s">
        <v>267</v>
      </c>
      <c r="B1006" s="8">
        <v>1.0673702345396179</v>
      </c>
      <c r="C1006" s="8">
        <v>-2.4075843796929846</v>
      </c>
      <c r="D1006" s="8">
        <v>0.708799578341892</v>
      </c>
      <c r="E1006" s="7">
        <v>0</v>
      </c>
      <c r="F1006" s="7">
        <v>-1.4990516053215155E-2</v>
      </c>
      <c r="G1006" s="7">
        <v>0</v>
      </c>
      <c r="H1006" s="7">
        <v>-2.0521745021313972E-2</v>
      </c>
      <c r="I1006" s="7">
        <v>0</v>
      </c>
      <c r="J1006" s="7">
        <v>2.2872089329671663E-2</v>
      </c>
      <c r="K1006" s="7">
        <v>0</v>
      </c>
      <c r="L1006" s="3">
        <f t="shared" si="135"/>
        <v>5.8543318852555259E-4</v>
      </c>
      <c r="M1006" s="3">
        <v>1.0669999999999999</v>
      </c>
      <c r="N1006" s="3">
        <v>-2.4079999999999999</v>
      </c>
      <c r="O1006" s="3">
        <v>0.70899999999999996</v>
      </c>
      <c r="P1006" s="35">
        <v>0</v>
      </c>
      <c r="Q1006" s="35">
        <v>-1.49698E-2</v>
      </c>
      <c r="R1006" s="35">
        <v>0</v>
      </c>
      <c r="S1006" s="35">
        <v>-4.76502E-3</v>
      </c>
      <c r="T1006" s="35">
        <v>0</v>
      </c>
      <c r="U1006" s="35">
        <v>4.76502E-3</v>
      </c>
      <c r="V1006" s="35">
        <v>0</v>
      </c>
    </row>
    <row r="1007" spans="1:22">
      <c r="A1007" s="7"/>
      <c r="B1007" s="8">
        <v>1.4675604394566215</v>
      </c>
      <c r="C1007" s="8">
        <v>-1.3235781323919831</v>
      </c>
      <c r="D1007" s="8">
        <v>0.72564008456612294</v>
      </c>
      <c r="E1007" s="7">
        <v>0</v>
      </c>
      <c r="F1007" s="7">
        <v>0</v>
      </c>
      <c r="G1007" s="7">
        <v>-1.4990516053215155E-2</v>
      </c>
      <c r="H1007" s="7">
        <v>-2.0521745021313972E-2</v>
      </c>
      <c r="I1007" s="7">
        <v>0</v>
      </c>
      <c r="J1007" s="7">
        <v>0</v>
      </c>
      <c r="K1007" s="7">
        <v>1.6236379226863738E-2</v>
      </c>
      <c r="L1007" s="3">
        <f t="shared" si="135"/>
        <v>6.2239163076138748E-4</v>
      </c>
      <c r="M1007" s="3">
        <v>1.4670000000000001</v>
      </c>
      <c r="N1007" s="3">
        <v>-1.3240000000000001</v>
      </c>
      <c r="O1007" s="3">
        <v>0.72599999999999998</v>
      </c>
      <c r="P1007" s="35">
        <v>0</v>
      </c>
      <c r="Q1007" s="35">
        <v>0</v>
      </c>
      <c r="R1007" s="35">
        <v>-1.49698E-2</v>
      </c>
      <c r="S1007" s="35">
        <v>-4.76502E-3</v>
      </c>
      <c r="T1007" s="35">
        <v>0</v>
      </c>
      <c r="U1007" s="35">
        <v>0</v>
      </c>
      <c r="V1007" s="35">
        <v>4.76502E-3</v>
      </c>
    </row>
    <row r="1008" spans="1:22">
      <c r="A1008" s="7"/>
      <c r="B1008" s="8"/>
      <c r="C1008" s="8"/>
      <c r="D1008" s="8"/>
      <c r="E1008" s="7"/>
      <c r="F1008" s="7"/>
      <c r="G1008" s="7"/>
      <c r="H1008" s="7"/>
      <c r="I1008" s="7"/>
      <c r="J1008" s="7"/>
      <c r="K1008" s="7"/>
    </row>
    <row r="1009" spans="1:22">
      <c r="A1009" s="7"/>
      <c r="B1009" s="8">
        <v>2.5457845528396139E-2</v>
      </c>
      <c r="C1009" s="8">
        <v>-2.3667658472617719</v>
      </c>
      <c r="D1009" s="8">
        <v>-6.368425350466822E-2</v>
      </c>
      <c r="E1009" s="7">
        <v>-1.4990516053215155E-2</v>
      </c>
      <c r="F1009" s="7">
        <v>0</v>
      </c>
      <c r="G1009" s="7">
        <v>0</v>
      </c>
      <c r="H1009" s="7">
        <v>-2.0521745021313972E-2</v>
      </c>
      <c r="I1009" s="7">
        <v>2.1796664656245589E-2</v>
      </c>
      <c r="J1009" s="7">
        <v>0</v>
      </c>
      <c r="K1009" s="7">
        <v>0</v>
      </c>
      <c r="L1009" s="3">
        <f t="shared" ref="L1009" si="138">B1009-M1009+C1009-N1009+D1009-O1009</f>
        <v>7.7447619560300218E-6</v>
      </c>
      <c r="M1009" s="3">
        <v>2.5000000000000001E-2</v>
      </c>
      <c r="N1009" s="3">
        <v>-2.367</v>
      </c>
      <c r="O1009" s="3">
        <v>-6.3E-2</v>
      </c>
      <c r="P1009" s="35">
        <v>-1.49698E-2</v>
      </c>
      <c r="Q1009" s="35">
        <v>0</v>
      </c>
      <c r="R1009" s="35">
        <v>0</v>
      </c>
      <c r="S1009" s="35">
        <v>-4.76502E-3</v>
      </c>
      <c r="T1009" s="35">
        <v>4.76502E-3</v>
      </c>
      <c r="U1009" s="35">
        <v>0</v>
      </c>
      <c r="V1009" s="35">
        <v>0</v>
      </c>
    </row>
    <row r="1010" spans="1:22">
      <c r="A1010" s="7" t="s">
        <v>268</v>
      </c>
      <c r="B1010" s="8">
        <v>1.0673702345396179</v>
      </c>
      <c r="C1010" s="8">
        <v>-2.4075843796929846</v>
      </c>
      <c r="D1010" s="8">
        <v>0.708799578341892</v>
      </c>
      <c r="E1010" s="7">
        <v>0</v>
      </c>
      <c r="F1010" s="7">
        <v>-1.4990516053215155E-2</v>
      </c>
      <c r="G1010" s="7">
        <v>0</v>
      </c>
      <c r="H1010" s="7">
        <v>-2.0521745021313972E-2</v>
      </c>
      <c r="I1010" s="7">
        <v>0</v>
      </c>
      <c r="J1010" s="7">
        <v>2.2872089329671663E-2</v>
      </c>
      <c r="K1010" s="7">
        <v>0</v>
      </c>
      <c r="L1010" s="3">
        <f t="shared" si="130"/>
        <v>5.8543318852555259E-4</v>
      </c>
      <c r="M1010" s="3">
        <v>1.0669999999999999</v>
      </c>
      <c r="N1010" s="3">
        <v>-2.4079999999999999</v>
      </c>
      <c r="O1010" s="3">
        <v>0.70899999999999996</v>
      </c>
      <c r="P1010" s="35">
        <v>0</v>
      </c>
      <c r="Q1010" s="35">
        <v>-1.49698E-2</v>
      </c>
      <c r="R1010" s="35">
        <v>0</v>
      </c>
      <c r="S1010" s="35">
        <v>-4.76502E-3</v>
      </c>
      <c r="T1010" s="35">
        <v>0</v>
      </c>
      <c r="U1010" s="35">
        <v>4.76502E-3</v>
      </c>
      <c r="V1010" s="35">
        <v>0</v>
      </c>
    </row>
    <row r="1011" spans="1:22">
      <c r="A1011" s="7"/>
      <c r="B1011" s="8">
        <v>-1.0097006711160386</v>
      </c>
      <c r="C1011" s="8">
        <v>-0.26302086313966178</v>
      </c>
      <c r="D1011" s="8">
        <v>0.76545275918666766</v>
      </c>
      <c r="E1011" s="7">
        <v>0</v>
      </c>
      <c r="F1011" s="7">
        <v>0</v>
      </c>
      <c r="G1011" s="7">
        <v>-1.4990516053215155E-2</v>
      </c>
      <c r="H1011" s="7">
        <v>-2.0521745021313972E-2</v>
      </c>
      <c r="I1011" s="7">
        <v>0</v>
      </c>
      <c r="J1011" s="7">
        <v>0</v>
      </c>
      <c r="K1011" s="7">
        <v>1.5970575730977998E-2</v>
      </c>
      <c r="L1011" s="3">
        <f t="shared" si="130"/>
        <v>-2.6877506903266735E-4</v>
      </c>
      <c r="M1011" s="3">
        <v>-1.01</v>
      </c>
      <c r="N1011" s="3">
        <v>-0.26300000000000001</v>
      </c>
      <c r="O1011" s="3">
        <v>0.76600000000000001</v>
      </c>
      <c r="P1011" s="35">
        <v>0</v>
      </c>
      <c r="Q1011" s="35">
        <v>0</v>
      </c>
      <c r="R1011" s="35">
        <v>-1.49698E-2</v>
      </c>
      <c r="S1011" s="35">
        <v>-4.76502E-3</v>
      </c>
      <c r="T1011" s="35">
        <v>0</v>
      </c>
      <c r="U1011" s="35">
        <v>0</v>
      </c>
      <c r="V1011" s="35">
        <v>4.76502E-3</v>
      </c>
    </row>
    <row r="1012" spans="1:22">
      <c r="A1012" s="7"/>
      <c r="B1012" s="8"/>
      <c r="C1012" s="8"/>
      <c r="D1012" s="8"/>
      <c r="E1012" s="7"/>
      <c r="F1012" s="7"/>
      <c r="G1012" s="7"/>
      <c r="H1012" s="7"/>
      <c r="I1012" s="7"/>
      <c r="J1012" s="7"/>
      <c r="K1012" s="7"/>
    </row>
    <row r="1013" spans="1:22">
      <c r="A1013" s="7"/>
      <c r="B1013" s="8">
        <v>2.5457845528396139E-2</v>
      </c>
      <c r="C1013" s="8">
        <v>-2.3667658472617719</v>
      </c>
      <c r="D1013" s="8">
        <v>-6.368425350466822E-2</v>
      </c>
      <c r="E1013" s="7">
        <v>-1.4990516053215155E-2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3">
        <f t="shared" si="135"/>
        <v>7.7447619560300218E-6</v>
      </c>
      <c r="M1013" s="3">
        <v>2.5000000000000001E-2</v>
      </c>
      <c r="N1013" s="3">
        <v>-2.367</v>
      </c>
      <c r="O1013" s="3">
        <v>-6.3E-2</v>
      </c>
      <c r="P1013" s="35">
        <v>-1.49698E-2</v>
      </c>
      <c r="Q1013" s="35">
        <v>0</v>
      </c>
      <c r="R1013" s="35">
        <v>0</v>
      </c>
      <c r="S1013" s="35">
        <v>-4.76502E-3</v>
      </c>
      <c r="T1013" s="35">
        <v>4.76502E-3</v>
      </c>
      <c r="U1013" s="35">
        <v>0</v>
      </c>
      <c r="V1013" s="35">
        <v>0</v>
      </c>
    </row>
    <row r="1014" spans="1:22">
      <c r="A1014" s="7" t="s">
        <v>269</v>
      </c>
      <c r="B1014" s="8">
        <v>1.0673702345396179</v>
      </c>
      <c r="C1014" s="8">
        <v>-2.4075843796929846</v>
      </c>
      <c r="D1014" s="8">
        <v>0.708799578341892</v>
      </c>
      <c r="E1014" s="7">
        <v>0</v>
      </c>
      <c r="F1014" s="7">
        <v>-1.4990516053215155E-2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3">
        <f t="shared" si="135"/>
        <v>5.8543318852555259E-4</v>
      </c>
      <c r="M1014" s="3">
        <v>1.0669999999999999</v>
      </c>
      <c r="N1014" s="3">
        <v>-2.4079999999999999</v>
      </c>
      <c r="O1014" s="3">
        <v>0.70899999999999996</v>
      </c>
      <c r="P1014" s="35">
        <v>0</v>
      </c>
      <c r="Q1014" s="35">
        <v>-1.49698E-2</v>
      </c>
      <c r="R1014" s="35">
        <v>0</v>
      </c>
      <c r="S1014" s="35">
        <v>-4.76502E-3</v>
      </c>
      <c r="T1014" s="35">
        <v>0</v>
      </c>
      <c r="U1014" s="35">
        <v>4.76502E-3</v>
      </c>
      <c r="V1014" s="35">
        <v>0</v>
      </c>
    </row>
    <row r="1015" spans="1:22">
      <c r="A1015" s="7"/>
      <c r="B1015" s="8">
        <v>0.60912970227287866</v>
      </c>
      <c r="C1015" s="8">
        <v>-0.28261535739067112</v>
      </c>
      <c r="D1015" s="8">
        <v>0.68802996689194662</v>
      </c>
      <c r="E1015" s="7">
        <v>0</v>
      </c>
      <c r="F1015" s="7">
        <v>0</v>
      </c>
      <c r="G1015" s="7">
        <v>-1.4990516053215155E-2</v>
      </c>
      <c r="H1015" s="7">
        <v>0</v>
      </c>
      <c r="I1015" s="7">
        <v>0</v>
      </c>
      <c r="J1015" s="7">
        <v>0</v>
      </c>
      <c r="K1015" s="7">
        <v>0</v>
      </c>
      <c r="L1015" s="3">
        <f t="shared" si="135"/>
        <v>5.4431177415414922E-4</v>
      </c>
      <c r="M1015" s="3">
        <v>0.60899999999999999</v>
      </c>
      <c r="N1015" s="3">
        <v>-0.28299999999999997</v>
      </c>
      <c r="O1015" s="3">
        <v>0.68799999999999994</v>
      </c>
      <c r="P1015" s="35">
        <v>0</v>
      </c>
      <c r="Q1015" s="35">
        <v>0</v>
      </c>
      <c r="R1015" s="35">
        <v>-1.49698E-2</v>
      </c>
      <c r="S1015" s="35">
        <v>-4.76502E-3</v>
      </c>
      <c r="T1015" s="35">
        <v>0</v>
      </c>
      <c r="U1015" s="35">
        <v>0</v>
      </c>
      <c r="V1015" s="35">
        <v>4.76502E-3</v>
      </c>
    </row>
    <row r="1016" spans="1:22">
      <c r="A1016" s="7"/>
      <c r="B1016" s="8"/>
      <c r="C1016" s="8"/>
      <c r="D1016" s="8"/>
      <c r="E1016" s="7"/>
      <c r="F1016" s="7"/>
      <c r="G1016" s="7"/>
      <c r="H1016" s="7"/>
      <c r="I1016" s="7"/>
      <c r="J1016" s="7"/>
      <c r="K1016" s="7"/>
    </row>
    <row r="1017" spans="1:22">
      <c r="A1017" s="7"/>
      <c r="B1017" s="8">
        <v>2.5457845528396139E-2</v>
      </c>
      <c r="C1017" s="8">
        <v>-2.3667658472617719</v>
      </c>
      <c r="D1017" s="8">
        <v>-6.368425350466822E-2</v>
      </c>
      <c r="E1017" s="7">
        <v>-1.4990516053215155E-2</v>
      </c>
      <c r="F1017" s="7">
        <v>0</v>
      </c>
      <c r="G1017" s="7">
        <v>0</v>
      </c>
      <c r="H1017" s="7">
        <v>-2.0521745021313972E-2</v>
      </c>
      <c r="I1017" s="7">
        <v>2.1796664656245589E-2</v>
      </c>
      <c r="J1017" s="7">
        <v>0</v>
      </c>
      <c r="K1017" s="7">
        <v>0</v>
      </c>
      <c r="L1017" s="3">
        <f t="shared" si="131"/>
        <v>7.7447619560300218E-6</v>
      </c>
      <c r="M1017" s="3">
        <v>2.5000000000000001E-2</v>
      </c>
      <c r="N1017" s="3">
        <v>-2.367</v>
      </c>
      <c r="O1017" s="3">
        <v>-6.3E-2</v>
      </c>
      <c r="P1017" s="35">
        <v>-1.49698E-2</v>
      </c>
      <c r="Q1017" s="35">
        <v>0</v>
      </c>
      <c r="R1017" s="35">
        <v>0</v>
      </c>
      <c r="S1017" s="35">
        <v>-4.76502E-3</v>
      </c>
      <c r="T1017" s="35">
        <v>4.76502E-3</v>
      </c>
      <c r="U1017" s="35">
        <v>0</v>
      </c>
      <c r="V1017" s="35">
        <v>0</v>
      </c>
    </row>
    <row r="1018" spans="1:22">
      <c r="A1018" s="7" t="s">
        <v>270</v>
      </c>
      <c r="B1018" s="8">
        <v>-1.3773893306068323</v>
      </c>
      <c r="C1018" s="8">
        <v>-1.5521003879162059</v>
      </c>
      <c r="D1018" s="8">
        <v>0.65590292152571228</v>
      </c>
      <c r="E1018" s="7">
        <v>0</v>
      </c>
      <c r="F1018" s="7">
        <v>-1.4990516053215155E-2</v>
      </c>
      <c r="G1018" s="7">
        <v>0</v>
      </c>
      <c r="H1018" s="7">
        <v>-2.0521745021313972E-2</v>
      </c>
      <c r="I1018" s="7">
        <v>0</v>
      </c>
      <c r="J1018" s="7">
        <v>2.2385887789414392E-2</v>
      </c>
      <c r="K1018" s="7">
        <v>0</v>
      </c>
      <c r="L1018" s="3">
        <f t="shared" si="135"/>
        <v>4.1320300267400079E-4</v>
      </c>
      <c r="M1018" s="3">
        <v>-1.3779999999999999</v>
      </c>
      <c r="N1018" s="3">
        <v>-1.552</v>
      </c>
      <c r="O1018" s="3">
        <v>0.65600000000000003</v>
      </c>
      <c r="P1018" s="35">
        <v>0</v>
      </c>
      <c r="Q1018" s="35">
        <v>-1.49698E-2</v>
      </c>
      <c r="R1018" s="35">
        <v>0</v>
      </c>
      <c r="S1018" s="35">
        <v>-4.76502E-3</v>
      </c>
      <c r="T1018" s="35">
        <v>0</v>
      </c>
      <c r="U1018" s="35">
        <v>4.76502E-3</v>
      </c>
      <c r="V1018" s="35">
        <v>0</v>
      </c>
    </row>
    <row r="1019" spans="1:22">
      <c r="A1019" s="7"/>
      <c r="B1019" s="8">
        <v>1.4675604394566215</v>
      </c>
      <c r="C1019" s="8">
        <v>-1.3235781323919831</v>
      </c>
      <c r="D1019" s="8">
        <v>0.72564008456612294</v>
      </c>
      <c r="E1019" s="7">
        <v>0</v>
      </c>
      <c r="F1019" s="7">
        <v>0</v>
      </c>
      <c r="G1019" s="7">
        <v>-1.4990516053215155E-2</v>
      </c>
      <c r="H1019" s="7">
        <v>-2.0521745021313972E-2</v>
      </c>
      <c r="I1019" s="7">
        <v>0</v>
      </c>
      <c r="J1019" s="7">
        <v>0</v>
      </c>
      <c r="K1019" s="7">
        <v>1.6236379226863738E-2</v>
      </c>
      <c r="L1019" s="3">
        <f t="shared" si="135"/>
        <v>6.2239163076138748E-4</v>
      </c>
      <c r="M1019" s="3">
        <v>1.4670000000000001</v>
      </c>
      <c r="N1019" s="3">
        <v>-1.3240000000000001</v>
      </c>
      <c r="O1019" s="3">
        <v>0.72599999999999998</v>
      </c>
      <c r="P1019" s="35">
        <v>0</v>
      </c>
      <c r="Q1019" s="35">
        <v>0</v>
      </c>
      <c r="R1019" s="35">
        <v>-1.49698E-2</v>
      </c>
      <c r="S1019" s="35">
        <v>-4.76502E-3</v>
      </c>
      <c r="T1019" s="35">
        <v>0</v>
      </c>
      <c r="U1019" s="35">
        <v>0</v>
      </c>
      <c r="V1019" s="35">
        <v>4.76502E-3</v>
      </c>
    </row>
    <row r="1020" spans="1:22">
      <c r="A1020" s="7"/>
      <c r="B1020" s="8"/>
      <c r="C1020" s="8"/>
      <c r="D1020" s="8"/>
      <c r="E1020" s="7"/>
      <c r="F1020" s="7"/>
      <c r="G1020" s="7"/>
      <c r="H1020" s="7"/>
      <c r="I1020" s="7"/>
      <c r="J1020" s="7"/>
      <c r="K1020" s="7"/>
    </row>
    <row r="1021" spans="1:22">
      <c r="A1021" s="7"/>
      <c r="B1021" s="8">
        <v>2.5457845528396139E-2</v>
      </c>
      <c r="C1021" s="8">
        <v>-2.3667658472617719</v>
      </c>
      <c r="D1021" s="8">
        <v>-6.368425350466822E-2</v>
      </c>
      <c r="E1021" s="7">
        <v>-1.4990516053215155E-2</v>
      </c>
      <c r="F1021" s="7">
        <v>0</v>
      </c>
      <c r="G1021" s="7">
        <v>0</v>
      </c>
      <c r="H1021" s="7">
        <v>-2.0521745021313972E-2</v>
      </c>
      <c r="I1021" s="7">
        <v>2.1796664656245589E-2</v>
      </c>
      <c r="J1021" s="7">
        <v>0</v>
      </c>
      <c r="K1021" s="7">
        <v>0</v>
      </c>
      <c r="L1021" s="3">
        <f t="shared" si="132"/>
        <v>7.7447619560300218E-6</v>
      </c>
      <c r="M1021" s="3">
        <v>2.5000000000000001E-2</v>
      </c>
      <c r="N1021" s="3">
        <v>-2.367</v>
      </c>
      <c r="O1021" s="3">
        <v>-6.3E-2</v>
      </c>
      <c r="P1021" s="35">
        <v>-1.49698E-2</v>
      </c>
      <c r="Q1021" s="35">
        <v>0</v>
      </c>
      <c r="R1021" s="35">
        <v>0</v>
      </c>
      <c r="S1021" s="35">
        <v>-4.76502E-3</v>
      </c>
      <c r="T1021" s="35">
        <v>4.76502E-3</v>
      </c>
      <c r="U1021" s="35">
        <v>0</v>
      </c>
      <c r="V1021" s="35">
        <v>0</v>
      </c>
    </row>
    <row r="1022" spans="1:22">
      <c r="A1022" s="7" t="s">
        <v>271</v>
      </c>
      <c r="B1022" s="8">
        <v>-1.3773893306068323</v>
      </c>
      <c r="C1022" s="8">
        <v>-1.5521003879162059</v>
      </c>
      <c r="D1022" s="8">
        <v>0.65590292152571228</v>
      </c>
      <c r="E1022" s="7">
        <v>0</v>
      </c>
      <c r="F1022" s="7">
        <v>-1.4990516053215155E-2</v>
      </c>
      <c r="G1022" s="7">
        <v>0</v>
      </c>
      <c r="H1022" s="7">
        <v>-2.0521745021313972E-2</v>
      </c>
      <c r="I1022" s="7">
        <v>0</v>
      </c>
      <c r="J1022" s="7">
        <v>2.2385887789414392E-2</v>
      </c>
      <c r="K1022" s="7">
        <v>0</v>
      </c>
      <c r="L1022" s="3">
        <f t="shared" si="135"/>
        <v>4.1320300267400079E-4</v>
      </c>
      <c r="M1022" s="3">
        <v>-1.3779999999999999</v>
      </c>
      <c r="N1022" s="3">
        <v>-1.552</v>
      </c>
      <c r="O1022" s="3">
        <v>0.65600000000000003</v>
      </c>
      <c r="P1022" s="35">
        <v>0</v>
      </c>
      <c r="Q1022" s="35">
        <v>-1.49698E-2</v>
      </c>
      <c r="R1022" s="35">
        <v>0</v>
      </c>
      <c r="S1022" s="35">
        <v>-4.76502E-3</v>
      </c>
      <c r="T1022" s="35">
        <v>0</v>
      </c>
      <c r="U1022" s="35">
        <v>4.76502E-3</v>
      </c>
      <c r="V1022" s="35">
        <v>0</v>
      </c>
    </row>
    <row r="1023" spans="1:22">
      <c r="A1023" s="7"/>
      <c r="B1023" s="8">
        <v>-1.0097006711160386</v>
      </c>
      <c r="C1023" s="8">
        <v>-0.26302086313966178</v>
      </c>
      <c r="D1023" s="8">
        <v>0.76545275918666766</v>
      </c>
      <c r="E1023" s="7">
        <v>0</v>
      </c>
      <c r="F1023" s="7">
        <v>0</v>
      </c>
      <c r="G1023" s="7">
        <v>-1.4990516053215155E-2</v>
      </c>
      <c r="H1023" s="7">
        <v>-2.0521745021313972E-2</v>
      </c>
      <c r="I1023" s="7">
        <v>0</v>
      </c>
      <c r="J1023" s="7">
        <v>0</v>
      </c>
      <c r="K1023" s="7">
        <v>1.5970575730977998E-2</v>
      </c>
      <c r="L1023" s="3">
        <f t="shared" si="135"/>
        <v>-2.6877506903266735E-4</v>
      </c>
      <c r="M1023" s="3">
        <v>-1.01</v>
      </c>
      <c r="N1023" s="3">
        <v>-0.26300000000000001</v>
      </c>
      <c r="O1023" s="3">
        <v>0.76600000000000001</v>
      </c>
      <c r="P1023" s="35">
        <v>0</v>
      </c>
      <c r="Q1023" s="35">
        <v>0</v>
      </c>
      <c r="R1023" s="35">
        <v>-1.49698E-2</v>
      </c>
      <c r="S1023" s="35">
        <v>-4.76502E-3</v>
      </c>
      <c r="T1023" s="35">
        <v>0</v>
      </c>
      <c r="U1023" s="35">
        <v>0</v>
      </c>
      <c r="V1023" s="35">
        <v>4.76502E-3</v>
      </c>
    </row>
    <row r="1024" spans="1:22">
      <c r="A1024" s="7"/>
      <c r="B1024" s="8"/>
      <c r="C1024" s="8"/>
      <c r="D1024" s="8"/>
      <c r="E1024" s="7"/>
      <c r="F1024" s="7"/>
      <c r="G1024" s="7"/>
      <c r="H1024" s="7"/>
      <c r="I1024" s="7"/>
      <c r="J1024" s="7"/>
      <c r="K1024" s="7"/>
    </row>
    <row r="1025" spans="1:22">
      <c r="A1025" s="7"/>
      <c r="B1025" s="8">
        <v>2.5457845528396139E-2</v>
      </c>
      <c r="C1025" s="8">
        <v>-2.3667658472617719</v>
      </c>
      <c r="D1025" s="8">
        <v>-6.368425350466822E-2</v>
      </c>
      <c r="E1025" s="7">
        <v>-1.4990516053215155E-2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3">
        <f t="shared" si="133"/>
        <v>7.7447619560300218E-6</v>
      </c>
      <c r="M1025" s="3">
        <v>2.5000000000000001E-2</v>
      </c>
      <c r="N1025" s="3">
        <v>-2.367</v>
      </c>
      <c r="O1025" s="3">
        <v>-6.3E-2</v>
      </c>
      <c r="P1025" s="35">
        <v>-1.49698E-2</v>
      </c>
      <c r="Q1025" s="35">
        <v>0</v>
      </c>
      <c r="R1025" s="35">
        <v>0</v>
      </c>
      <c r="S1025" s="35">
        <v>-4.76502E-3</v>
      </c>
      <c r="T1025" s="35">
        <v>4.76502E-3</v>
      </c>
      <c r="U1025" s="35">
        <v>0</v>
      </c>
      <c r="V1025" s="35">
        <v>0</v>
      </c>
    </row>
    <row r="1026" spans="1:22">
      <c r="A1026" s="7" t="s">
        <v>272</v>
      </c>
      <c r="B1026" s="8">
        <v>-1.3773893306068323</v>
      </c>
      <c r="C1026" s="8">
        <v>-1.5521003879162059</v>
      </c>
      <c r="D1026" s="8">
        <v>0.65590292152571228</v>
      </c>
      <c r="E1026" s="7">
        <v>0</v>
      </c>
      <c r="F1026" s="7">
        <v>-1.4990516053215155E-2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3">
        <f t="shared" si="135"/>
        <v>4.1320300267400079E-4</v>
      </c>
      <c r="M1026" s="3">
        <v>-1.3779999999999999</v>
      </c>
      <c r="N1026" s="3">
        <v>-1.552</v>
      </c>
      <c r="O1026" s="3">
        <v>0.65600000000000003</v>
      </c>
      <c r="P1026" s="35">
        <v>0</v>
      </c>
      <c r="Q1026" s="35">
        <v>-1.49698E-2</v>
      </c>
      <c r="R1026" s="35">
        <v>0</v>
      </c>
      <c r="S1026" s="35">
        <v>-4.76502E-3</v>
      </c>
      <c r="T1026" s="35">
        <v>0</v>
      </c>
      <c r="U1026" s="35">
        <v>4.76502E-3</v>
      </c>
      <c r="V1026" s="35">
        <v>0</v>
      </c>
    </row>
    <row r="1027" spans="1:22">
      <c r="A1027" s="7"/>
      <c r="B1027" s="8">
        <v>0.60912970227287866</v>
      </c>
      <c r="C1027" s="8">
        <v>-0.28261535739067112</v>
      </c>
      <c r="D1027" s="8">
        <v>0.68802996689194662</v>
      </c>
      <c r="E1027" s="7">
        <v>0</v>
      </c>
      <c r="F1027" s="7">
        <v>0</v>
      </c>
      <c r="G1027" s="7">
        <v>-1.4990516053215155E-2</v>
      </c>
      <c r="H1027" s="7">
        <v>0</v>
      </c>
      <c r="I1027" s="7">
        <v>0</v>
      </c>
      <c r="J1027" s="7">
        <v>0</v>
      </c>
      <c r="K1027" s="7">
        <v>0</v>
      </c>
      <c r="L1027" s="3">
        <f t="shared" si="135"/>
        <v>5.4431177415414922E-4</v>
      </c>
      <c r="M1027" s="3">
        <v>0.60899999999999999</v>
      </c>
      <c r="N1027" s="3">
        <v>-0.28299999999999997</v>
      </c>
      <c r="O1027" s="3">
        <v>0.68799999999999994</v>
      </c>
      <c r="P1027" s="35">
        <v>0</v>
      </c>
      <c r="Q1027" s="35">
        <v>0</v>
      </c>
      <c r="R1027" s="35">
        <v>-1.49698E-2</v>
      </c>
      <c r="S1027" s="35">
        <v>-4.76502E-3</v>
      </c>
      <c r="T1027" s="35">
        <v>0</v>
      </c>
      <c r="U1027" s="35">
        <v>0</v>
      </c>
      <c r="V1027" s="35">
        <v>4.76502E-3</v>
      </c>
    </row>
    <row r="1028" spans="1:22">
      <c r="A1028" s="7"/>
      <c r="B1028" s="8"/>
      <c r="C1028" s="8"/>
      <c r="D1028" s="8"/>
      <c r="E1028" s="7"/>
      <c r="F1028" s="7"/>
      <c r="G1028" s="7"/>
      <c r="H1028" s="7"/>
      <c r="I1028" s="7"/>
      <c r="J1028" s="7"/>
      <c r="K1028" s="7"/>
    </row>
    <row r="1029" spans="1:22">
      <c r="A1029" s="7"/>
      <c r="B1029" s="8">
        <v>2.5457845528396139E-2</v>
      </c>
      <c r="C1029" s="8">
        <v>-2.3667658472617719</v>
      </c>
      <c r="D1029" s="8">
        <v>-6.368425350466822E-2</v>
      </c>
      <c r="E1029" s="7">
        <v>-1.4990516053215155E-2</v>
      </c>
      <c r="F1029" s="7">
        <v>0</v>
      </c>
      <c r="G1029" s="7">
        <v>0</v>
      </c>
      <c r="H1029" s="7">
        <v>-2.0521745021313972E-2</v>
      </c>
      <c r="I1029" s="7">
        <v>2.1796664656245589E-2</v>
      </c>
      <c r="J1029" s="7">
        <v>0</v>
      </c>
      <c r="K1029" s="7">
        <v>0</v>
      </c>
      <c r="L1029" s="3">
        <f t="shared" si="134"/>
        <v>7.7447619560300218E-6</v>
      </c>
      <c r="M1029" s="3">
        <v>2.5000000000000001E-2</v>
      </c>
      <c r="N1029" s="3">
        <v>-2.367</v>
      </c>
      <c r="O1029" s="3">
        <v>-6.3E-2</v>
      </c>
      <c r="P1029" s="35">
        <v>-1.49698E-2</v>
      </c>
      <c r="Q1029" s="35">
        <v>0</v>
      </c>
      <c r="R1029" s="35">
        <v>0</v>
      </c>
      <c r="S1029" s="35">
        <v>-4.76502E-3</v>
      </c>
      <c r="T1029" s="35">
        <v>4.76502E-3</v>
      </c>
      <c r="U1029" s="35">
        <v>0</v>
      </c>
      <c r="V1029" s="35">
        <v>0</v>
      </c>
    </row>
    <row r="1030" spans="1:22">
      <c r="A1030" s="7" t="s">
        <v>273</v>
      </c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-1.4990516053215155E-2</v>
      </c>
      <c r="G1030" s="7">
        <v>0</v>
      </c>
      <c r="H1030" s="7">
        <v>-2.0521745021313972E-2</v>
      </c>
      <c r="I1030" s="7">
        <v>0</v>
      </c>
      <c r="J1030" s="7">
        <v>1.6236379226863738E-2</v>
      </c>
      <c r="K1030" s="7">
        <v>0</v>
      </c>
      <c r="L1030" s="3">
        <f t="shared" si="135"/>
        <v>6.2239163076138748E-4</v>
      </c>
      <c r="M1030" s="3">
        <v>1.4670000000000001</v>
      </c>
      <c r="N1030" s="3">
        <v>-1.3240000000000001</v>
      </c>
      <c r="O1030" s="3">
        <v>0.72599999999999998</v>
      </c>
      <c r="P1030" s="35">
        <v>0</v>
      </c>
      <c r="Q1030" s="35">
        <v>-1.49698E-2</v>
      </c>
      <c r="R1030" s="35">
        <v>0</v>
      </c>
      <c r="S1030" s="35">
        <v>-4.76502E-3</v>
      </c>
      <c r="T1030" s="35">
        <v>0</v>
      </c>
      <c r="U1030" s="35">
        <v>4.76502E-3</v>
      </c>
      <c r="V1030" s="35">
        <v>0</v>
      </c>
    </row>
    <row r="1031" spans="1:22">
      <c r="A1031" s="7"/>
      <c r="B1031" s="8">
        <v>-1.0097006711160386</v>
      </c>
      <c r="C1031" s="8">
        <v>-0.26302086313966178</v>
      </c>
      <c r="D1031" s="8">
        <v>0.76545275918666766</v>
      </c>
      <c r="E1031" s="7">
        <v>0</v>
      </c>
      <c r="F1031" s="7">
        <v>0</v>
      </c>
      <c r="G1031" s="7">
        <v>-1.4990516053215155E-2</v>
      </c>
      <c r="H1031" s="7">
        <v>-2.0521745021313972E-2</v>
      </c>
      <c r="I1031" s="7">
        <v>0</v>
      </c>
      <c r="J1031" s="7">
        <v>0</v>
      </c>
      <c r="K1031" s="7">
        <v>1.5970575730977998E-2</v>
      </c>
      <c r="L1031" s="3">
        <f t="shared" si="135"/>
        <v>-2.6877506903266735E-4</v>
      </c>
      <c r="M1031" s="3">
        <v>-1.01</v>
      </c>
      <c r="N1031" s="3">
        <v>-0.26300000000000001</v>
      </c>
      <c r="O1031" s="3">
        <v>0.76600000000000001</v>
      </c>
      <c r="P1031" s="35">
        <v>0</v>
      </c>
      <c r="Q1031" s="35">
        <v>0</v>
      </c>
      <c r="R1031" s="35">
        <v>-1.49698E-2</v>
      </c>
      <c r="S1031" s="35">
        <v>-4.76502E-3</v>
      </c>
      <c r="T1031" s="35">
        <v>0</v>
      </c>
      <c r="U1031" s="35">
        <v>0</v>
      </c>
      <c r="V1031" s="35">
        <v>4.76502E-3</v>
      </c>
    </row>
    <row r="1032" spans="1:22">
      <c r="A1032" s="7"/>
      <c r="B1032" s="8"/>
      <c r="C1032" s="8"/>
      <c r="D1032" s="8"/>
      <c r="E1032" s="7"/>
      <c r="F1032" s="7"/>
      <c r="G1032" s="7"/>
      <c r="H1032" s="7"/>
      <c r="I1032" s="7"/>
      <c r="J1032" s="7"/>
      <c r="K1032" s="7"/>
    </row>
    <row r="1033" spans="1:22">
      <c r="A1033" s="7"/>
      <c r="B1033" s="8">
        <v>2.5457845528396139E-2</v>
      </c>
      <c r="C1033" s="8">
        <v>-2.3667658472617719</v>
      </c>
      <c r="D1033" s="8">
        <v>-6.368425350466822E-2</v>
      </c>
      <c r="E1033" s="7">
        <v>-1.4990516053215155E-2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3">
        <f t="shared" si="135"/>
        <v>7.7447619560300218E-6</v>
      </c>
      <c r="M1033" s="3">
        <v>2.5000000000000001E-2</v>
      </c>
      <c r="N1033" s="3">
        <v>-2.367</v>
      </c>
      <c r="O1033" s="3">
        <v>-6.3E-2</v>
      </c>
      <c r="P1033" s="35">
        <v>-1.49698E-2</v>
      </c>
      <c r="Q1033" s="35">
        <v>0</v>
      </c>
      <c r="R1033" s="35">
        <v>0</v>
      </c>
      <c r="S1033" s="35">
        <v>-4.76502E-3</v>
      </c>
      <c r="T1033" s="35">
        <v>4.76502E-3</v>
      </c>
      <c r="U1033" s="35">
        <v>0</v>
      </c>
      <c r="V1033" s="35">
        <v>0</v>
      </c>
    </row>
    <row r="1034" spans="1:22">
      <c r="A1034" s="7" t="s">
        <v>274</v>
      </c>
      <c r="B1034" s="8">
        <v>1.4675604394566215</v>
      </c>
      <c r="C1034" s="8">
        <v>-1.3235781323919831</v>
      </c>
      <c r="D1034" s="8">
        <v>0.72564008456612294</v>
      </c>
      <c r="E1034" s="7">
        <v>0</v>
      </c>
      <c r="F1034" s="7">
        <v>-1.4990516053215155E-2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3">
        <f t="shared" si="135"/>
        <v>6.2239163076138748E-4</v>
      </c>
      <c r="M1034" s="3">
        <v>1.4670000000000001</v>
      </c>
      <c r="N1034" s="3">
        <v>-1.3240000000000001</v>
      </c>
      <c r="O1034" s="3">
        <v>0.72599999999999998</v>
      </c>
      <c r="P1034" s="35">
        <v>0</v>
      </c>
      <c r="Q1034" s="35">
        <v>-1.49698E-2</v>
      </c>
      <c r="R1034" s="35">
        <v>0</v>
      </c>
      <c r="S1034" s="35">
        <v>-4.76502E-3</v>
      </c>
      <c r="T1034" s="35">
        <v>0</v>
      </c>
      <c r="U1034" s="35">
        <v>4.76502E-3</v>
      </c>
      <c r="V1034" s="35">
        <v>0</v>
      </c>
    </row>
    <row r="1035" spans="1:22">
      <c r="A1035" s="7"/>
      <c r="B1035" s="8">
        <v>0.60912970227287866</v>
      </c>
      <c r="C1035" s="8">
        <v>-0.28261535739067112</v>
      </c>
      <c r="D1035" s="8">
        <v>0.68802996689194662</v>
      </c>
      <c r="E1035" s="7">
        <v>0</v>
      </c>
      <c r="F1035" s="7">
        <v>0</v>
      </c>
      <c r="G1035" s="7">
        <v>-1.4990516053215155E-2</v>
      </c>
      <c r="H1035" s="7">
        <v>0</v>
      </c>
      <c r="I1035" s="7">
        <v>0</v>
      </c>
      <c r="J1035" s="7">
        <v>0</v>
      </c>
      <c r="K1035" s="7">
        <v>0</v>
      </c>
      <c r="L1035" s="3">
        <f t="shared" si="135"/>
        <v>5.4431177415414922E-4</v>
      </c>
      <c r="M1035" s="3">
        <v>0.60899999999999999</v>
      </c>
      <c r="N1035" s="3">
        <v>-0.28299999999999997</v>
      </c>
      <c r="O1035" s="3">
        <v>0.68799999999999994</v>
      </c>
      <c r="P1035" s="35">
        <v>0</v>
      </c>
      <c r="Q1035" s="35">
        <v>0</v>
      </c>
      <c r="R1035" s="35">
        <v>-1.49698E-2</v>
      </c>
      <c r="S1035" s="35">
        <v>-4.76502E-3</v>
      </c>
      <c r="T1035" s="35">
        <v>0</v>
      </c>
      <c r="U1035" s="35">
        <v>0</v>
      </c>
      <c r="V1035" s="35">
        <v>4.76502E-3</v>
      </c>
    </row>
    <row r="1036" spans="1:22">
      <c r="A1036" s="7"/>
      <c r="B1036" s="8"/>
      <c r="C1036" s="8"/>
      <c r="D1036" s="8"/>
      <c r="E1036" s="7"/>
      <c r="F1036" s="7"/>
      <c r="G1036" s="7"/>
      <c r="H1036" s="7"/>
      <c r="I1036" s="7"/>
      <c r="J1036" s="7"/>
      <c r="K1036" s="7"/>
    </row>
    <row r="1037" spans="1:22">
      <c r="A1037" s="7"/>
      <c r="B1037" s="8">
        <v>2.5457845528396139E-2</v>
      </c>
      <c r="C1037" s="8">
        <v>-2.3667658472617719</v>
      </c>
      <c r="D1037" s="8">
        <v>-6.368425350466822E-2</v>
      </c>
      <c r="E1037" s="7">
        <v>-1.4990516053215155E-2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3">
        <f t="shared" si="136"/>
        <v>7.7447619560300218E-6</v>
      </c>
      <c r="M1037" s="3">
        <v>2.5000000000000001E-2</v>
      </c>
      <c r="N1037" s="3">
        <v>-2.367</v>
      </c>
      <c r="O1037" s="3">
        <v>-6.3E-2</v>
      </c>
      <c r="P1037" s="35">
        <v>-1.49698E-2</v>
      </c>
      <c r="Q1037" s="35">
        <v>0</v>
      </c>
      <c r="R1037" s="35">
        <v>0</v>
      </c>
      <c r="S1037" s="35">
        <v>-4.76502E-3</v>
      </c>
      <c r="T1037" s="35">
        <v>4.76502E-3</v>
      </c>
      <c r="U1037" s="35">
        <v>0</v>
      </c>
      <c r="V1037" s="35">
        <v>0</v>
      </c>
    </row>
    <row r="1038" spans="1:22">
      <c r="A1038" s="7" t="s">
        <v>275</v>
      </c>
      <c r="B1038" s="8">
        <v>-1.0097006711160386</v>
      </c>
      <c r="C1038" s="8">
        <v>-0.26302086313966178</v>
      </c>
      <c r="D1038" s="8">
        <v>0.76545275918666766</v>
      </c>
      <c r="E1038" s="7">
        <v>0</v>
      </c>
      <c r="F1038" s="7">
        <v>-1.4990516053215155E-2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3">
        <f t="shared" si="135"/>
        <v>-2.6877506903266735E-4</v>
      </c>
      <c r="M1038" s="3">
        <v>-1.01</v>
      </c>
      <c r="N1038" s="3">
        <v>-0.26300000000000001</v>
      </c>
      <c r="O1038" s="3">
        <v>0.76600000000000001</v>
      </c>
      <c r="P1038" s="35">
        <v>0</v>
      </c>
      <c r="Q1038" s="35">
        <v>-1.49698E-2</v>
      </c>
      <c r="R1038" s="35">
        <v>0</v>
      </c>
      <c r="S1038" s="35">
        <v>-4.76502E-3</v>
      </c>
      <c r="T1038" s="35">
        <v>0</v>
      </c>
      <c r="U1038" s="35">
        <v>4.76502E-3</v>
      </c>
      <c r="V1038" s="35">
        <v>0</v>
      </c>
    </row>
    <row r="1039" spans="1:22">
      <c r="A1039" s="7"/>
      <c r="B1039" s="8">
        <v>0.60912970227287866</v>
      </c>
      <c r="C1039" s="8">
        <v>-0.28261535739067112</v>
      </c>
      <c r="D1039" s="8">
        <v>0.68802996689194662</v>
      </c>
      <c r="E1039" s="7">
        <v>0</v>
      </c>
      <c r="F1039" s="7">
        <v>0</v>
      </c>
      <c r="G1039" s="7">
        <v>-1.4990516053215155E-2</v>
      </c>
      <c r="H1039" s="7">
        <v>0</v>
      </c>
      <c r="I1039" s="7">
        <v>0</v>
      </c>
      <c r="J1039" s="7">
        <v>0</v>
      </c>
      <c r="K1039" s="7">
        <v>0</v>
      </c>
      <c r="L1039" s="3">
        <f t="shared" si="135"/>
        <v>5.4431177415414922E-4</v>
      </c>
      <c r="M1039" s="3">
        <v>0.60899999999999999</v>
      </c>
      <c r="N1039" s="3">
        <v>-0.28299999999999997</v>
      </c>
      <c r="O1039" s="3">
        <v>0.68799999999999994</v>
      </c>
      <c r="P1039" s="35">
        <v>0</v>
      </c>
      <c r="Q1039" s="35">
        <v>0</v>
      </c>
      <c r="R1039" s="35">
        <v>-1.49698E-2</v>
      </c>
      <c r="S1039" s="35">
        <v>-4.76502E-3</v>
      </c>
      <c r="T1039" s="35">
        <v>0</v>
      </c>
      <c r="U1039" s="35">
        <v>0</v>
      </c>
      <c r="V1039" s="35">
        <v>4.76502E-3</v>
      </c>
    </row>
    <row r="1040" spans="1:22">
      <c r="A1040" s="7"/>
      <c r="B1040" s="8"/>
      <c r="C1040" s="8"/>
      <c r="D1040" s="8"/>
      <c r="E1040" s="7"/>
      <c r="F1040" s="7"/>
      <c r="G1040" s="7"/>
      <c r="H1040" s="7"/>
      <c r="I1040" s="7"/>
      <c r="J1040" s="7"/>
      <c r="K1040" s="7"/>
    </row>
    <row r="1041" spans="1:22">
      <c r="A1041" s="7"/>
      <c r="B1041" s="8">
        <v>-1.2284177840385118</v>
      </c>
      <c r="C1041" s="8">
        <v>-2.3993580133895418</v>
      </c>
      <c r="D1041" s="8">
        <v>0.6756623603325641</v>
      </c>
      <c r="E1041" s="7">
        <v>-1.4990516053215155E-2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3">
        <f t="shared" si="137"/>
        <v>8.8656290451050168E-4</v>
      </c>
      <c r="M1041" s="3">
        <v>-1.2290000000000001</v>
      </c>
      <c r="N1041" s="3">
        <v>-2.4</v>
      </c>
      <c r="O1041" s="3">
        <v>0.67600000000000005</v>
      </c>
      <c r="P1041" s="35">
        <v>-1.49698E-2</v>
      </c>
      <c r="Q1041" s="35">
        <v>0</v>
      </c>
      <c r="R1041" s="35">
        <v>0</v>
      </c>
      <c r="S1041" s="35">
        <v>-4.76502E-3</v>
      </c>
      <c r="T1041" s="35">
        <v>4.76502E-3</v>
      </c>
      <c r="U1041" s="35">
        <v>0</v>
      </c>
      <c r="V1041" s="35">
        <v>0</v>
      </c>
    </row>
    <row r="1042" spans="1:22">
      <c r="A1042" s="7" t="s">
        <v>276</v>
      </c>
      <c r="B1042" s="8">
        <v>1.0673702345396179</v>
      </c>
      <c r="C1042" s="8">
        <v>-2.4075843796929846</v>
      </c>
      <c r="D1042" s="8">
        <v>0.708799578341892</v>
      </c>
      <c r="E1042" s="7">
        <v>0</v>
      </c>
      <c r="F1042" s="7">
        <v>-1.4990516053215155E-2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3">
        <f t="shared" si="135"/>
        <v>5.8543318852555259E-4</v>
      </c>
      <c r="M1042" s="3">
        <v>1.0669999999999999</v>
      </c>
      <c r="N1042" s="3">
        <v>-2.4079999999999999</v>
      </c>
      <c r="O1042" s="3">
        <v>0.70899999999999996</v>
      </c>
      <c r="P1042" s="35">
        <v>0</v>
      </c>
      <c r="Q1042" s="35">
        <v>-1.49698E-2</v>
      </c>
      <c r="R1042" s="35">
        <v>0</v>
      </c>
      <c r="S1042" s="35">
        <v>-4.76502E-3</v>
      </c>
      <c r="T1042" s="35">
        <v>0</v>
      </c>
      <c r="U1042" s="35">
        <v>4.76502E-3</v>
      </c>
      <c r="V1042" s="35">
        <v>0</v>
      </c>
    </row>
    <row r="1043" spans="1:22">
      <c r="A1043" s="7"/>
      <c r="B1043" s="8">
        <v>-1.3773893306068323</v>
      </c>
      <c r="C1043" s="8">
        <v>-1.5521003879162059</v>
      </c>
      <c r="D1043" s="8">
        <v>0.65590292152571228</v>
      </c>
      <c r="E1043" s="7">
        <v>0</v>
      </c>
      <c r="F1043" s="7">
        <v>0</v>
      </c>
      <c r="G1043" s="7">
        <v>-1.4990516053215155E-2</v>
      </c>
      <c r="H1043" s="7">
        <v>0</v>
      </c>
      <c r="I1043" s="7">
        <v>0</v>
      </c>
      <c r="J1043" s="7">
        <v>0</v>
      </c>
      <c r="K1043" s="7">
        <v>0</v>
      </c>
      <c r="L1043" s="3">
        <f t="shared" si="135"/>
        <v>4.1320300267400079E-4</v>
      </c>
      <c r="M1043" s="3">
        <v>-1.3779999999999999</v>
      </c>
      <c r="N1043" s="3">
        <v>-1.552</v>
      </c>
      <c r="O1043" s="3">
        <v>0.65600000000000003</v>
      </c>
      <c r="P1043" s="35">
        <v>0</v>
      </c>
      <c r="Q1043" s="35">
        <v>0</v>
      </c>
      <c r="R1043" s="35">
        <v>-1.49698E-2</v>
      </c>
      <c r="S1043" s="35">
        <v>-4.76502E-3</v>
      </c>
      <c r="T1043" s="35">
        <v>0</v>
      </c>
      <c r="U1043" s="35">
        <v>0</v>
      </c>
      <c r="V1043" s="35">
        <v>4.76502E-3</v>
      </c>
    </row>
    <row r="1044" spans="1:22">
      <c r="A1044" s="7"/>
      <c r="B1044" s="8"/>
      <c r="C1044" s="8"/>
      <c r="D1044" s="8"/>
      <c r="E1044" s="7"/>
      <c r="F1044" s="7"/>
      <c r="G1044" s="7"/>
      <c r="H1044" s="7"/>
      <c r="I1044" s="7"/>
      <c r="J1044" s="7"/>
      <c r="K1044" s="7"/>
    </row>
    <row r="1045" spans="1:22">
      <c r="A1045" s="7"/>
      <c r="B1045" s="8">
        <v>-1.2284177840385118</v>
      </c>
      <c r="C1045" s="8">
        <v>-2.3993580133895418</v>
      </c>
      <c r="D1045" s="8">
        <v>0.6756623603325641</v>
      </c>
      <c r="E1045" s="7">
        <v>-1.4990516053215155E-2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 s="3">
        <f t="shared" ref="L1045:L1083" si="139">B1045-M1045+C1045-N1045+D1045-O1045</f>
        <v>8.8656290451050168E-4</v>
      </c>
      <c r="M1045" s="3">
        <v>-1.2290000000000001</v>
      </c>
      <c r="N1045" s="3">
        <v>-2.4</v>
      </c>
      <c r="O1045" s="3">
        <v>0.67600000000000005</v>
      </c>
      <c r="P1045" s="35">
        <v>-1.49698E-2</v>
      </c>
      <c r="Q1045" s="35">
        <v>0</v>
      </c>
      <c r="R1045" s="35">
        <v>0</v>
      </c>
      <c r="S1045" s="35">
        <v>-4.76502E-3</v>
      </c>
      <c r="T1045" s="35">
        <v>4.76502E-3</v>
      </c>
      <c r="U1045" s="35">
        <v>0</v>
      </c>
      <c r="V1045" s="35">
        <v>0</v>
      </c>
    </row>
    <row r="1046" spans="1:22">
      <c r="A1046" s="7" t="s">
        <v>277</v>
      </c>
      <c r="B1046" s="8">
        <v>1.0673702345396179</v>
      </c>
      <c r="C1046" s="8">
        <v>-2.4075843796929846</v>
      </c>
      <c r="D1046" s="8">
        <v>0.708799578341892</v>
      </c>
      <c r="E1046" s="7">
        <v>0</v>
      </c>
      <c r="F1046" s="7">
        <v>-1.4990516053215155E-2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L1046" s="3">
        <f t="shared" si="139"/>
        <v>5.8543318852555259E-4</v>
      </c>
      <c r="M1046" s="3">
        <v>1.0669999999999999</v>
      </c>
      <c r="N1046" s="3">
        <v>-2.4079999999999999</v>
      </c>
      <c r="O1046" s="3">
        <v>0.70899999999999996</v>
      </c>
      <c r="P1046" s="35">
        <v>0</v>
      </c>
      <c r="Q1046" s="35">
        <v>-1.49698E-2</v>
      </c>
      <c r="R1046" s="35">
        <v>0</v>
      </c>
      <c r="S1046" s="35">
        <v>-4.76502E-3</v>
      </c>
      <c r="T1046" s="35">
        <v>0</v>
      </c>
      <c r="U1046" s="35">
        <v>4.76502E-3</v>
      </c>
      <c r="V1046" s="35">
        <v>0</v>
      </c>
    </row>
    <row r="1047" spans="1:22">
      <c r="A1047" s="7"/>
      <c r="B1047" s="8">
        <v>1.4675604394566215</v>
      </c>
      <c r="C1047" s="8">
        <v>-1.3235781323919831</v>
      </c>
      <c r="D1047" s="8">
        <v>0.72564008456612294</v>
      </c>
      <c r="E1047" s="7">
        <v>0</v>
      </c>
      <c r="F1047" s="7">
        <v>0</v>
      </c>
      <c r="G1047" s="7">
        <v>-1.4990516053215155E-2</v>
      </c>
      <c r="H1047" s="7">
        <v>0</v>
      </c>
      <c r="I1047" s="7">
        <v>0</v>
      </c>
      <c r="J1047" s="7">
        <v>0</v>
      </c>
      <c r="K1047" s="7">
        <v>0</v>
      </c>
      <c r="L1047" s="3">
        <f t="shared" si="139"/>
        <v>6.2239163076138748E-4</v>
      </c>
      <c r="M1047" s="3">
        <v>1.4670000000000001</v>
      </c>
      <c r="N1047" s="3">
        <v>-1.3240000000000001</v>
      </c>
      <c r="O1047" s="3">
        <v>0.72599999999999998</v>
      </c>
      <c r="P1047" s="35">
        <v>0</v>
      </c>
      <c r="Q1047" s="35">
        <v>0</v>
      </c>
      <c r="R1047" s="35">
        <v>-1.49698E-2</v>
      </c>
      <c r="S1047" s="35">
        <v>-4.76502E-3</v>
      </c>
      <c r="T1047" s="35">
        <v>0</v>
      </c>
      <c r="U1047" s="35">
        <v>0</v>
      </c>
      <c r="V1047" s="35">
        <v>4.76502E-3</v>
      </c>
    </row>
    <row r="1048" spans="1:22">
      <c r="A1048" s="7"/>
      <c r="B1048" s="8"/>
      <c r="C1048" s="8"/>
      <c r="D1048" s="8"/>
      <c r="E1048" s="7"/>
      <c r="F1048" s="7"/>
      <c r="G1048" s="7"/>
      <c r="H1048" s="7"/>
      <c r="I1048" s="7"/>
      <c r="J1048" s="7"/>
      <c r="K1048" s="7"/>
    </row>
    <row r="1049" spans="1:22">
      <c r="A1049" s="7"/>
      <c r="B1049" s="8">
        <v>-1.2284177840385118</v>
      </c>
      <c r="C1049" s="8">
        <v>-2.3993580133895418</v>
      </c>
      <c r="D1049" s="8">
        <v>0.6756623603325641</v>
      </c>
      <c r="E1049" s="7">
        <v>-1.4990516053215155E-2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3">
        <f t="shared" si="135"/>
        <v>8.8656290451050168E-4</v>
      </c>
      <c r="M1049" s="3">
        <v>-1.2290000000000001</v>
      </c>
      <c r="N1049" s="3">
        <v>-2.4</v>
      </c>
      <c r="O1049" s="3">
        <v>0.67600000000000005</v>
      </c>
      <c r="P1049" s="35">
        <v>-1.49698E-2</v>
      </c>
      <c r="Q1049" s="35">
        <v>0</v>
      </c>
      <c r="R1049" s="35">
        <v>0</v>
      </c>
      <c r="S1049" s="35">
        <v>-4.76502E-3</v>
      </c>
      <c r="T1049" s="35">
        <v>4.76502E-3</v>
      </c>
      <c r="U1049" s="35">
        <v>0</v>
      </c>
      <c r="V1049" s="35">
        <v>0</v>
      </c>
    </row>
    <row r="1050" spans="1:22">
      <c r="A1050" s="7" t="s">
        <v>278</v>
      </c>
      <c r="B1050" s="8">
        <v>1.0673702345396179</v>
      </c>
      <c r="C1050" s="8">
        <v>-2.4075843796929846</v>
      </c>
      <c r="D1050" s="8">
        <v>0.708799578341892</v>
      </c>
      <c r="E1050" s="7">
        <v>0</v>
      </c>
      <c r="F1050" s="7">
        <v>-1.4990516053215155E-2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L1050" s="3">
        <f t="shared" si="135"/>
        <v>5.8543318852555259E-4</v>
      </c>
      <c r="M1050" s="3">
        <v>1.0669999999999999</v>
      </c>
      <c r="N1050" s="3">
        <v>-2.4079999999999999</v>
      </c>
      <c r="O1050" s="3">
        <v>0.70899999999999996</v>
      </c>
      <c r="P1050" s="35">
        <v>0</v>
      </c>
      <c r="Q1050" s="35">
        <v>-1.49698E-2</v>
      </c>
      <c r="R1050" s="35">
        <v>0</v>
      </c>
      <c r="S1050" s="35">
        <v>-4.76502E-3</v>
      </c>
      <c r="T1050" s="35">
        <v>0</v>
      </c>
      <c r="U1050" s="35">
        <v>4.76502E-3</v>
      </c>
      <c r="V1050" s="35">
        <v>0</v>
      </c>
    </row>
    <row r="1051" spans="1:22">
      <c r="A1051" s="7"/>
      <c r="B1051" s="8">
        <v>-1.0097006711160386</v>
      </c>
      <c r="C1051" s="8">
        <v>-0.26302086313966178</v>
      </c>
      <c r="D1051" s="8">
        <v>0.76545275918666766</v>
      </c>
      <c r="E1051" s="7">
        <v>0</v>
      </c>
      <c r="F1051" s="7">
        <v>0</v>
      </c>
      <c r="G1051" s="7">
        <v>-1.4990516053215155E-2</v>
      </c>
      <c r="H1051" s="7">
        <v>0</v>
      </c>
      <c r="I1051" s="7">
        <v>0</v>
      </c>
      <c r="J1051" s="7">
        <v>0</v>
      </c>
      <c r="K1051" s="7">
        <v>0</v>
      </c>
      <c r="L1051" s="3">
        <f t="shared" si="135"/>
        <v>-2.6877506903266735E-4</v>
      </c>
      <c r="M1051" s="3">
        <v>-1.01</v>
      </c>
      <c r="N1051" s="3">
        <v>-0.26300000000000001</v>
      </c>
      <c r="O1051" s="3">
        <v>0.76600000000000001</v>
      </c>
      <c r="P1051" s="35">
        <v>0</v>
      </c>
      <c r="Q1051" s="35">
        <v>0</v>
      </c>
      <c r="R1051" s="35">
        <v>-1.49698E-2</v>
      </c>
      <c r="S1051" s="35">
        <v>-4.76502E-3</v>
      </c>
      <c r="T1051" s="35">
        <v>0</v>
      </c>
      <c r="U1051" s="35">
        <v>0</v>
      </c>
      <c r="V1051" s="35">
        <v>4.76502E-3</v>
      </c>
    </row>
    <row r="1052" spans="1:22">
      <c r="A1052" s="7"/>
      <c r="B1052" s="8"/>
      <c r="C1052" s="8"/>
      <c r="D1052" s="8"/>
      <c r="E1052" s="7"/>
      <c r="F1052" s="7"/>
      <c r="G1052" s="7"/>
      <c r="H1052" s="7"/>
      <c r="I1052" s="7"/>
      <c r="J1052" s="7"/>
      <c r="K1052" s="7"/>
    </row>
    <row r="1053" spans="1:22">
      <c r="A1053" s="7"/>
      <c r="B1053" s="8">
        <v>-1.2284177840385118</v>
      </c>
      <c r="C1053" s="8">
        <v>-2.3993580133895418</v>
      </c>
      <c r="D1053" s="8">
        <v>0.6756623603325641</v>
      </c>
      <c r="E1053" s="7">
        <v>-1.4990516053215155E-2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3">
        <f t="shared" ref="L1053:L1089" si="140">B1053-M1053+C1053-N1053+D1053-O1053</f>
        <v>8.8656290451050168E-4</v>
      </c>
      <c r="M1053" s="3">
        <v>-1.2290000000000001</v>
      </c>
      <c r="N1053" s="3">
        <v>-2.4</v>
      </c>
      <c r="O1053" s="3">
        <v>0.67600000000000005</v>
      </c>
      <c r="P1053" s="35">
        <v>-1.49698E-2</v>
      </c>
      <c r="Q1053" s="35">
        <v>0</v>
      </c>
      <c r="R1053" s="35">
        <v>0</v>
      </c>
      <c r="S1053" s="35">
        <v>-4.76502E-3</v>
      </c>
      <c r="T1053" s="35">
        <v>4.76502E-3</v>
      </c>
      <c r="U1053" s="35">
        <v>0</v>
      </c>
      <c r="V1053" s="35">
        <v>0</v>
      </c>
    </row>
    <row r="1054" spans="1:22">
      <c r="A1054" s="7" t="s">
        <v>279</v>
      </c>
      <c r="B1054" s="8">
        <v>1.0673702345396179</v>
      </c>
      <c r="C1054" s="8">
        <v>-2.4075843796929846</v>
      </c>
      <c r="D1054" s="8">
        <v>0.708799578341892</v>
      </c>
      <c r="E1054" s="7">
        <v>0</v>
      </c>
      <c r="F1054" s="7">
        <v>-1.4990516053215155E-2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3">
        <f t="shared" si="135"/>
        <v>5.8543318852555259E-4</v>
      </c>
      <c r="M1054" s="3">
        <v>1.0669999999999999</v>
      </c>
      <c r="N1054" s="3">
        <v>-2.4079999999999999</v>
      </c>
      <c r="O1054" s="3">
        <v>0.70899999999999996</v>
      </c>
      <c r="P1054" s="35">
        <v>0</v>
      </c>
      <c r="Q1054" s="35">
        <v>-1.49698E-2</v>
      </c>
      <c r="R1054" s="35">
        <v>0</v>
      </c>
      <c r="S1054" s="35">
        <v>-4.76502E-3</v>
      </c>
      <c r="T1054" s="35">
        <v>0</v>
      </c>
      <c r="U1054" s="35">
        <v>4.76502E-3</v>
      </c>
      <c r="V1054" s="35">
        <v>0</v>
      </c>
    </row>
    <row r="1055" spans="1:22">
      <c r="A1055" s="7"/>
      <c r="B1055" s="8">
        <v>0.60912970227287866</v>
      </c>
      <c r="C1055" s="8">
        <v>-0.28261535739067112</v>
      </c>
      <c r="D1055" s="8">
        <v>0.68802996689194662</v>
      </c>
      <c r="E1055" s="7">
        <v>0</v>
      </c>
      <c r="F1055" s="7">
        <v>0</v>
      </c>
      <c r="G1055" s="7">
        <v>-1.4990516053215155E-2</v>
      </c>
      <c r="H1055" s="7">
        <v>0</v>
      </c>
      <c r="I1055" s="7">
        <v>0</v>
      </c>
      <c r="J1055" s="7">
        <v>0</v>
      </c>
      <c r="K1055" s="7">
        <v>0</v>
      </c>
      <c r="L1055" s="3">
        <f t="shared" si="135"/>
        <v>5.4431177415414922E-4</v>
      </c>
      <c r="M1055" s="3">
        <v>0.60899999999999999</v>
      </c>
      <c r="N1055" s="3">
        <v>-0.28299999999999997</v>
      </c>
      <c r="O1055" s="3">
        <v>0.68799999999999994</v>
      </c>
      <c r="P1055" s="35">
        <v>0</v>
      </c>
      <c r="Q1055" s="35">
        <v>0</v>
      </c>
      <c r="R1055" s="35">
        <v>-1.49698E-2</v>
      </c>
      <c r="S1055" s="35">
        <v>-4.76502E-3</v>
      </c>
      <c r="T1055" s="35">
        <v>0</v>
      </c>
      <c r="U1055" s="35">
        <v>0</v>
      </c>
      <c r="V1055" s="35">
        <v>4.76502E-3</v>
      </c>
    </row>
    <row r="1056" spans="1:22">
      <c r="A1056" s="7"/>
      <c r="B1056" s="8"/>
      <c r="C1056" s="8"/>
      <c r="D1056" s="8"/>
      <c r="E1056" s="7"/>
      <c r="F1056" s="7"/>
      <c r="G1056" s="7"/>
      <c r="H1056" s="7"/>
      <c r="I1056" s="7"/>
      <c r="J1056" s="7"/>
      <c r="K1056" s="7"/>
    </row>
    <row r="1057" spans="1:22">
      <c r="A1057" s="7"/>
      <c r="B1057" s="8">
        <v>-1.2284177840385118</v>
      </c>
      <c r="C1057" s="8">
        <v>-2.3993580133895418</v>
      </c>
      <c r="D1057" s="8">
        <v>0.6756623603325641</v>
      </c>
      <c r="E1057" s="7">
        <v>-1.4990516053215155E-2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 s="3">
        <f t="shared" ref="L1057:L1093" si="141">B1057-M1057+C1057-N1057+D1057-O1057</f>
        <v>8.8656290451050168E-4</v>
      </c>
      <c r="M1057" s="3">
        <v>-1.2290000000000001</v>
      </c>
      <c r="N1057" s="3">
        <v>-2.4</v>
      </c>
      <c r="O1057" s="3">
        <v>0.67600000000000005</v>
      </c>
      <c r="P1057" s="35">
        <v>-1.49698E-2</v>
      </c>
      <c r="Q1057" s="35">
        <v>0</v>
      </c>
      <c r="R1057" s="35">
        <v>0</v>
      </c>
      <c r="S1057" s="35">
        <v>-4.76502E-3</v>
      </c>
      <c r="T1057" s="35">
        <v>4.76502E-3</v>
      </c>
      <c r="U1057" s="35">
        <v>0</v>
      </c>
      <c r="V1057" s="35">
        <v>0</v>
      </c>
    </row>
    <row r="1058" spans="1:22">
      <c r="A1058" s="7" t="s">
        <v>280</v>
      </c>
      <c r="B1058" s="8">
        <v>-1.3773893306068323</v>
      </c>
      <c r="C1058" s="8">
        <v>-1.5521003879162059</v>
      </c>
      <c r="D1058" s="8">
        <v>0.65590292152571228</v>
      </c>
      <c r="E1058" s="7">
        <v>0</v>
      </c>
      <c r="F1058" s="7">
        <v>-1.4990516053215155E-2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L1058" s="3">
        <f t="shared" si="135"/>
        <v>4.1320300267400079E-4</v>
      </c>
      <c r="M1058" s="3">
        <v>-1.3779999999999999</v>
      </c>
      <c r="N1058" s="3">
        <v>-1.552</v>
      </c>
      <c r="O1058" s="3">
        <v>0.65600000000000003</v>
      </c>
      <c r="P1058" s="35">
        <v>0</v>
      </c>
      <c r="Q1058" s="35">
        <v>-1.49698E-2</v>
      </c>
      <c r="R1058" s="35">
        <v>0</v>
      </c>
      <c r="S1058" s="35">
        <v>-4.76502E-3</v>
      </c>
      <c r="T1058" s="35">
        <v>0</v>
      </c>
      <c r="U1058" s="35">
        <v>4.76502E-3</v>
      </c>
      <c r="V1058" s="35">
        <v>0</v>
      </c>
    </row>
    <row r="1059" spans="1:22">
      <c r="A1059" s="7"/>
      <c r="B1059" s="8">
        <v>1.4675604394566215</v>
      </c>
      <c r="C1059" s="8">
        <v>-1.3235781323919831</v>
      </c>
      <c r="D1059" s="8">
        <v>0.72564008456612294</v>
      </c>
      <c r="E1059" s="7">
        <v>0</v>
      </c>
      <c r="F1059" s="7">
        <v>0</v>
      </c>
      <c r="G1059" s="7">
        <v>-1.4990516053215155E-2</v>
      </c>
      <c r="H1059" s="7">
        <v>0</v>
      </c>
      <c r="I1059" s="7">
        <v>0</v>
      </c>
      <c r="J1059" s="7">
        <v>0</v>
      </c>
      <c r="K1059" s="7">
        <v>0</v>
      </c>
      <c r="L1059" s="3">
        <f t="shared" si="135"/>
        <v>6.2239163076138748E-4</v>
      </c>
      <c r="M1059" s="3">
        <v>1.4670000000000001</v>
      </c>
      <c r="N1059" s="3">
        <v>-1.3240000000000001</v>
      </c>
      <c r="O1059" s="3">
        <v>0.72599999999999998</v>
      </c>
      <c r="P1059" s="35">
        <v>0</v>
      </c>
      <c r="Q1059" s="35">
        <v>0</v>
      </c>
      <c r="R1059" s="35">
        <v>-1.49698E-2</v>
      </c>
      <c r="S1059" s="35">
        <v>-4.76502E-3</v>
      </c>
      <c r="T1059" s="35">
        <v>0</v>
      </c>
      <c r="U1059" s="35">
        <v>0</v>
      </c>
      <c r="V1059" s="35">
        <v>4.76502E-3</v>
      </c>
    </row>
    <row r="1060" spans="1:22">
      <c r="A1060" s="7"/>
      <c r="B1060" s="8"/>
      <c r="C1060" s="8"/>
      <c r="D1060" s="8"/>
      <c r="E1060" s="7"/>
      <c r="F1060" s="7"/>
      <c r="G1060" s="7"/>
      <c r="H1060" s="7"/>
      <c r="I1060" s="7"/>
      <c r="J1060" s="7"/>
      <c r="K1060" s="7"/>
    </row>
    <row r="1061" spans="1:22">
      <c r="A1061" s="7"/>
      <c r="B1061" s="8">
        <v>-1.2284177840385118</v>
      </c>
      <c r="C1061" s="8">
        <v>-2.3993580133895418</v>
      </c>
      <c r="D1061" s="8">
        <v>0.6756623603325641</v>
      </c>
      <c r="E1061" s="7">
        <v>-1.4990516053215155E-2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 s="3">
        <f t="shared" ref="L1061:L1115" si="142">B1061-M1061+C1061-N1061+D1061-O1061</f>
        <v>8.8656290451050168E-4</v>
      </c>
      <c r="M1061" s="3">
        <v>-1.2290000000000001</v>
      </c>
      <c r="N1061" s="3">
        <v>-2.4</v>
      </c>
      <c r="O1061" s="3">
        <v>0.67600000000000005</v>
      </c>
      <c r="P1061" s="35">
        <v>-1.49698E-2</v>
      </c>
      <c r="Q1061" s="35">
        <v>0</v>
      </c>
      <c r="R1061" s="35">
        <v>0</v>
      </c>
      <c r="S1061" s="35">
        <v>-4.76502E-3</v>
      </c>
      <c r="T1061" s="35">
        <v>4.76502E-3</v>
      </c>
      <c r="U1061" s="35">
        <v>0</v>
      </c>
      <c r="V1061" s="35">
        <v>0</v>
      </c>
    </row>
    <row r="1062" spans="1:22">
      <c r="A1062" s="7" t="s">
        <v>281</v>
      </c>
      <c r="B1062" s="8">
        <v>-1.3773893306068323</v>
      </c>
      <c r="C1062" s="8">
        <v>-1.5521003879162059</v>
      </c>
      <c r="D1062" s="8">
        <v>0.65590292152571228</v>
      </c>
      <c r="E1062" s="7">
        <v>0</v>
      </c>
      <c r="F1062" s="7">
        <v>-1.4990516053215155E-2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L1062" s="3">
        <f t="shared" si="142"/>
        <v>4.1320300267400079E-4</v>
      </c>
      <c r="M1062" s="3">
        <v>-1.3779999999999999</v>
      </c>
      <c r="N1062" s="3">
        <v>-1.552</v>
      </c>
      <c r="O1062" s="3">
        <v>0.65600000000000003</v>
      </c>
      <c r="P1062" s="35">
        <v>0</v>
      </c>
      <c r="Q1062" s="35">
        <v>-1.49698E-2</v>
      </c>
      <c r="R1062" s="35">
        <v>0</v>
      </c>
      <c r="S1062" s="35">
        <v>-4.76502E-3</v>
      </c>
      <c r="T1062" s="35">
        <v>0</v>
      </c>
      <c r="U1062" s="35">
        <v>4.76502E-3</v>
      </c>
      <c r="V1062" s="35">
        <v>0</v>
      </c>
    </row>
    <row r="1063" spans="1:22">
      <c r="A1063" s="7"/>
      <c r="B1063" s="8">
        <v>-1.0097006711160386</v>
      </c>
      <c r="C1063" s="8">
        <v>-0.26302086313966178</v>
      </c>
      <c r="D1063" s="8">
        <v>0.76545275918666766</v>
      </c>
      <c r="E1063" s="7">
        <v>0</v>
      </c>
      <c r="F1063" s="7">
        <v>0</v>
      </c>
      <c r="G1063" s="7">
        <v>-1.4990516053215155E-2</v>
      </c>
      <c r="H1063" s="7">
        <v>0</v>
      </c>
      <c r="I1063" s="7">
        <v>0</v>
      </c>
      <c r="J1063" s="7">
        <v>0</v>
      </c>
      <c r="K1063" s="7">
        <v>0</v>
      </c>
      <c r="L1063" s="3">
        <f t="shared" si="142"/>
        <v>-2.6877506903266735E-4</v>
      </c>
      <c r="M1063" s="3">
        <v>-1.01</v>
      </c>
      <c r="N1063" s="3">
        <v>-0.26300000000000001</v>
      </c>
      <c r="O1063" s="3">
        <v>0.76600000000000001</v>
      </c>
      <c r="P1063" s="35">
        <v>0</v>
      </c>
      <c r="Q1063" s="35">
        <v>0</v>
      </c>
      <c r="R1063" s="35">
        <v>-1.49698E-2</v>
      </c>
      <c r="S1063" s="35">
        <v>-4.76502E-3</v>
      </c>
      <c r="T1063" s="35">
        <v>0</v>
      </c>
      <c r="U1063" s="35">
        <v>0</v>
      </c>
      <c r="V1063" s="35">
        <v>4.76502E-3</v>
      </c>
    </row>
    <row r="1064" spans="1:22">
      <c r="A1064" s="7"/>
      <c r="B1064" s="8"/>
      <c r="C1064" s="8"/>
      <c r="D1064" s="8"/>
      <c r="E1064" s="7"/>
      <c r="F1064" s="7"/>
      <c r="G1064" s="7"/>
      <c r="H1064" s="7"/>
      <c r="I1064" s="7"/>
      <c r="J1064" s="7"/>
      <c r="K1064" s="7"/>
    </row>
    <row r="1065" spans="1:22">
      <c r="A1065" s="7"/>
      <c r="B1065" s="8">
        <v>-1.2284177840385118</v>
      </c>
      <c r="C1065" s="8">
        <v>-2.3993580133895418</v>
      </c>
      <c r="D1065" s="8">
        <v>0.6756623603325641</v>
      </c>
      <c r="E1065" s="7">
        <v>-1.4990516053215155E-2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3">
        <f t="shared" ref="L1065:L1101" si="143">B1065-M1065+C1065-N1065+D1065-O1065</f>
        <v>8.8656290451050168E-4</v>
      </c>
      <c r="M1065" s="3">
        <v>-1.2290000000000001</v>
      </c>
      <c r="N1065" s="3">
        <v>-2.4</v>
      </c>
      <c r="O1065" s="3">
        <v>0.67600000000000005</v>
      </c>
      <c r="P1065" s="35">
        <v>-1.49698E-2</v>
      </c>
      <c r="Q1065" s="35">
        <v>0</v>
      </c>
      <c r="R1065" s="35">
        <v>0</v>
      </c>
      <c r="S1065" s="35">
        <v>-4.76502E-3</v>
      </c>
      <c r="T1065" s="35">
        <v>4.76502E-3</v>
      </c>
      <c r="U1065" s="35">
        <v>0</v>
      </c>
      <c r="V1065" s="35">
        <v>0</v>
      </c>
    </row>
    <row r="1066" spans="1:22">
      <c r="A1066" s="7" t="s">
        <v>282</v>
      </c>
      <c r="B1066" s="8">
        <v>-1.3773893306068323</v>
      </c>
      <c r="C1066" s="8">
        <v>-1.5521003879162059</v>
      </c>
      <c r="D1066" s="8">
        <v>0.65590292152571228</v>
      </c>
      <c r="E1066" s="7">
        <v>0</v>
      </c>
      <c r="F1066" s="7">
        <v>-1.4990516053215155E-2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3">
        <f t="shared" si="142"/>
        <v>4.1320300267400079E-4</v>
      </c>
      <c r="M1066" s="3">
        <v>-1.3779999999999999</v>
      </c>
      <c r="N1066" s="3">
        <v>-1.552</v>
      </c>
      <c r="O1066" s="3">
        <v>0.65600000000000003</v>
      </c>
      <c r="P1066" s="35">
        <v>0</v>
      </c>
      <c r="Q1066" s="35">
        <v>-1.49698E-2</v>
      </c>
      <c r="R1066" s="35">
        <v>0</v>
      </c>
      <c r="S1066" s="35">
        <v>-4.76502E-3</v>
      </c>
      <c r="T1066" s="35">
        <v>0</v>
      </c>
      <c r="U1066" s="35">
        <v>4.76502E-3</v>
      </c>
      <c r="V1066" s="35">
        <v>0</v>
      </c>
    </row>
    <row r="1067" spans="1:22">
      <c r="A1067" s="7"/>
      <c r="B1067" s="8">
        <v>0.60912970227287866</v>
      </c>
      <c r="C1067" s="8">
        <v>-0.28261535739067112</v>
      </c>
      <c r="D1067" s="8">
        <v>0.68802996689194662</v>
      </c>
      <c r="E1067" s="7">
        <v>0</v>
      </c>
      <c r="F1067" s="7">
        <v>0</v>
      </c>
      <c r="G1067" s="7">
        <v>-1.4990516053215155E-2</v>
      </c>
      <c r="H1067" s="7">
        <v>0</v>
      </c>
      <c r="I1067" s="7">
        <v>0</v>
      </c>
      <c r="J1067" s="7">
        <v>0</v>
      </c>
      <c r="K1067" s="7">
        <v>0</v>
      </c>
      <c r="L1067" s="3">
        <f t="shared" si="142"/>
        <v>5.4431177415414922E-4</v>
      </c>
      <c r="M1067" s="3">
        <v>0.60899999999999999</v>
      </c>
      <c r="N1067" s="3">
        <v>-0.28299999999999997</v>
      </c>
      <c r="O1067" s="3">
        <v>0.68799999999999994</v>
      </c>
      <c r="P1067" s="35">
        <v>0</v>
      </c>
      <c r="Q1067" s="35">
        <v>0</v>
      </c>
      <c r="R1067" s="35">
        <v>-1.49698E-2</v>
      </c>
      <c r="S1067" s="35">
        <v>-4.76502E-3</v>
      </c>
      <c r="T1067" s="35">
        <v>0</v>
      </c>
      <c r="U1067" s="35">
        <v>0</v>
      </c>
      <c r="V1067" s="35">
        <v>4.76502E-3</v>
      </c>
    </row>
    <row r="1068" spans="1:22">
      <c r="A1068" s="7"/>
      <c r="B1068" s="8"/>
      <c r="C1068" s="8"/>
      <c r="D1068" s="8"/>
      <c r="E1068" s="7"/>
      <c r="F1068" s="7"/>
      <c r="G1068" s="7"/>
      <c r="H1068" s="7"/>
      <c r="I1068" s="7"/>
      <c r="J1068" s="7"/>
      <c r="K1068" s="7"/>
    </row>
    <row r="1069" spans="1:22">
      <c r="A1069" s="7"/>
      <c r="B1069" s="8">
        <v>-1.2284177840385118</v>
      </c>
      <c r="C1069" s="8">
        <v>-2.3993580133895418</v>
      </c>
      <c r="D1069" s="8">
        <v>0.6756623603325641</v>
      </c>
      <c r="E1069" s="7">
        <v>-1.4990516053215155E-2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3">
        <f t="shared" ref="L1069:L1105" si="144">B1069-M1069+C1069-N1069+D1069-O1069</f>
        <v>8.8656290451050168E-4</v>
      </c>
      <c r="M1069" s="3">
        <v>-1.2290000000000001</v>
      </c>
      <c r="N1069" s="3">
        <v>-2.4</v>
      </c>
      <c r="O1069" s="3">
        <v>0.67600000000000005</v>
      </c>
      <c r="P1069" s="35">
        <v>-1.49698E-2</v>
      </c>
      <c r="Q1069" s="35">
        <v>0</v>
      </c>
      <c r="R1069" s="35">
        <v>0</v>
      </c>
      <c r="S1069" s="35">
        <v>-4.76502E-3</v>
      </c>
      <c r="T1069" s="35">
        <v>4.76502E-3</v>
      </c>
      <c r="U1069" s="35">
        <v>0</v>
      </c>
      <c r="V1069" s="35">
        <v>0</v>
      </c>
    </row>
    <row r="1070" spans="1:22">
      <c r="A1070" s="7" t="s">
        <v>283</v>
      </c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-1.4990516053215155E-2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3">
        <f t="shared" si="142"/>
        <v>6.2239163076138748E-4</v>
      </c>
      <c r="M1070" s="3">
        <v>1.4670000000000001</v>
      </c>
      <c r="N1070" s="3">
        <v>-1.3240000000000001</v>
      </c>
      <c r="O1070" s="3">
        <v>0.72599999999999998</v>
      </c>
      <c r="P1070" s="35">
        <v>0</v>
      </c>
      <c r="Q1070" s="35">
        <v>-1.49698E-2</v>
      </c>
      <c r="R1070" s="35">
        <v>0</v>
      </c>
      <c r="S1070" s="35">
        <v>-4.76502E-3</v>
      </c>
      <c r="T1070" s="35">
        <v>0</v>
      </c>
      <c r="U1070" s="35">
        <v>4.76502E-3</v>
      </c>
      <c r="V1070" s="35">
        <v>0</v>
      </c>
    </row>
    <row r="1071" spans="1:22">
      <c r="A1071" s="7"/>
      <c r="B1071" s="8">
        <v>-1.0097006711160386</v>
      </c>
      <c r="C1071" s="8">
        <v>-0.26302086313966178</v>
      </c>
      <c r="D1071" s="8">
        <v>0.76545275918666766</v>
      </c>
      <c r="E1071" s="7">
        <v>0</v>
      </c>
      <c r="F1071" s="7">
        <v>0</v>
      </c>
      <c r="G1071" s="7">
        <v>-1.4990516053215155E-2</v>
      </c>
      <c r="H1071" s="7">
        <v>0</v>
      </c>
      <c r="I1071" s="7">
        <v>0</v>
      </c>
      <c r="J1071" s="7">
        <v>0</v>
      </c>
      <c r="K1071" s="7">
        <v>0</v>
      </c>
      <c r="L1071" s="3">
        <f t="shared" si="142"/>
        <v>-2.6877506903266735E-4</v>
      </c>
      <c r="M1071" s="3">
        <v>-1.01</v>
      </c>
      <c r="N1071" s="3">
        <v>-0.26300000000000001</v>
      </c>
      <c r="O1071" s="3">
        <v>0.76600000000000001</v>
      </c>
      <c r="P1071" s="35">
        <v>0</v>
      </c>
      <c r="Q1071" s="35">
        <v>0</v>
      </c>
      <c r="R1071" s="35">
        <v>-1.49698E-2</v>
      </c>
      <c r="S1071" s="35">
        <v>-4.76502E-3</v>
      </c>
      <c r="T1071" s="35">
        <v>0</v>
      </c>
      <c r="U1071" s="35">
        <v>0</v>
      </c>
      <c r="V1071" s="35">
        <v>4.76502E-3</v>
      </c>
    </row>
    <row r="1072" spans="1:22">
      <c r="A1072" s="7"/>
      <c r="B1072" s="8"/>
      <c r="C1072" s="8"/>
      <c r="D1072" s="8"/>
      <c r="E1072" s="7"/>
      <c r="F1072" s="7"/>
      <c r="G1072" s="7"/>
      <c r="H1072" s="7"/>
      <c r="I1072" s="7"/>
      <c r="J1072" s="7"/>
      <c r="K1072" s="7"/>
    </row>
    <row r="1073" spans="1:22">
      <c r="A1073" s="7"/>
      <c r="B1073" s="8">
        <v>-1.2284177840385118</v>
      </c>
      <c r="C1073" s="8">
        <v>-2.3993580133895418</v>
      </c>
      <c r="D1073" s="8">
        <v>0.6756623603325641</v>
      </c>
      <c r="E1073" s="7">
        <v>-1.4990516053215155E-2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3">
        <f t="shared" ref="L1073:L1109" si="145">B1073-M1073+C1073-N1073+D1073-O1073</f>
        <v>8.8656290451050168E-4</v>
      </c>
      <c r="M1073" s="3">
        <v>-1.2290000000000001</v>
      </c>
      <c r="N1073" s="3">
        <v>-2.4</v>
      </c>
      <c r="O1073" s="3">
        <v>0.67600000000000005</v>
      </c>
      <c r="P1073" s="35">
        <v>-1.49698E-2</v>
      </c>
      <c r="Q1073" s="35">
        <v>0</v>
      </c>
      <c r="R1073" s="35">
        <v>0</v>
      </c>
      <c r="S1073" s="35">
        <v>-4.76502E-3</v>
      </c>
      <c r="T1073" s="35">
        <v>4.76502E-3</v>
      </c>
      <c r="U1073" s="35">
        <v>0</v>
      </c>
      <c r="V1073" s="35">
        <v>0</v>
      </c>
    </row>
    <row r="1074" spans="1:22">
      <c r="A1074" s="7" t="s">
        <v>284</v>
      </c>
      <c r="B1074" s="8">
        <v>1.4675604394566215</v>
      </c>
      <c r="C1074" s="8">
        <v>-1.3235781323919831</v>
      </c>
      <c r="D1074" s="8">
        <v>0.72564008456612294</v>
      </c>
      <c r="E1074" s="7">
        <v>0</v>
      </c>
      <c r="F1074" s="7">
        <v>-1.4990516053215155E-2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3">
        <f t="shared" si="142"/>
        <v>6.2239163076138748E-4</v>
      </c>
      <c r="M1074" s="3">
        <v>1.4670000000000001</v>
      </c>
      <c r="N1074" s="3">
        <v>-1.3240000000000001</v>
      </c>
      <c r="O1074" s="3">
        <v>0.72599999999999998</v>
      </c>
      <c r="P1074" s="35">
        <v>0</v>
      </c>
      <c r="Q1074" s="35">
        <v>-1.49698E-2</v>
      </c>
      <c r="R1074" s="35">
        <v>0</v>
      </c>
      <c r="S1074" s="35">
        <v>-4.76502E-3</v>
      </c>
      <c r="T1074" s="35">
        <v>0</v>
      </c>
      <c r="U1074" s="35">
        <v>4.76502E-3</v>
      </c>
      <c r="V1074" s="35">
        <v>0</v>
      </c>
    </row>
    <row r="1075" spans="1:22">
      <c r="A1075" s="7"/>
      <c r="B1075" s="8">
        <v>0.60912970227287866</v>
      </c>
      <c r="C1075" s="8">
        <v>-0.28261535739067112</v>
      </c>
      <c r="D1075" s="8">
        <v>0.68802996689194662</v>
      </c>
      <c r="E1075" s="7">
        <v>0</v>
      </c>
      <c r="F1075" s="7">
        <v>0</v>
      </c>
      <c r="G1075" s="7">
        <v>-1.4990516053215155E-2</v>
      </c>
      <c r="H1075" s="7">
        <v>0</v>
      </c>
      <c r="I1075" s="7">
        <v>0</v>
      </c>
      <c r="J1075" s="7">
        <v>0</v>
      </c>
      <c r="K1075" s="7">
        <v>0</v>
      </c>
      <c r="L1075" s="3">
        <f t="shared" si="142"/>
        <v>5.4431177415414922E-4</v>
      </c>
      <c r="M1075" s="3">
        <v>0.60899999999999999</v>
      </c>
      <c r="N1075" s="3">
        <v>-0.28299999999999997</v>
      </c>
      <c r="O1075" s="3">
        <v>0.68799999999999994</v>
      </c>
      <c r="P1075" s="35">
        <v>0</v>
      </c>
      <c r="Q1075" s="35">
        <v>0</v>
      </c>
      <c r="R1075" s="35">
        <v>-1.49698E-2</v>
      </c>
      <c r="S1075" s="35">
        <v>-4.76502E-3</v>
      </c>
      <c r="T1075" s="35">
        <v>0</v>
      </c>
      <c r="U1075" s="35">
        <v>0</v>
      </c>
      <c r="V1075" s="35">
        <v>4.76502E-3</v>
      </c>
    </row>
    <row r="1076" spans="1:22">
      <c r="A1076" s="7"/>
      <c r="B1076" s="8"/>
      <c r="C1076" s="8"/>
      <c r="D1076" s="8"/>
      <c r="E1076" s="7"/>
      <c r="F1076" s="7"/>
      <c r="G1076" s="7"/>
      <c r="H1076" s="7"/>
      <c r="I1076" s="7"/>
      <c r="J1076" s="7"/>
      <c r="K1076" s="7"/>
    </row>
    <row r="1077" spans="1:22">
      <c r="A1077" s="7"/>
      <c r="B1077" s="8">
        <v>-1.2284177840385118</v>
      </c>
      <c r="C1077" s="8">
        <v>-2.3993580133895418</v>
      </c>
      <c r="D1077" s="8">
        <v>0.6756623603325641</v>
      </c>
      <c r="E1077" s="7">
        <v>-1.4990516053215155E-2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3">
        <f t="shared" ref="L1077:L1113" si="146">B1077-M1077+C1077-N1077+D1077-O1077</f>
        <v>8.8656290451050168E-4</v>
      </c>
      <c r="M1077" s="3">
        <v>-1.2290000000000001</v>
      </c>
      <c r="N1077" s="3">
        <v>-2.4</v>
      </c>
      <c r="O1077" s="3">
        <v>0.67600000000000005</v>
      </c>
      <c r="P1077" s="35">
        <v>-1.49698E-2</v>
      </c>
      <c r="Q1077" s="35">
        <v>0</v>
      </c>
      <c r="R1077" s="35">
        <v>0</v>
      </c>
      <c r="S1077" s="35">
        <v>-4.76502E-3</v>
      </c>
      <c r="T1077" s="35">
        <v>4.76502E-3</v>
      </c>
      <c r="U1077" s="35">
        <v>0</v>
      </c>
      <c r="V1077" s="35">
        <v>0</v>
      </c>
    </row>
    <row r="1078" spans="1:22">
      <c r="A1078" s="7" t="s">
        <v>285</v>
      </c>
      <c r="B1078" s="8">
        <v>-1.0097006711160386</v>
      </c>
      <c r="C1078" s="8">
        <v>-0.26302086313966178</v>
      </c>
      <c r="D1078" s="8">
        <v>0.76545275918666766</v>
      </c>
      <c r="E1078" s="7">
        <v>0</v>
      </c>
      <c r="F1078" s="7">
        <v>-1.4990516053215155E-2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L1078" s="3">
        <f t="shared" si="142"/>
        <v>-2.6877506903266735E-4</v>
      </c>
      <c r="M1078" s="3">
        <v>-1.01</v>
      </c>
      <c r="N1078" s="3">
        <v>-0.26300000000000001</v>
      </c>
      <c r="O1078" s="3">
        <v>0.76600000000000001</v>
      </c>
      <c r="P1078" s="35">
        <v>0</v>
      </c>
      <c r="Q1078" s="35">
        <v>-1.49698E-2</v>
      </c>
      <c r="R1078" s="35">
        <v>0</v>
      </c>
      <c r="S1078" s="35">
        <v>-4.76502E-3</v>
      </c>
      <c r="T1078" s="35">
        <v>0</v>
      </c>
      <c r="U1078" s="35">
        <v>4.76502E-3</v>
      </c>
      <c r="V1078" s="35">
        <v>0</v>
      </c>
    </row>
    <row r="1079" spans="1:22">
      <c r="A1079" s="7"/>
      <c r="B1079" s="8">
        <v>0.60912970227287866</v>
      </c>
      <c r="C1079" s="8">
        <v>-0.28261535739067112</v>
      </c>
      <c r="D1079" s="8">
        <v>0.68802996689194662</v>
      </c>
      <c r="E1079" s="7">
        <v>0</v>
      </c>
      <c r="F1079" s="7">
        <v>0</v>
      </c>
      <c r="G1079" s="7">
        <v>-1.4990516053215155E-2</v>
      </c>
      <c r="H1079" s="7">
        <v>0</v>
      </c>
      <c r="I1079" s="7">
        <v>0</v>
      </c>
      <c r="J1079" s="7">
        <v>0</v>
      </c>
      <c r="K1079" s="7">
        <v>0</v>
      </c>
      <c r="L1079" s="3">
        <f t="shared" si="142"/>
        <v>5.4431177415414922E-4</v>
      </c>
      <c r="M1079" s="3">
        <v>0.60899999999999999</v>
      </c>
      <c r="N1079" s="3">
        <v>-0.28299999999999997</v>
      </c>
      <c r="O1079" s="3">
        <v>0.68799999999999994</v>
      </c>
      <c r="P1079" s="35">
        <v>0</v>
      </c>
      <c r="Q1079" s="35">
        <v>0</v>
      </c>
      <c r="R1079" s="35">
        <v>-1.49698E-2</v>
      </c>
      <c r="S1079" s="35">
        <v>-4.76502E-3</v>
      </c>
      <c r="T1079" s="35">
        <v>0</v>
      </c>
      <c r="U1079" s="35">
        <v>0</v>
      </c>
      <c r="V1079" s="35">
        <v>4.76502E-3</v>
      </c>
    </row>
    <row r="1080" spans="1:22">
      <c r="A1080" s="7"/>
      <c r="B1080" s="8"/>
      <c r="C1080" s="8"/>
      <c r="D1080" s="8"/>
      <c r="E1080" s="7"/>
      <c r="F1080" s="7"/>
      <c r="G1080" s="7"/>
      <c r="H1080" s="7"/>
      <c r="I1080" s="7"/>
      <c r="J1080" s="7"/>
      <c r="K1080" s="7"/>
    </row>
    <row r="1081" spans="1:22">
      <c r="A1081" s="7"/>
      <c r="B1081" s="8">
        <v>1.0673702345396179</v>
      </c>
      <c r="C1081" s="8">
        <v>-2.4075843796929846</v>
      </c>
      <c r="D1081" s="8">
        <v>0.708799578341892</v>
      </c>
      <c r="E1081" s="7">
        <v>-1.4990516053215155E-2</v>
      </c>
      <c r="F1081" s="7">
        <v>0</v>
      </c>
      <c r="G1081" s="7">
        <v>0</v>
      </c>
      <c r="H1081" s="7">
        <v>-2.0521745021313972E-2</v>
      </c>
      <c r="I1081" s="7">
        <v>2.2872089329671663E-2</v>
      </c>
      <c r="J1081" s="7">
        <v>0</v>
      </c>
      <c r="K1081" s="7">
        <v>0</v>
      </c>
      <c r="L1081" s="3">
        <f t="shared" ref="L1081" si="147">B1081-M1081+C1081-N1081+D1081-O1081</f>
        <v>5.8543318852555259E-4</v>
      </c>
      <c r="M1081" s="3">
        <v>1.0669999999999999</v>
      </c>
      <c r="N1081" s="3">
        <v>-2.4079999999999999</v>
      </c>
      <c r="O1081" s="3">
        <v>0.70899999999999996</v>
      </c>
      <c r="P1081" s="35">
        <v>-1.49698E-2</v>
      </c>
      <c r="Q1081" s="35">
        <v>0</v>
      </c>
      <c r="R1081" s="35">
        <v>0</v>
      </c>
      <c r="S1081" s="35">
        <v>-4.76502E-3</v>
      </c>
      <c r="T1081" s="35">
        <v>4.76502E-3</v>
      </c>
      <c r="U1081" s="35">
        <v>0</v>
      </c>
      <c r="V1081" s="35">
        <v>0</v>
      </c>
    </row>
    <row r="1082" spans="1:22">
      <c r="A1082" s="7" t="s">
        <v>286</v>
      </c>
      <c r="B1082" s="8">
        <v>-1.3773893306068323</v>
      </c>
      <c r="C1082" s="8">
        <v>-1.5521003879162059</v>
      </c>
      <c r="D1082" s="8">
        <v>0.65590292152571228</v>
      </c>
      <c r="E1082" s="7">
        <v>0</v>
      </c>
      <c r="F1082" s="7">
        <v>-1.4990516053215155E-2</v>
      </c>
      <c r="G1082" s="7">
        <v>0</v>
      </c>
      <c r="H1082" s="7">
        <v>-2.0521745021313972E-2</v>
      </c>
      <c r="I1082" s="7">
        <v>0</v>
      </c>
      <c r="J1082" s="7">
        <v>2.2385887789414392E-2</v>
      </c>
      <c r="K1082" s="7">
        <v>0</v>
      </c>
      <c r="L1082" s="3">
        <f t="shared" si="139"/>
        <v>4.1320300267400079E-4</v>
      </c>
      <c r="M1082" s="3">
        <v>-1.3779999999999999</v>
      </c>
      <c r="N1082" s="3">
        <v>-1.552</v>
      </c>
      <c r="O1082" s="3">
        <v>0.65600000000000003</v>
      </c>
      <c r="P1082" s="35">
        <v>0</v>
      </c>
      <c r="Q1082" s="35">
        <v>-1.49698E-2</v>
      </c>
      <c r="R1082" s="35">
        <v>0</v>
      </c>
      <c r="S1082" s="35">
        <v>-4.76502E-3</v>
      </c>
      <c r="T1082" s="35">
        <v>0</v>
      </c>
      <c r="U1082" s="35">
        <v>4.76502E-3</v>
      </c>
      <c r="V1082" s="35">
        <v>0</v>
      </c>
    </row>
    <row r="1083" spans="1:22">
      <c r="A1083" s="7"/>
      <c r="B1083" s="8">
        <v>1.4675604394566215</v>
      </c>
      <c r="C1083" s="8">
        <v>-1.3235781323919831</v>
      </c>
      <c r="D1083" s="8">
        <v>0.72564008456612294</v>
      </c>
      <c r="E1083" s="7">
        <v>0</v>
      </c>
      <c r="F1083" s="7">
        <v>0</v>
      </c>
      <c r="G1083" s="7">
        <v>-1.4990516053215155E-2</v>
      </c>
      <c r="H1083" s="7">
        <v>-2.0521745021313972E-2</v>
      </c>
      <c r="I1083" s="7">
        <v>0</v>
      </c>
      <c r="J1083" s="7">
        <v>0</v>
      </c>
      <c r="K1083" s="7">
        <v>1.6236379226863738E-2</v>
      </c>
      <c r="L1083" s="3">
        <f t="shared" si="139"/>
        <v>6.2239163076138748E-4</v>
      </c>
      <c r="M1083" s="3">
        <v>1.4670000000000001</v>
      </c>
      <c r="N1083" s="3">
        <v>-1.3240000000000001</v>
      </c>
      <c r="O1083" s="3">
        <v>0.72599999999999998</v>
      </c>
      <c r="P1083" s="35">
        <v>0</v>
      </c>
      <c r="Q1083" s="35">
        <v>0</v>
      </c>
      <c r="R1083" s="35">
        <v>-1.49698E-2</v>
      </c>
      <c r="S1083" s="35">
        <v>-4.76502E-3</v>
      </c>
      <c r="T1083" s="35">
        <v>0</v>
      </c>
      <c r="U1083" s="35">
        <v>0</v>
      </c>
      <c r="V1083" s="35">
        <v>4.76502E-3</v>
      </c>
    </row>
    <row r="1084" spans="1:22">
      <c r="A1084" s="7"/>
      <c r="B1084" s="8"/>
      <c r="C1084" s="8"/>
      <c r="D1084" s="8"/>
      <c r="E1084" s="7"/>
      <c r="F1084" s="7"/>
      <c r="G1084" s="7"/>
      <c r="H1084" s="7"/>
      <c r="I1084" s="7"/>
      <c r="J1084" s="7"/>
      <c r="K1084" s="7"/>
    </row>
    <row r="1085" spans="1:22">
      <c r="A1085" s="7"/>
      <c r="B1085" s="8">
        <v>1.0673702345396179</v>
      </c>
      <c r="C1085" s="8">
        <v>-2.4075843796929846</v>
      </c>
      <c r="D1085" s="8">
        <v>0.708799578341892</v>
      </c>
      <c r="E1085" s="7">
        <v>-1.4990516053215155E-2</v>
      </c>
      <c r="F1085" s="7">
        <v>0</v>
      </c>
      <c r="G1085" s="7">
        <v>0</v>
      </c>
      <c r="H1085" s="7">
        <v>-2.0521745021313972E-2</v>
      </c>
      <c r="I1085" s="7">
        <v>2.2872089329671663E-2</v>
      </c>
      <c r="J1085" s="7">
        <v>0</v>
      </c>
      <c r="K1085" s="7">
        <v>0</v>
      </c>
      <c r="L1085" s="3">
        <f t="shared" si="142"/>
        <v>5.8543318852555259E-4</v>
      </c>
      <c r="M1085" s="3">
        <v>1.0669999999999999</v>
      </c>
      <c r="N1085" s="3">
        <v>-2.4079999999999999</v>
      </c>
      <c r="O1085" s="3">
        <v>0.70899999999999996</v>
      </c>
      <c r="P1085" s="35">
        <v>-1.49698E-2</v>
      </c>
      <c r="Q1085" s="35">
        <v>0</v>
      </c>
      <c r="R1085" s="35">
        <v>0</v>
      </c>
      <c r="S1085" s="35">
        <v>-4.76502E-3</v>
      </c>
      <c r="T1085" s="35">
        <v>4.76502E-3</v>
      </c>
      <c r="U1085" s="35">
        <v>0</v>
      </c>
      <c r="V1085" s="35">
        <v>0</v>
      </c>
    </row>
    <row r="1086" spans="1:22">
      <c r="A1086" s="7" t="s">
        <v>287</v>
      </c>
      <c r="B1086" s="8">
        <v>-1.3773893306068323</v>
      </c>
      <c r="C1086" s="8">
        <v>-1.5521003879162059</v>
      </c>
      <c r="D1086" s="8">
        <v>0.65590292152571228</v>
      </c>
      <c r="E1086" s="7">
        <v>0</v>
      </c>
      <c r="F1086" s="7">
        <v>-1.4990516053215155E-2</v>
      </c>
      <c r="G1086" s="7">
        <v>0</v>
      </c>
      <c r="H1086" s="7">
        <v>-2.0521745021313972E-2</v>
      </c>
      <c r="I1086" s="7">
        <v>0</v>
      </c>
      <c r="J1086" s="7">
        <v>2.2385887789414392E-2</v>
      </c>
      <c r="K1086" s="7">
        <v>0</v>
      </c>
      <c r="L1086" s="3">
        <f t="shared" si="142"/>
        <v>4.1320300267400079E-4</v>
      </c>
      <c r="M1086" s="3">
        <v>-1.3779999999999999</v>
      </c>
      <c r="N1086" s="3">
        <v>-1.552</v>
      </c>
      <c r="O1086" s="3">
        <v>0.65600000000000003</v>
      </c>
      <c r="P1086" s="35">
        <v>0</v>
      </c>
      <c r="Q1086" s="35">
        <v>-1.49698E-2</v>
      </c>
      <c r="R1086" s="35">
        <v>0</v>
      </c>
      <c r="S1086" s="35">
        <v>-4.76502E-3</v>
      </c>
      <c r="T1086" s="35">
        <v>0</v>
      </c>
      <c r="U1086" s="35">
        <v>4.76502E-3</v>
      </c>
      <c r="V1086" s="35">
        <v>0</v>
      </c>
    </row>
    <row r="1087" spans="1:22">
      <c r="A1087" s="7"/>
      <c r="B1087" s="8">
        <v>-1.0097006711160386</v>
      </c>
      <c r="C1087" s="8">
        <v>-0.26302086313966178</v>
      </c>
      <c r="D1087" s="8">
        <v>0.76545275918666766</v>
      </c>
      <c r="E1087" s="7">
        <v>0</v>
      </c>
      <c r="F1087" s="7">
        <v>0</v>
      </c>
      <c r="G1087" s="7">
        <v>-1.4990516053215155E-2</v>
      </c>
      <c r="H1087" s="7">
        <v>-2.0521745021313972E-2</v>
      </c>
      <c r="I1087" s="7">
        <v>0</v>
      </c>
      <c r="J1087" s="7">
        <v>0</v>
      </c>
      <c r="K1087" s="7">
        <v>1.5970575730977998E-2</v>
      </c>
      <c r="L1087" s="3">
        <f t="shared" si="142"/>
        <v>-2.6877506903266735E-4</v>
      </c>
      <c r="M1087" s="3">
        <v>-1.01</v>
      </c>
      <c r="N1087" s="3">
        <v>-0.26300000000000001</v>
      </c>
      <c r="O1087" s="3">
        <v>0.76600000000000001</v>
      </c>
      <c r="P1087" s="35">
        <v>0</v>
      </c>
      <c r="Q1087" s="35">
        <v>0</v>
      </c>
      <c r="R1087" s="35">
        <v>-1.49698E-2</v>
      </c>
      <c r="S1087" s="35">
        <v>-4.76502E-3</v>
      </c>
      <c r="T1087" s="35">
        <v>0</v>
      </c>
      <c r="U1087" s="35">
        <v>0</v>
      </c>
      <c r="V1087" s="35">
        <v>4.76502E-3</v>
      </c>
    </row>
    <row r="1088" spans="1:22">
      <c r="A1088" s="7"/>
      <c r="B1088" s="8"/>
      <c r="C1088" s="8"/>
      <c r="D1088" s="8"/>
      <c r="E1088" s="7"/>
      <c r="F1088" s="7"/>
      <c r="G1088" s="7"/>
      <c r="H1088" s="7"/>
      <c r="I1088" s="7"/>
      <c r="J1088" s="7"/>
      <c r="K1088" s="7"/>
    </row>
    <row r="1089" spans="1:22">
      <c r="A1089" s="7"/>
      <c r="B1089" s="8">
        <v>1.0673702345396179</v>
      </c>
      <c r="C1089" s="8">
        <v>-2.4075843796929846</v>
      </c>
      <c r="D1089" s="8">
        <v>0.708799578341892</v>
      </c>
      <c r="E1089" s="7">
        <v>-1.4990516053215155E-2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 s="3">
        <f t="shared" si="140"/>
        <v>5.8543318852555259E-4</v>
      </c>
      <c r="M1089" s="3">
        <v>1.0669999999999999</v>
      </c>
      <c r="N1089" s="3">
        <v>-2.4079999999999999</v>
      </c>
      <c r="O1089" s="3">
        <v>0.70899999999999996</v>
      </c>
      <c r="P1089" s="35">
        <v>-1.49698E-2</v>
      </c>
      <c r="Q1089" s="35">
        <v>0</v>
      </c>
      <c r="R1089" s="35">
        <v>0</v>
      </c>
      <c r="S1089" s="35">
        <v>-4.76502E-3</v>
      </c>
      <c r="T1089" s="35">
        <v>4.76502E-3</v>
      </c>
      <c r="U1089" s="35">
        <v>0</v>
      </c>
      <c r="V1089" s="35">
        <v>0</v>
      </c>
    </row>
    <row r="1090" spans="1:22">
      <c r="A1090" s="7" t="s">
        <v>288</v>
      </c>
      <c r="B1090" s="8">
        <v>-1.3773893306068323</v>
      </c>
      <c r="C1090" s="8">
        <v>-1.5521003879162059</v>
      </c>
      <c r="D1090" s="8">
        <v>0.65590292152571228</v>
      </c>
      <c r="E1090" s="7">
        <v>0</v>
      </c>
      <c r="F1090" s="7">
        <v>-1.4990516053215155E-2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L1090" s="3">
        <f t="shared" si="142"/>
        <v>4.1320300267400079E-4</v>
      </c>
      <c r="M1090" s="3">
        <v>-1.3779999999999999</v>
      </c>
      <c r="N1090" s="3">
        <v>-1.552</v>
      </c>
      <c r="O1090" s="3">
        <v>0.65600000000000003</v>
      </c>
      <c r="P1090" s="35">
        <v>0</v>
      </c>
      <c r="Q1090" s="35">
        <v>-1.49698E-2</v>
      </c>
      <c r="R1090" s="35">
        <v>0</v>
      </c>
      <c r="S1090" s="35">
        <v>-4.76502E-3</v>
      </c>
      <c r="T1090" s="35">
        <v>0</v>
      </c>
      <c r="U1090" s="35">
        <v>4.76502E-3</v>
      </c>
      <c r="V1090" s="35">
        <v>0</v>
      </c>
    </row>
    <row r="1091" spans="1:22">
      <c r="A1091" s="7"/>
      <c r="B1091" s="8">
        <v>0.60912970227287866</v>
      </c>
      <c r="C1091" s="8">
        <v>-0.28261535739067112</v>
      </c>
      <c r="D1091" s="8">
        <v>0.68802996689194662</v>
      </c>
      <c r="E1091" s="7">
        <v>0</v>
      </c>
      <c r="F1091" s="7">
        <v>0</v>
      </c>
      <c r="G1091" s="7">
        <v>-1.4990516053215155E-2</v>
      </c>
      <c r="H1091" s="7">
        <v>0</v>
      </c>
      <c r="I1091" s="7">
        <v>0</v>
      </c>
      <c r="J1091" s="7">
        <v>0</v>
      </c>
      <c r="K1091" s="7">
        <v>0</v>
      </c>
      <c r="L1091" s="3">
        <f t="shared" si="142"/>
        <v>5.4431177415414922E-4</v>
      </c>
      <c r="M1091" s="3">
        <v>0.60899999999999999</v>
      </c>
      <c r="N1091" s="3">
        <v>-0.28299999999999997</v>
      </c>
      <c r="O1091" s="3">
        <v>0.68799999999999994</v>
      </c>
      <c r="P1091" s="35">
        <v>0</v>
      </c>
      <c r="Q1091" s="35">
        <v>0</v>
      </c>
      <c r="R1091" s="35">
        <v>-1.49698E-2</v>
      </c>
      <c r="S1091" s="35">
        <v>-4.76502E-3</v>
      </c>
      <c r="T1091" s="35">
        <v>0</v>
      </c>
      <c r="U1091" s="35">
        <v>0</v>
      </c>
      <c r="V1091" s="35">
        <v>4.76502E-3</v>
      </c>
    </row>
    <row r="1092" spans="1:22">
      <c r="A1092" s="7"/>
      <c r="B1092" s="8"/>
      <c r="C1092" s="8"/>
      <c r="D1092" s="8"/>
      <c r="E1092" s="7"/>
      <c r="F1092" s="7"/>
      <c r="G1092" s="7"/>
      <c r="H1092" s="7"/>
      <c r="I1092" s="7"/>
      <c r="J1092" s="7"/>
      <c r="K1092" s="7"/>
    </row>
    <row r="1093" spans="1:22">
      <c r="A1093" s="7"/>
      <c r="B1093" s="8">
        <v>1.0673702345396179</v>
      </c>
      <c r="C1093" s="8">
        <v>-2.4075843796929846</v>
      </c>
      <c r="D1093" s="8">
        <v>0.708799578341892</v>
      </c>
      <c r="E1093" s="7">
        <v>-1.4990516053215155E-2</v>
      </c>
      <c r="F1093" s="7">
        <v>0</v>
      </c>
      <c r="G1093" s="7">
        <v>0</v>
      </c>
      <c r="H1093" s="7">
        <v>-2.0521745021313972E-2</v>
      </c>
      <c r="I1093" s="7">
        <v>2.2872089329671663E-2</v>
      </c>
      <c r="J1093" s="7">
        <v>0</v>
      </c>
      <c r="K1093" s="7">
        <v>0</v>
      </c>
      <c r="L1093" s="3">
        <f t="shared" si="141"/>
        <v>5.8543318852555259E-4</v>
      </c>
      <c r="M1093" s="3">
        <v>1.0669999999999999</v>
      </c>
      <c r="N1093" s="3">
        <v>-2.4079999999999999</v>
      </c>
      <c r="O1093" s="3">
        <v>0.70899999999999996</v>
      </c>
      <c r="P1093" s="35">
        <v>-1.49698E-2</v>
      </c>
      <c r="Q1093" s="35">
        <v>0</v>
      </c>
      <c r="R1093" s="35">
        <v>0</v>
      </c>
      <c r="S1093" s="35">
        <v>-4.76502E-3</v>
      </c>
      <c r="T1093" s="35">
        <v>4.76502E-3</v>
      </c>
      <c r="U1093" s="35">
        <v>0</v>
      </c>
      <c r="V1093" s="35">
        <v>0</v>
      </c>
    </row>
    <row r="1094" spans="1:22">
      <c r="A1094" s="7" t="s">
        <v>289</v>
      </c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-1.4990516053215155E-2</v>
      </c>
      <c r="G1094" s="7">
        <v>0</v>
      </c>
      <c r="H1094" s="7">
        <v>-2.0521745021313972E-2</v>
      </c>
      <c r="I1094" s="7">
        <v>0</v>
      </c>
      <c r="J1094" s="7">
        <v>1.6236379226863738E-2</v>
      </c>
      <c r="K1094" s="7">
        <v>0</v>
      </c>
      <c r="L1094" s="3">
        <f t="shared" si="142"/>
        <v>6.2239163076138748E-4</v>
      </c>
      <c r="M1094" s="3">
        <v>1.4670000000000001</v>
      </c>
      <c r="N1094" s="3">
        <v>-1.3240000000000001</v>
      </c>
      <c r="O1094" s="3">
        <v>0.72599999999999998</v>
      </c>
      <c r="P1094" s="35">
        <v>0</v>
      </c>
      <c r="Q1094" s="35">
        <v>-1.49698E-2</v>
      </c>
      <c r="R1094" s="35">
        <v>0</v>
      </c>
      <c r="S1094" s="35">
        <v>-4.76502E-3</v>
      </c>
      <c r="T1094" s="35">
        <v>0</v>
      </c>
      <c r="U1094" s="35">
        <v>4.76502E-3</v>
      </c>
      <c r="V1094" s="35">
        <v>0</v>
      </c>
    </row>
    <row r="1095" spans="1:22">
      <c r="A1095" s="7"/>
      <c r="B1095" s="8">
        <v>-1.0097006711160386</v>
      </c>
      <c r="C1095" s="8">
        <v>-0.26302086313966178</v>
      </c>
      <c r="D1095" s="8">
        <v>0.76545275918666766</v>
      </c>
      <c r="E1095" s="7">
        <v>0</v>
      </c>
      <c r="F1095" s="7">
        <v>0</v>
      </c>
      <c r="G1095" s="7">
        <v>-1.4990516053215155E-2</v>
      </c>
      <c r="H1095" s="7">
        <v>-2.0521745021313972E-2</v>
      </c>
      <c r="I1095" s="7">
        <v>0</v>
      </c>
      <c r="J1095" s="7">
        <v>0</v>
      </c>
      <c r="K1095" s="7">
        <v>1.5970575730977998E-2</v>
      </c>
      <c r="L1095" s="3">
        <f t="shared" si="142"/>
        <v>-2.6877506903266735E-4</v>
      </c>
      <c r="M1095" s="3">
        <v>-1.01</v>
      </c>
      <c r="N1095" s="3">
        <v>-0.26300000000000001</v>
      </c>
      <c r="O1095" s="3">
        <v>0.76600000000000001</v>
      </c>
      <c r="P1095" s="35">
        <v>0</v>
      </c>
      <c r="Q1095" s="35">
        <v>0</v>
      </c>
      <c r="R1095" s="35">
        <v>-1.49698E-2</v>
      </c>
      <c r="S1095" s="35">
        <v>-4.76502E-3</v>
      </c>
      <c r="T1095" s="35">
        <v>0</v>
      </c>
      <c r="U1095" s="35">
        <v>0</v>
      </c>
      <c r="V1095" s="35">
        <v>4.76502E-3</v>
      </c>
    </row>
    <row r="1096" spans="1:22">
      <c r="A1096" s="7"/>
      <c r="B1096" s="8"/>
      <c r="C1096" s="8"/>
      <c r="D1096" s="8"/>
      <c r="E1096" s="7"/>
      <c r="F1096" s="7"/>
      <c r="G1096" s="7"/>
      <c r="H1096" s="7"/>
      <c r="I1096" s="7"/>
      <c r="J1096" s="7"/>
      <c r="K1096" s="7"/>
    </row>
    <row r="1097" spans="1:22">
      <c r="A1097" s="7"/>
      <c r="B1097" s="8">
        <v>1.0673702345396179</v>
      </c>
      <c r="C1097" s="8">
        <v>-2.4075843796929846</v>
      </c>
      <c r="D1097" s="8">
        <v>0.708799578341892</v>
      </c>
      <c r="E1097" s="7">
        <v>-1.4990516053215155E-2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L1097" s="3">
        <f t="shared" si="142"/>
        <v>5.8543318852555259E-4</v>
      </c>
      <c r="M1097" s="3">
        <v>1.0669999999999999</v>
      </c>
      <c r="N1097" s="3">
        <v>-2.4079999999999999</v>
      </c>
      <c r="O1097" s="3">
        <v>0.70899999999999996</v>
      </c>
      <c r="P1097" s="35">
        <v>-1.49698E-2</v>
      </c>
      <c r="Q1097" s="35">
        <v>0</v>
      </c>
      <c r="R1097" s="35">
        <v>0</v>
      </c>
      <c r="S1097" s="35">
        <v>-4.76502E-3</v>
      </c>
      <c r="T1097" s="35">
        <v>4.76502E-3</v>
      </c>
      <c r="U1097" s="35">
        <v>0</v>
      </c>
      <c r="V1097" s="35">
        <v>0</v>
      </c>
    </row>
    <row r="1098" spans="1:22">
      <c r="A1098" s="7" t="s">
        <v>290</v>
      </c>
      <c r="B1098" s="8">
        <v>1.4675604394566215</v>
      </c>
      <c r="C1098" s="8">
        <v>-1.3235781323919831</v>
      </c>
      <c r="D1098" s="8">
        <v>0.72564008456612294</v>
      </c>
      <c r="E1098" s="7">
        <v>0</v>
      </c>
      <c r="F1098" s="7">
        <v>-1.4990516053215155E-2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L1098" s="3">
        <f t="shared" si="142"/>
        <v>6.2239163076138748E-4</v>
      </c>
      <c r="M1098" s="3">
        <v>1.4670000000000001</v>
      </c>
      <c r="N1098" s="3">
        <v>-1.3240000000000001</v>
      </c>
      <c r="O1098" s="3">
        <v>0.72599999999999998</v>
      </c>
      <c r="P1098" s="35">
        <v>0</v>
      </c>
      <c r="Q1098" s="35">
        <v>-1.49698E-2</v>
      </c>
      <c r="R1098" s="35">
        <v>0</v>
      </c>
      <c r="S1098" s="35">
        <v>-4.76502E-3</v>
      </c>
      <c r="T1098" s="35">
        <v>0</v>
      </c>
      <c r="U1098" s="35">
        <v>4.76502E-3</v>
      </c>
      <c r="V1098" s="35">
        <v>0</v>
      </c>
    </row>
    <row r="1099" spans="1:22">
      <c r="A1099" s="7"/>
      <c r="B1099" s="8">
        <v>0.60912970227287866</v>
      </c>
      <c r="C1099" s="8">
        <v>-0.28261535739067112</v>
      </c>
      <c r="D1099" s="8">
        <v>0.68802996689194662</v>
      </c>
      <c r="E1099" s="7">
        <v>0</v>
      </c>
      <c r="F1099" s="7">
        <v>0</v>
      </c>
      <c r="G1099" s="7">
        <v>-1.4990516053215155E-2</v>
      </c>
      <c r="H1099" s="7">
        <v>0</v>
      </c>
      <c r="I1099" s="7">
        <v>0</v>
      </c>
      <c r="J1099" s="7">
        <v>0</v>
      </c>
      <c r="K1099" s="7">
        <v>0</v>
      </c>
      <c r="L1099" s="3">
        <f t="shared" si="142"/>
        <v>5.4431177415414922E-4</v>
      </c>
      <c r="M1099" s="3">
        <v>0.60899999999999999</v>
      </c>
      <c r="N1099" s="3">
        <v>-0.28299999999999997</v>
      </c>
      <c r="O1099" s="3">
        <v>0.68799999999999994</v>
      </c>
      <c r="P1099" s="35">
        <v>0</v>
      </c>
      <c r="Q1099" s="35">
        <v>0</v>
      </c>
      <c r="R1099" s="35">
        <v>-1.49698E-2</v>
      </c>
      <c r="S1099" s="35">
        <v>-4.76502E-3</v>
      </c>
      <c r="T1099" s="35">
        <v>0</v>
      </c>
      <c r="U1099" s="35">
        <v>0</v>
      </c>
      <c r="V1099" s="35">
        <v>4.76502E-3</v>
      </c>
    </row>
    <row r="1100" spans="1:22">
      <c r="A1100" s="7"/>
      <c r="B1100" s="8"/>
      <c r="C1100" s="8"/>
      <c r="D1100" s="8"/>
      <c r="E1100" s="7"/>
      <c r="F1100" s="7"/>
      <c r="G1100" s="7"/>
      <c r="H1100" s="7"/>
      <c r="I1100" s="7"/>
      <c r="J1100" s="7"/>
      <c r="K1100" s="7"/>
    </row>
    <row r="1101" spans="1:22">
      <c r="A1101" s="7"/>
      <c r="B1101" s="8">
        <v>1.0673702345396179</v>
      </c>
      <c r="C1101" s="8">
        <v>-2.4075843796929846</v>
      </c>
      <c r="D1101" s="8">
        <v>0.708799578341892</v>
      </c>
      <c r="E1101" s="7">
        <v>-1.4990516053215155E-2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 s="3">
        <f t="shared" si="143"/>
        <v>5.8543318852555259E-4</v>
      </c>
      <c r="M1101" s="3">
        <v>1.0669999999999999</v>
      </c>
      <c r="N1101" s="3">
        <v>-2.4079999999999999</v>
      </c>
      <c r="O1101" s="3">
        <v>0.70899999999999996</v>
      </c>
      <c r="P1101" s="35">
        <v>-1.49698E-2</v>
      </c>
      <c r="Q1101" s="35">
        <v>0</v>
      </c>
      <c r="R1101" s="35">
        <v>0</v>
      </c>
      <c r="S1101" s="35">
        <v>-4.76502E-3</v>
      </c>
      <c r="T1101" s="35">
        <v>4.76502E-3</v>
      </c>
      <c r="U1101" s="35">
        <v>0</v>
      </c>
      <c r="V1101" s="35">
        <v>0</v>
      </c>
    </row>
    <row r="1102" spans="1:22">
      <c r="A1102" s="7" t="s">
        <v>291</v>
      </c>
      <c r="B1102" s="8">
        <v>-1.0097006711160386</v>
      </c>
      <c r="C1102" s="8">
        <v>-0.26302086313966178</v>
      </c>
      <c r="D1102" s="8">
        <v>0.76545275918666766</v>
      </c>
      <c r="E1102" s="7">
        <v>0</v>
      </c>
      <c r="F1102" s="7">
        <v>-1.4990516053215155E-2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L1102" s="3">
        <f t="shared" si="142"/>
        <v>-2.6877506903266735E-4</v>
      </c>
      <c r="M1102" s="3">
        <v>-1.01</v>
      </c>
      <c r="N1102" s="3">
        <v>-0.26300000000000001</v>
      </c>
      <c r="O1102" s="3">
        <v>0.76600000000000001</v>
      </c>
      <c r="P1102" s="35">
        <v>0</v>
      </c>
      <c r="Q1102" s="35">
        <v>-1.49698E-2</v>
      </c>
      <c r="R1102" s="35">
        <v>0</v>
      </c>
      <c r="S1102" s="35">
        <v>-4.76502E-3</v>
      </c>
      <c r="T1102" s="35">
        <v>0</v>
      </c>
      <c r="U1102" s="35">
        <v>4.76502E-3</v>
      </c>
      <c r="V1102" s="35">
        <v>0</v>
      </c>
    </row>
    <row r="1103" spans="1:22">
      <c r="A1103" s="7"/>
      <c r="B1103" s="8">
        <v>0.60912970227287866</v>
      </c>
      <c r="C1103" s="8">
        <v>-0.28261535739067112</v>
      </c>
      <c r="D1103" s="8">
        <v>0.68802996689194662</v>
      </c>
      <c r="E1103" s="7">
        <v>0</v>
      </c>
      <c r="F1103" s="7">
        <v>0</v>
      </c>
      <c r="G1103" s="7">
        <v>-1.4990516053215155E-2</v>
      </c>
      <c r="H1103" s="7">
        <v>0</v>
      </c>
      <c r="I1103" s="7">
        <v>0</v>
      </c>
      <c r="J1103" s="7">
        <v>0</v>
      </c>
      <c r="K1103" s="7">
        <v>0</v>
      </c>
      <c r="L1103" s="3">
        <f t="shared" si="142"/>
        <v>5.4431177415414922E-4</v>
      </c>
      <c r="M1103" s="3">
        <v>0.60899999999999999</v>
      </c>
      <c r="N1103" s="3">
        <v>-0.28299999999999997</v>
      </c>
      <c r="O1103" s="3">
        <v>0.68799999999999994</v>
      </c>
      <c r="P1103" s="35">
        <v>0</v>
      </c>
      <c r="Q1103" s="35">
        <v>0</v>
      </c>
      <c r="R1103" s="35">
        <v>-1.49698E-2</v>
      </c>
      <c r="S1103" s="35">
        <v>-4.76502E-3</v>
      </c>
      <c r="T1103" s="35">
        <v>0</v>
      </c>
      <c r="U1103" s="35">
        <v>0</v>
      </c>
      <c r="V1103" s="35">
        <v>4.76502E-3</v>
      </c>
    </row>
    <row r="1104" spans="1:22">
      <c r="A1104" s="7"/>
      <c r="B1104" s="8"/>
      <c r="C1104" s="8"/>
      <c r="D1104" s="8"/>
      <c r="E1104" s="7"/>
      <c r="F1104" s="7"/>
      <c r="G1104" s="7"/>
      <c r="H1104" s="7"/>
      <c r="I1104" s="7"/>
      <c r="J1104" s="7"/>
      <c r="K1104" s="7"/>
    </row>
    <row r="1105" spans="1:22">
      <c r="A1105" s="7"/>
      <c r="B1105" s="8">
        <v>-1.3773893306068323</v>
      </c>
      <c r="C1105" s="8">
        <v>-1.5521003879162059</v>
      </c>
      <c r="D1105" s="8">
        <v>0.65590292152571228</v>
      </c>
      <c r="E1105" s="7">
        <v>-1.4990516053215155E-2</v>
      </c>
      <c r="F1105" s="7">
        <v>0</v>
      </c>
      <c r="G1105" s="7">
        <v>0</v>
      </c>
      <c r="H1105" s="7">
        <v>-2.0521745021313972E-2</v>
      </c>
      <c r="I1105" s="7">
        <v>2.2385887789414392E-2</v>
      </c>
      <c r="J1105" s="7">
        <v>0</v>
      </c>
      <c r="K1105" s="7">
        <v>0</v>
      </c>
      <c r="L1105" s="3">
        <f t="shared" si="144"/>
        <v>4.1320300267400079E-4</v>
      </c>
      <c r="M1105" s="3">
        <v>-1.3779999999999999</v>
      </c>
      <c r="N1105" s="3">
        <v>-1.552</v>
      </c>
      <c r="O1105" s="3">
        <v>0.65600000000000003</v>
      </c>
      <c r="P1105" s="35">
        <v>-1.49698E-2</v>
      </c>
      <c r="Q1105" s="35">
        <v>0</v>
      </c>
      <c r="R1105" s="35">
        <v>0</v>
      </c>
      <c r="S1105" s="35">
        <v>-4.76502E-3</v>
      </c>
      <c r="T1105" s="35">
        <v>4.76502E-3</v>
      </c>
      <c r="U1105" s="35">
        <v>0</v>
      </c>
      <c r="V1105" s="35">
        <v>0</v>
      </c>
    </row>
    <row r="1106" spans="1:22">
      <c r="A1106" s="7" t="s">
        <v>292</v>
      </c>
      <c r="B1106" s="8">
        <v>1.4675604394566215</v>
      </c>
      <c r="C1106" s="8">
        <v>-1.3235781323919831</v>
      </c>
      <c r="D1106" s="8">
        <v>0.72564008456612294</v>
      </c>
      <c r="E1106" s="7">
        <v>0</v>
      </c>
      <c r="F1106" s="7">
        <v>-1.4990516053215155E-2</v>
      </c>
      <c r="G1106" s="7">
        <v>0</v>
      </c>
      <c r="H1106" s="7">
        <v>-2.0521745021313972E-2</v>
      </c>
      <c r="I1106" s="7">
        <v>0</v>
      </c>
      <c r="J1106" s="7">
        <v>1.6236379226863738E-2</v>
      </c>
      <c r="K1106" s="7">
        <v>0</v>
      </c>
      <c r="L1106" s="3">
        <f t="shared" si="142"/>
        <v>6.2239163076138748E-4</v>
      </c>
      <c r="M1106" s="3">
        <v>1.4670000000000001</v>
      </c>
      <c r="N1106" s="3">
        <v>-1.3240000000000001</v>
      </c>
      <c r="O1106" s="3">
        <v>0.72599999999999998</v>
      </c>
      <c r="P1106" s="35">
        <v>0</v>
      </c>
      <c r="Q1106" s="35">
        <v>-1.49698E-2</v>
      </c>
      <c r="R1106" s="35">
        <v>0</v>
      </c>
      <c r="S1106" s="35">
        <v>-4.76502E-3</v>
      </c>
      <c r="T1106" s="35">
        <v>0</v>
      </c>
      <c r="U1106" s="35">
        <v>4.76502E-3</v>
      </c>
      <c r="V1106" s="35">
        <v>0</v>
      </c>
    </row>
    <row r="1107" spans="1:22">
      <c r="A1107" s="7"/>
      <c r="B1107" s="8">
        <v>-1.0097006711160386</v>
      </c>
      <c r="C1107" s="8">
        <v>-0.26302086313966178</v>
      </c>
      <c r="D1107" s="8">
        <v>0.76545275918666766</v>
      </c>
      <c r="E1107" s="7">
        <v>0</v>
      </c>
      <c r="F1107" s="7">
        <v>0</v>
      </c>
      <c r="G1107" s="7">
        <v>-1.4990516053215155E-2</v>
      </c>
      <c r="H1107" s="7">
        <v>-2.0521745021313972E-2</v>
      </c>
      <c r="I1107" s="7">
        <v>0</v>
      </c>
      <c r="J1107" s="7">
        <v>0</v>
      </c>
      <c r="K1107" s="7">
        <v>1.5970575730977998E-2</v>
      </c>
      <c r="L1107" s="3">
        <f t="shared" si="142"/>
        <v>-2.6877506903266735E-4</v>
      </c>
      <c r="M1107" s="3">
        <v>-1.01</v>
      </c>
      <c r="N1107" s="3">
        <v>-0.26300000000000001</v>
      </c>
      <c r="O1107" s="3">
        <v>0.76600000000000001</v>
      </c>
      <c r="P1107" s="35">
        <v>0</v>
      </c>
      <c r="Q1107" s="35">
        <v>0</v>
      </c>
      <c r="R1107" s="35">
        <v>-1.49698E-2</v>
      </c>
      <c r="S1107" s="35">
        <v>-4.76502E-3</v>
      </c>
      <c r="T1107" s="35">
        <v>0</v>
      </c>
      <c r="U1107" s="35">
        <v>0</v>
      </c>
      <c r="V1107" s="35">
        <v>4.76502E-3</v>
      </c>
    </row>
    <row r="1108" spans="1:22">
      <c r="A1108" s="7"/>
      <c r="B1108" s="8"/>
      <c r="C1108" s="8"/>
      <c r="D1108" s="8"/>
      <c r="E1108" s="7"/>
      <c r="F1108" s="7"/>
      <c r="G1108" s="7"/>
      <c r="H1108" s="7"/>
      <c r="I1108" s="7"/>
      <c r="J1108" s="7"/>
      <c r="K1108" s="7"/>
    </row>
    <row r="1109" spans="1:22">
      <c r="A1109" s="7"/>
      <c r="B1109" s="8">
        <v>-1.3773893306068323</v>
      </c>
      <c r="C1109" s="8">
        <v>-1.5521003879162059</v>
      </c>
      <c r="D1109" s="8">
        <v>0.65590292152571228</v>
      </c>
      <c r="E1109" s="7">
        <v>-1.4990516053215155E-2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 s="3">
        <f t="shared" si="145"/>
        <v>4.1320300267400079E-4</v>
      </c>
      <c r="M1109" s="3">
        <v>-1.3779999999999999</v>
      </c>
      <c r="N1109" s="3">
        <v>-1.552</v>
      </c>
      <c r="O1109" s="3">
        <v>0.65600000000000003</v>
      </c>
      <c r="P1109" s="35">
        <v>-1.49698E-2</v>
      </c>
      <c r="Q1109" s="35">
        <v>0</v>
      </c>
      <c r="R1109" s="35">
        <v>0</v>
      </c>
      <c r="S1109" s="35">
        <v>-4.76502E-3</v>
      </c>
      <c r="T1109" s="35">
        <v>4.76502E-3</v>
      </c>
      <c r="U1109" s="35">
        <v>0</v>
      </c>
      <c r="V1109" s="35">
        <v>0</v>
      </c>
    </row>
    <row r="1110" spans="1:22">
      <c r="A1110" s="7" t="s">
        <v>293</v>
      </c>
      <c r="B1110" s="8">
        <v>1.4675604394566215</v>
      </c>
      <c r="C1110" s="8">
        <v>-1.3235781323919831</v>
      </c>
      <c r="D1110" s="8">
        <v>0.72564008456612294</v>
      </c>
      <c r="E1110" s="7">
        <v>0</v>
      </c>
      <c r="F1110" s="7">
        <v>-1.4990516053215155E-2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L1110" s="3">
        <f t="shared" si="142"/>
        <v>6.2239163076138748E-4</v>
      </c>
      <c r="M1110" s="3">
        <v>1.4670000000000001</v>
      </c>
      <c r="N1110" s="3">
        <v>-1.3240000000000001</v>
      </c>
      <c r="O1110" s="3">
        <v>0.72599999999999998</v>
      </c>
      <c r="P1110" s="35">
        <v>0</v>
      </c>
      <c r="Q1110" s="35">
        <v>-1.49698E-2</v>
      </c>
      <c r="R1110" s="35">
        <v>0</v>
      </c>
      <c r="S1110" s="35">
        <v>-4.76502E-3</v>
      </c>
      <c r="T1110" s="35">
        <v>0</v>
      </c>
      <c r="U1110" s="35">
        <v>4.76502E-3</v>
      </c>
      <c r="V1110" s="35">
        <v>0</v>
      </c>
    </row>
    <row r="1111" spans="1:22">
      <c r="A1111" s="7"/>
      <c r="B1111" s="8">
        <v>0.60912970227287866</v>
      </c>
      <c r="C1111" s="8">
        <v>-0.28261535739067112</v>
      </c>
      <c r="D1111" s="8">
        <v>0.68802996689194662</v>
      </c>
      <c r="E1111" s="7">
        <v>0</v>
      </c>
      <c r="F1111" s="7">
        <v>0</v>
      </c>
      <c r="G1111" s="7">
        <v>-1.4990516053215155E-2</v>
      </c>
      <c r="H1111" s="7">
        <v>0</v>
      </c>
      <c r="I1111" s="7">
        <v>0</v>
      </c>
      <c r="J1111" s="7">
        <v>0</v>
      </c>
      <c r="K1111" s="7">
        <v>0</v>
      </c>
      <c r="L1111" s="3">
        <f t="shared" si="142"/>
        <v>5.4431177415414922E-4</v>
      </c>
      <c r="M1111" s="3">
        <v>0.60899999999999999</v>
      </c>
      <c r="N1111" s="3">
        <v>-0.28299999999999997</v>
      </c>
      <c r="O1111" s="3">
        <v>0.68799999999999994</v>
      </c>
      <c r="P1111" s="35">
        <v>0</v>
      </c>
      <c r="Q1111" s="35">
        <v>0</v>
      </c>
      <c r="R1111" s="35">
        <v>-1.49698E-2</v>
      </c>
      <c r="S1111" s="35">
        <v>-4.76502E-3</v>
      </c>
      <c r="T1111" s="35">
        <v>0</v>
      </c>
      <c r="U1111" s="35">
        <v>0</v>
      </c>
      <c r="V1111" s="35">
        <v>4.76502E-3</v>
      </c>
    </row>
    <row r="1112" spans="1:22">
      <c r="A1112" s="7"/>
      <c r="B1112" s="8"/>
      <c r="C1112" s="8"/>
      <c r="D1112" s="8"/>
      <c r="E1112" s="7"/>
      <c r="F1112" s="7"/>
      <c r="G1112" s="7"/>
      <c r="H1112" s="7"/>
      <c r="I1112" s="7"/>
      <c r="J1112" s="7"/>
      <c r="K1112" s="7"/>
    </row>
    <row r="1113" spans="1:22">
      <c r="A1113" s="7"/>
      <c r="B1113" s="8">
        <v>-1.3773893306068323</v>
      </c>
      <c r="C1113" s="8">
        <v>-1.5521003879162059</v>
      </c>
      <c r="D1113" s="8">
        <v>0.65590292152571228</v>
      </c>
      <c r="E1113" s="7">
        <v>-1.4990516053215155E-2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 s="3">
        <f t="shared" si="146"/>
        <v>4.1320300267400079E-4</v>
      </c>
      <c r="M1113" s="3">
        <v>-1.3779999999999999</v>
      </c>
      <c r="N1113" s="3">
        <v>-1.552</v>
      </c>
      <c r="O1113" s="3">
        <v>0.65600000000000003</v>
      </c>
      <c r="P1113" s="35">
        <v>-1.49698E-2</v>
      </c>
      <c r="Q1113" s="35">
        <v>0</v>
      </c>
      <c r="R1113" s="35">
        <v>0</v>
      </c>
      <c r="S1113" s="35">
        <v>-4.76502E-3</v>
      </c>
      <c r="T1113" s="35">
        <v>4.76502E-3</v>
      </c>
      <c r="U1113" s="35">
        <v>0</v>
      </c>
      <c r="V1113" s="35">
        <v>0</v>
      </c>
    </row>
    <row r="1114" spans="1:22">
      <c r="A1114" s="7" t="s">
        <v>294</v>
      </c>
      <c r="B1114" s="8">
        <v>-1.0097006711160386</v>
      </c>
      <c r="C1114" s="8">
        <v>-0.26302086313966178</v>
      </c>
      <c r="D1114" s="8">
        <v>0.76545275918666766</v>
      </c>
      <c r="E1114" s="7">
        <v>0</v>
      </c>
      <c r="F1114" s="7">
        <v>-1.4990516053215155E-2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L1114" s="3">
        <f t="shared" si="142"/>
        <v>-2.6877506903266735E-4</v>
      </c>
      <c r="M1114" s="3">
        <v>-1.01</v>
      </c>
      <c r="N1114" s="3">
        <v>-0.26300000000000001</v>
      </c>
      <c r="O1114" s="3">
        <v>0.76600000000000001</v>
      </c>
      <c r="P1114" s="35">
        <v>0</v>
      </c>
      <c r="Q1114" s="35">
        <v>-1.49698E-2</v>
      </c>
      <c r="R1114" s="35">
        <v>0</v>
      </c>
      <c r="S1114" s="35">
        <v>-4.76502E-3</v>
      </c>
      <c r="T1114" s="35">
        <v>0</v>
      </c>
      <c r="U1114" s="35">
        <v>4.76502E-3</v>
      </c>
      <c r="V1114" s="35">
        <v>0</v>
      </c>
    </row>
    <row r="1115" spans="1:22">
      <c r="A1115" s="7"/>
      <c r="B1115" s="8">
        <v>0.60912970227287866</v>
      </c>
      <c r="C1115" s="8">
        <v>-0.28261535739067112</v>
      </c>
      <c r="D1115" s="8">
        <v>0.68802996689194662</v>
      </c>
      <c r="E1115" s="7">
        <v>0</v>
      </c>
      <c r="F1115" s="7">
        <v>0</v>
      </c>
      <c r="G1115" s="7">
        <v>-1.4990516053215155E-2</v>
      </c>
      <c r="H1115" s="7">
        <v>0</v>
      </c>
      <c r="I1115" s="7">
        <v>0</v>
      </c>
      <c r="J1115" s="7">
        <v>0</v>
      </c>
      <c r="K1115" s="7">
        <v>0</v>
      </c>
      <c r="L1115" s="3">
        <f t="shared" si="142"/>
        <v>5.4431177415414922E-4</v>
      </c>
      <c r="M1115" s="3">
        <v>0.60899999999999999</v>
      </c>
      <c r="N1115" s="3">
        <v>-0.28299999999999997</v>
      </c>
      <c r="O1115" s="3">
        <v>0.68799999999999994</v>
      </c>
      <c r="P1115" s="35">
        <v>0</v>
      </c>
      <c r="Q1115" s="35">
        <v>0</v>
      </c>
      <c r="R1115" s="35">
        <v>-1.49698E-2</v>
      </c>
      <c r="S1115" s="35">
        <v>-4.76502E-3</v>
      </c>
      <c r="T1115" s="35">
        <v>0</v>
      </c>
      <c r="U1115" s="35">
        <v>0</v>
      </c>
      <c r="V1115" s="35">
        <v>4.76502E-3</v>
      </c>
    </row>
    <row r="1116" spans="1:22">
      <c r="A1116" s="7"/>
      <c r="B1116" s="8"/>
      <c r="C1116" s="8"/>
      <c r="D1116" s="8"/>
      <c r="E1116" s="7"/>
      <c r="F1116" s="7"/>
      <c r="G1116" s="7"/>
      <c r="H1116" s="7"/>
      <c r="I1116" s="7"/>
      <c r="J1116" s="7"/>
      <c r="K1116" s="7"/>
    </row>
    <row r="1117" spans="1:22">
      <c r="A1117" s="7"/>
      <c r="B1117" s="8">
        <v>1.4675604394566215</v>
      </c>
      <c r="C1117" s="8">
        <v>-1.3235781323919831</v>
      </c>
      <c r="D1117" s="8">
        <v>0.72564008456612294</v>
      </c>
      <c r="E1117" s="7">
        <v>-1.4990516053215155E-2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L1117" s="3">
        <f t="shared" ref="L1117:L1119" si="148">B1117-M1117+C1117-N1117+D1117-O1117</f>
        <v>6.2239163076138748E-4</v>
      </c>
      <c r="M1117" s="3">
        <v>1.4670000000000001</v>
      </c>
      <c r="N1117" s="3">
        <v>-1.3240000000000001</v>
      </c>
      <c r="O1117" s="3">
        <v>0.72599999999999998</v>
      </c>
      <c r="P1117" s="35">
        <v>-1.49698E-2</v>
      </c>
      <c r="Q1117" s="35">
        <v>0</v>
      </c>
      <c r="R1117" s="35">
        <v>0</v>
      </c>
      <c r="S1117" s="35">
        <v>-4.76502E-3</v>
      </c>
      <c r="T1117" s="35">
        <v>4.76502E-3</v>
      </c>
      <c r="U1117" s="35">
        <v>0</v>
      </c>
      <c r="V1117" s="35">
        <v>0</v>
      </c>
    </row>
    <row r="1118" spans="1:22">
      <c r="A1118" s="7" t="s">
        <v>295</v>
      </c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-1.4990516053215155E-2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L1118" s="3">
        <f t="shared" si="148"/>
        <v>-2.6877506903266735E-4</v>
      </c>
      <c r="M1118" s="3">
        <v>-1.01</v>
      </c>
      <c r="N1118" s="3">
        <v>-0.26300000000000001</v>
      </c>
      <c r="O1118" s="3">
        <v>0.76600000000000001</v>
      </c>
      <c r="P1118" s="35">
        <v>0</v>
      </c>
      <c r="Q1118" s="35">
        <v>-1.49698E-2</v>
      </c>
      <c r="R1118" s="35">
        <v>0</v>
      </c>
      <c r="S1118" s="35">
        <v>-4.76502E-3</v>
      </c>
      <c r="T1118" s="35">
        <v>0</v>
      </c>
      <c r="U1118" s="35">
        <v>4.76502E-3</v>
      </c>
      <c r="V1118" s="35">
        <v>0</v>
      </c>
    </row>
    <row r="1119" spans="1:22">
      <c r="A1119" s="7"/>
      <c r="B1119" s="8">
        <v>0.60912970227287866</v>
      </c>
      <c r="C1119" s="8">
        <v>-0.28261535739067112</v>
      </c>
      <c r="D1119" s="8">
        <v>0.68802996689194662</v>
      </c>
      <c r="E1119" s="7">
        <v>0</v>
      </c>
      <c r="F1119" s="7">
        <v>0</v>
      </c>
      <c r="G1119" s="7">
        <v>-1.4990516053215155E-2</v>
      </c>
      <c r="H1119" s="7">
        <v>0</v>
      </c>
      <c r="I1119" s="7">
        <v>0</v>
      </c>
      <c r="J1119" s="7">
        <v>0</v>
      </c>
      <c r="K1119" s="7">
        <v>0</v>
      </c>
      <c r="L1119" s="3">
        <f t="shared" si="148"/>
        <v>5.4431177415414922E-4</v>
      </c>
      <c r="M1119" s="3">
        <v>0.60899999999999999</v>
      </c>
      <c r="N1119" s="3">
        <v>-0.28299999999999997</v>
      </c>
      <c r="O1119" s="3">
        <v>0.68799999999999994</v>
      </c>
      <c r="P1119" s="35">
        <v>0</v>
      </c>
      <c r="Q1119" s="35">
        <v>0</v>
      </c>
      <c r="R1119" s="35">
        <v>-1.49698E-2</v>
      </c>
      <c r="S1119" s="35">
        <v>-4.76502E-3</v>
      </c>
      <c r="T1119" s="35">
        <v>0</v>
      </c>
      <c r="U1119" s="35">
        <v>0</v>
      </c>
      <c r="V1119" s="35">
        <v>4.76502E-3</v>
      </c>
    </row>
    <row r="1120" spans="1:2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7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Tabelle1</vt:lpstr>
      <vt:lpstr>KonditionsplotA</vt:lpstr>
      <vt:lpstr>KonditionsplotB</vt:lpstr>
      <vt:lpstr>Matrix_Konfiguration!Druckbereich</vt:lpstr>
      <vt:lpstr>Tabelle1!matdump_1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2013-07-03T13:00:05Z</dcterms:modified>
</cp:coreProperties>
</file>