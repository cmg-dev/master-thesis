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/>
  </bookViews>
  <sheets>
    <sheet name="Matrix_Konfiguration" sheetId="1" r:id="rId1"/>
    <sheet name="SolutionViaSolver" sheetId="2" r:id="rId2"/>
    <sheet name="Auswertung" sheetId="3" r:id="rId3"/>
    <sheet name="NormeriungsPlayground" sheetId="4" r:id="rId4"/>
    <sheet name="Konditionsbetrachtung" sheetId="6" r:id="rId5"/>
    <sheet name="KonditionsplotA" sheetId="8" r:id="rId6"/>
    <sheet name="KonditionsplotB" sheetId="9" r:id="rId7"/>
    <sheet name="DeterminantenAnalyse" sheetId="10" r:id="rId8"/>
  </sheets>
  <externalReferences>
    <externalReference r:id="rId9"/>
  </externalReferences>
  <definedNames>
    <definedName name="_xlnm._FilterDatabase" localSheetId="0" hidden="1">Matrix_Konfiguration!$S$294:$T$573</definedName>
    <definedName name="A_1">'[1]num.-Neues-Modell'!$E$7</definedName>
    <definedName name="A_2">'[1]num.-Neues-Modell'!$F$7</definedName>
    <definedName name="_xlnm.Print_Area" localSheetId="0">Matrix_Konfiguration!$11:$11</definedName>
    <definedName name="OFFSET">[1]Messaufbau_Messdaten!$I$4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SolutionViaSolver!$G$7:$J$7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0">'[1]num.-Neues-Modell'!$B$149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M503" i="10"/>
  <c r="S3"/>
  <c r="M7"/>
  <c r="N7"/>
  <c r="M11"/>
  <c r="N11"/>
  <c r="M15"/>
  <c r="N15"/>
  <c r="M19"/>
  <c r="N19"/>
  <c r="M23"/>
  <c r="N23"/>
  <c r="M27"/>
  <c r="N27"/>
  <c r="M31"/>
  <c r="N31"/>
  <c r="M35"/>
  <c r="N35"/>
  <c r="M39"/>
  <c r="N39"/>
  <c r="M43"/>
  <c r="N43"/>
  <c r="M47"/>
  <c r="N47"/>
  <c r="M51"/>
  <c r="N51"/>
  <c r="M55"/>
  <c r="N55"/>
  <c r="M59"/>
  <c r="N59"/>
  <c r="M63"/>
  <c r="N63"/>
  <c r="M67"/>
  <c r="N67"/>
  <c r="M71"/>
  <c r="N71"/>
  <c r="M75"/>
  <c r="N75"/>
  <c r="M79"/>
  <c r="N79"/>
  <c r="M83"/>
  <c r="N83"/>
  <c r="M87"/>
  <c r="N87"/>
  <c r="M91"/>
  <c r="N91"/>
  <c r="M95"/>
  <c r="N95"/>
  <c r="M99"/>
  <c r="N99"/>
  <c r="M103"/>
  <c r="N103"/>
  <c r="M107"/>
  <c r="N107"/>
  <c r="M111"/>
  <c r="N111"/>
  <c r="M115"/>
  <c r="N115"/>
  <c r="M119"/>
  <c r="N119"/>
  <c r="M123"/>
  <c r="N123"/>
  <c r="M127"/>
  <c r="N127"/>
  <c r="M131"/>
  <c r="N131"/>
  <c r="M135"/>
  <c r="N135"/>
  <c r="M139"/>
  <c r="N139"/>
  <c r="M143"/>
  <c r="N143"/>
  <c r="M147"/>
  <c r="N147"/>
  <c r="M151"/>
  <c r="N151"/>
  <c r="M155"/>
  <c r="N155"/>
  <c r="M159"/>
  <c r="N159"/>
  <c r="M163"/>
  <c r="N163"/>
  <c r="M167"/>
  <c r="N167"/>
  <c r="M171"/>
  <c r="N171"/>
  <c r="M175"/>
  <c r="N175"/>
  <c r="M179"/>
  <c r="N179"/>
  <c r="M183"/>
  <c r="N183"/>
  <c r="M187"/>
  <c r="N187"/>
  <c r="M191"/>
  <c r="N191"/>
  <c r="M195"/>
  <c r="N195"/>
  <c r="M199"/>
  <c r="N199"/>
  <c r="M203"/>
  <c r="N203"/>
  <c r="M207"/>
  <c r="N207"/>
  <c r="M211"/>
  <c r="N211"/>
  <c r="M215"/>
  <c r="N215"/>
  <c r="M219"/>
  <c r="N219"/>
  <c r="M223"/>
  <c r="N223"/>
  <c r="M227"/>
  <c r="N227"/>
  <c r="M231"/>
  <c r="N231"/>
  <c r="M235"/>
  <c r="N235"/>
  <c r="M239"/>
  <c r="N239"/>
  <c r="M243"/>
  <c r="N243"/>
  <c r="M247"/>
  <c r="N247"/>
  <c r="M251"/>
  <c r="N251"/>
  <c r="M255"/>
  <c r="N255"/>
  <c r="M259"/>
  <c r="N259"/>
  <c r="M263"/>
  <c r="N263"/>
  <c r="M267"/>
  <c r="N267"/>
  <c r="M271"/>
  <c r="N271"/>
  <c r="M275"/>
  <c r="N275"/>
  <c r="M279"/>
  <c r="N279"/>
  <c r="M283"/>
  <c r="N283"/>
  <c r="M287"/>
  <c r="N287"/>
  <c r="M291"/>
  <c r="N291"/>
  <c r="M295"/>
  <c r="N295"/>
  <c r="M299"/>
  <c r="N299"/>
  <c r="M303"/>
  <c r="N303"/>
  <c r="M307"/>
  <c r="N307"/>
  <c r="M311"/>
  <c r="N311"/>
  <c r="M315"/>
  <c r="N315"/>
  <c r="M319"/>
  <c r="N319"/>
  <c r="M323"/>
  <c r="N323"/>
  <c r="M327"/>
  <c r="N327"/>
  <c r="M331"/>
  <c r="N331"/>
  <c r="M335"/>
  <c r="N335"/>
  <c r="M339"/>
  <c r="N339"/>
  <c r="M343"/>
  <c r="N343"/>
  <c r="M347"/>
  <c r="N347"/>
  <c r="M351"/>
  <c r="N351"/>
  <c r="M355"/>
  <c r="N355"/>
  <c r="M359"/>
  <c r="N359"/>
  <c r="M363"/>
  <c r="N363"/>
  <c r="M367"/>
  <c r="N367"/>
  <c r="M371"/>
  <c r="N371"/>
  <c r="M375"/>
  <c r="N375"/>
  <c r="M379"/>
  <c r="N379"/>
  <c r="M383"/>
  <c r="N383"/>
  <c r="M387"/>
  <c r="N387"/>
  <c r="M391"/>
  <c r="N391"/>
  <c r="M395"/>
  <c r="N395"/>
  <c r="M399"/>
  <c r="N399"/>
  <c r="M403"/>
  <c r="N403"/>
  <c r="M407"/>
  <c r="N407"/>
  <c r="M411"/>
  <c r="N411"/>
  <c r="M415"/>
  <c r="N415"/>
  <c r="M419"/>
  <c r="N419"/>
  <c r="M423"/>
  <c r="N423"/>
  <c r="M427"/>
  <c r="N427"/>
  <c r="M431"/>
  <c r="N431"/>
  <c r="M435"/>
  <c r="N435"/>
  <c r="M439"/>
  <c r="N439"/>
  <c r="M443"/>
  <c r="N443"/>
  <c r="M447"/>
  <c r="N447"/>
  <c r="M451"/>
  <c r="N451"/>
  <c r="M455"/>
  <c r="N455"/>
  <c r="M459"/>
  <c r="N459"/>
  <c r="M463"/>
  <c r="N463"/>
  <c r="M467"/>
  <c r="N467"/>
  <c r="M471"/>
  <c r="N471"/>
  <c r="M475"/>
  <c r="N475"/>
  <c r="M479"/>
  <c r="N479"/>
  <c r="M483"/>
  <c r="N483"/>
  <c r="M487"/>
  <c r="N487"/>
  <c r="M491"/>
  <c r="N491"/>
  <c r="M495"/>
  <c r="N495"/>
  <c r="M499"/>
  <c r="N499"/>
  <c r="N503"/>
  <c r="M507"/>
  <c r="N507"/>
  <c r="M511"/>
  <c r="N511"/>
  <c r="M515"/>
  <c r="N515"/>
  <c r="M519"/>
  <c r="N519"/>
  <c r="M523"/>
  <c r="N523"/>
  <c r="M527"/>
  <c r="N527"/>
  <c r="M531"/>
  <c r="N531"/>
  <c r="M535"/>
  <c r="N535"/>
  <c r="M539"/>
  <c r="N539"/>
  <c r="M543"/>
  <c r="N543"/>
  <c r="M547"/>
  <c r="N547"/>
  <c r="M551"/>
  <c r="N551"/>
  <c r="M555"/>
  <c r="N555"/>
  <c r="M559"/>
  <c r="N559"/>
  <c r="M563"/>
  <c r="N563"/>
  <c r="M567"/>
  <c r="N567"/>
  <c r="M571"/>
  <c r="N571"/>
  <c r="M575"/>
  <c r="N575"/>
  <c r="M579"/>
  <c r="N579"/>
  <c r="M583"/>
  <c r="N583"/>
  <c r="M587"/>
  <c r="N587"/>
  <c r="M591"/>
  <c r="N591"/>
  <c r="M595"/>
  <c r="N595"/>
  <c r="M599"/>
  <c r="N599"/>
  <c r="M603"/>
  <c r="N603"/>
  <c r="M607"/>
  <c r="N607"/>
  <c r="M611"/>
  <c r="N611"/>
  <c r="M615"/>
  <c r="N615"/>
  <c r="M619"/>
  <c r="N619"/>
  <c r="M623"/>
  <c r="N623"/>
  <c r="M627"/>
  <c r="N627"/>
  <c r="M631"/>
  <c r="N631"/>
  <c r="M635"/>
  <c r="N635"/>
  <c r="M639"/>
  <c r="N639"/>
  <c r="M643"/>
  <c r="N643"/>
  <c r="M647"/>
  <c r="N647"/>
  <c r="M651"/>
  <c r="N651"/>
  <c r="M655"/>
  <c r="N655"/>
  <c r="M659"/>
  <c r="N659"/>
  <c r="M663"/>
  <c r="N663"/>
  <c r="M667"/>
  <c r="N667"/>
  <c r="M671"/>
  <c r="N671"/>
  <c r="M675"/>
  <c r="N675"/>
  <c r="M679"/>
  <c r="N679"/>
  <c r="M683"/>
  <c r="N683"/>
  <c r="M687"/>
  <c r="N687"/>
  <c r="M691"/>
  <c r="N691"/>
  <c r="M695"/>
  <c r="N695"/>
  <c r="M699"/>
  <c r="N699"/>
  <c r="M703"/>
  <c r="N703"/>
  <c r="M707"/>
  <c r="N707"/>
  <c r="M711"/>
  <c r="N711"/>
  <c r="M715"/>
  <c r="N715"/>
  <c r="M719"/>
  <c r="N719"/>
  <c r="M723"/>
  <c r="N723"/>
  <c r="M727"/>
  <c r="N727"/>
  <c r="M731"/>
  <c r="N731"/>
  <c r="M735"/>
  <c r="N735"/>
  <c r="M739"/>
  <c r="N739"/>
  <c r="M743"/>
  <c r="N743"/>
  <c r="M747"/>
  <c r="N747"/>
  <c r="M751"/>
  <c r="N751"/>
  <c r="M755"/>
  <c r="N755"/>
  <c r="M759"/>
  <c r="N759"/>
  <c r="M763"/>
  <c r="N763"/>
  <c r="M767"/>
  <c r="N767"/>
  <c r="M771"/>
  <c r="N771"/>
  <c r="M775"/>
  <c r="N775"/>
  <c r="M779"/>
  <c r="N779"/>
  <c r="M783"/>
  <c r="N783"/>
  <c r="M787"/>
  <c r="N787"/>
  <c r="M791"/>
  <c r="N791"/>
  <c r="M795"/>
  <c r="N795"/>
  <c r="M799"/>
  <c r="N799"/>
  <c r="M803"/>
  <c r="N803"/>
  <c r="M807"/>
  <c r="N807"/>
  <c r="M811"/>
  <c r="N811"/>
  <c r="M815"/>
  <c r="N815"/>
  <c r="M819"/>
  <c r="N819"/>
  <c r="M823"/>
  <c r="N823"/>
  <c r="M827"/>
  <c r="N827"/>
  <c r="M831"/>
  <c r="N831"/>
  <c r="M835"/>
  <c r="N835"/>
  <c r="M839"/>
  <c r="N839"/>
  <c r="M843"/>
  <c r="N843"/>
  <c r="M847"/>
  <c r="N847"/>
  <c r="M851"/>
  <c r="N851"/>
  <c r="M855"/>
  <c r="N855"/>
  <c r="M859"/>
  <c r="N859"/>
  <c r="M863"/>
  <c r="N863"/>
  <c r="M867"/>
  <c r="N867"/>
  <c r="M871"/>
  <c r="N871"/>
  <c r="M875"/>
  <c r="N875"/>
  <c r="M879"/>
  <c r="N879"/>
  <c r="M883"/>
  <c r="N883"/>
  <c r="M887"/>
  <c r="N887"/>
  <c r="M891"/>
  <c r="N891"/>
  <c r="M895"/>
  <c r="N895"/>
  <c r="M899"/>
  <c r="N899"/>
  <c r="M903"/>
  <c r="N903"/>
  <c r="M907"/>
  <c r="N907"/>
  <c r="M911"/>
  <c r="N911"/>
  <c r="M915"/>
  <c r="N915"/>
  <c r="M919"/>
  <c r="N919"/>
  <c r="M923"/>
  <c r="N923"/>
  <c r="M927"/>
  <c r="N927"/>
  <c r="M931"/>
  <c r="N931"/>
  <c r="M935"/>
  <c r="N935"/>
  <c r="M939"/>
  <c r="N939"/>
  <c r="M943"/>
  <c r="N943"/>
  <c r="M947"/>
  <c r="N947"/>
  <c r="M951"/>
  <c r="N951"/>
  <c r="M955"/>
  <c r="N955"/>
  <c r="M959"/>
  <c r="N959"/>
  <c r="M963"/>
  <c r="N963"/>
  <c r="M967"/>
  <c r="N967"/>
  <c r="M971"/>
  <c r="N971"/>
  <c r="M975"/>
  <c r="N975"/>
  <c r="M979"/>
  <c r="N979"/>
  <c r="M983"/>
  <c r="N983"/>
  <c r="M987"/>
  <c r="N987"/>
  <c r="M991"/>
  <c r="N991"/>
  <c r="M995"/>
  <c r="N995"/>
  <c r="M999"/>
  <c r="N999"/>
  <c r="M1003"/>
  <c r="N1003"/>
  <c r="M1007"/>
  <c r="N1007"/>
  <c r="M1011"/>
  <c r="N1011"/>
  <c r="M1015"/>
  <c r="N1015"/>
  <c r="M1019"/>
  <c r="N1019"/>
  <c r="M1023"/>
  <c r="N1023"/>
  <c r="M1027"/>
  <c r="N1027"/>
  <c r="M1031"/>
  <c r="N1031"/>
  <c r="M1035"/>
  <c r="N1035"/>
  <c r="M1039"/>
  <c r="N1039"/>
  <c r="M1043"/>
  <c r="N1043"/>
  <c r="M1047"/>
  <c r="N1047"/>
  <c r="M1051"/>
  <c r="N1051"/>
  <c r="M1055"/>
  <c r="N1055"/>
  <c r="M1059"/>
  <c r="N1059"/>
  <c r="M1063"/>
  <c r="N1063"/>
  <c r="M1067"/>
  <c r="N1067"/>
  <c r="M1071"/>
  <c r="N1071"/>
  <c r="M1075"/>
  <c r="N1075"/>
  <c r="M1079"/>
  <c r="N1079"/>
  <c r="M1083"/>
  <c r="N1083"/>
  <c r="M1087"/>
  <c r="N1087"/>
  <c r="M1091"/>
  <c r="N1091"/>
  <c r="M1095"/>
  <c r="N1095"/>
  <c r="M1099"/>
  <c r="N1099"/>
  <c r="M1103"/>
  <c r="N1103"/>
  <c r="M1107"/>
  <c r="N1107"/>
  <c r="M1111"/>
  <c r="N1111"/>
  <c r="M1115"/>
  <c r="N1115"/>
  <c r="M1119"/>
  <c r="N1119"/>
  <c r="N3"/>
  <c r="M3"/>
  <c r="M11" i="6" a="1"/>
  <c r="M19" a="1"/>
  <c r="M27" a="1"/>
  <c r="M35" a="1"/>
  <c r="M43" a="1"/>
  <c r="M51" a="1"/>
  <c r="M59" a="1"/>
  <c r="M67" a="1"/>
  <c r="M75" a="1"/>
  <c r="M83" a="1"/>
  <c r="M91" a="1"/>
  <c r="M99" a="1"/>
  <c r="M107" a="1"/>
  <c r="M115" a="1"/>
  <c r="M123" a="1"/>
  <c r="M131" a="1"/>
  <c r="M139" a="1"/>
  <c r="M147" a="1"/>
  <c r="M155" a="1"/>
  <c r="M163" a="1"/>
  <c r="M171" a="1"/>
  <c r="M179" a="1"/>
  <c r="M187" a="1"/>
  <c r="M195" a="1"/>
  <c r="M7" a="1"/>
  <c r="M15" a="1"/>
  <c r="M23" a="1"/>
  <c r="M31" a="1"/>
  <c r="M39" a="1"/>
  <c r="M47" a="1"/>
  <c r="M55" a="1"/>
  <c r="M63" a="1"/>
  <c r="M71" a="1"/>
  <c r="M79" a="1"/>
  <c r="M87" a="1"/>
  <c r="M95" a="1"/>
  <c r="M103" a="1"/>
  <c r="M111" a="1"/>
  <c r="M119" a="1"/>
  <c r="M127" a="1"/>
  <c r="M135" a="1"/>
  <c r="M143" a="1"/>
  <c r="M151" a="1"/>
  <c r="M159" a="1"/>
  <c r="M167" a="1"/>
  <c r="M175" a="1"/>
  <c r="M183" a="1"/>
  <c r="M191" a="1"/>
  <c r="M199" a="1"/>
  <c r="M207" a="1"/>
  <c r="M215" a="1"/>
  <c r="M223" a="1"/>
  <c r="M231" a="1"/>
  <c r="M239" a="1"/>
  <c r="M247" a="1"/>
  <c r="M255" a="1"/>
  <c r="M263" a="1"/>
  <c r="M271" a="1"/>
  <c r="M279" a="1"/>
  <c r="M287" a="1"/>
  <c r="M295" a="1"/>
  <c r="M303" a="1"/>
  <c r="M311" a="1"/>
  <c r="M319" a="1"/>
  <c r="M327" a="1"/>
  <c r="M335" a="1"/>
  <c r="M343" a="1"/>
  <c r="M351" a="1"/>
  <c r="M359" a="1"/>
  <c r="M203" a="1"/>
  <c r="M219" a="1"/>
  <c r="M235" a="1"/>
  <c r="M251" a="1"/>
  <c r="M267" a="1"/>
  <c r="M283" a="1"/>
  <c r="M299" a="1"/>
  <c r="M315" a="1"/>
  <c r="M331" a="1"/>
  <c r="M347" a="1"/>
  <c r="M375" a="1"/>
  <c r="M379" a="1"/>
  <c r="M407" a="1"/>
  <c r="M411" a="1"/>
  <c r="M419" a="1"/>
  <c r="M427" a="1"/>
  <c r="M435" a="1"/>
  <c r="M443" a="1"/>
  <c r="M451" a="1"/>
  <c r="M459" a="1"/>
  <c r="M467" a="1"/>
  <c r="M475" a="1"/>
  <c r="M483" a="1"/>
  <c r="M367" a="1"/>
  <c r="M371" a="1"/>
  <c r="M399" a="1"/>
  <c r="M403" a="1"/>
  <c r="M415" a="1"/>
  <c r="M491" a="1"/>
  <c r="M519" a="1"/>
  <c r="M523" a="1"/>
  <c r="M551" a="1"/>
  <c r="M555" a="1"/>
  <c r="M583" a="1"/>
  <c r="M587" a="1"/>
  <c r="M615" a="1"/>
  <c r="M619" a="1"/>
  <c r="M647" a="1"/>
  <c r="M651" a="1"/>
  <c r="M211" a="1"/>
  <c r="M243" a="1"/>
  <c r="M275" a="1"/>
  <c r="M307" a="1"/>
  <c r="M339" a="1"/>
  <c r="M363" a="1"/>
  <c r="M431" a="1"/>
  <c r="M447" a="1"/>
  <c r="M463" a="1"/>
  <c r="M479" a="1"/>
  <c r="M495" a="1"/>
  <c r="M499" a="1"/>
  <c r="M527" a="1"/>
  <c r="M531" a="1"/>
  <c r="M559" a="1"/>
  <c r="M563" a="1"/>
  <c r="M591" a="1"/>
  <c r="M595" a="1"/>
  <c r="M623" a="1"/>
  <c r="M627" a="1"/>
  <c r="M655" a="1"/>
  <c r="M659" a="1"/>
  <c r="M663" a="1"/>
  <c r="M671" a="1"/>
  <c r="M679" a="1"/>
  <c r="M687" a="1"/>
  <c r="M695" a="1"/>
  <c r="M703" a="1"/>
  <c r="M711" a="1"/>
  <c r="M719" a="1"/>
  <c r="M727" a="1"/>
  <c r="M735" a="1"/>
  <c r="M743" a="1"/>
  <c r="M751" a="1"/>
  <c r="M759" a="1"/>
  <c r="M767" a="1"/>
  <c r="M775" a="1"/>
  <c r="M783" a="1"/>
  <c r="M791" a="1"/>
  <c r="M799" a="1"/>
  <c r="M807" a="1"/>
  <c r="M815" a="1"/>
  <c r="M823" a="1"/>
  <c r="M831" a="1"/>
  <c r="M839" a="1"/>
  <c r="M847" a="1"/>
  <c r="M855" a="1"/>
  <c r="M863" a="1"/>
  <c r="M871" a="1"/>
  <c r="M879" a="1"/>
  <c r="M887" a="1"/>
  <c r="M895" a="1"/>
  <c r="M903" a="1"/>
  <c r="M227" a="1"/>
  <c r="M259" a="1"/>
  <c r="M291" a="1"/>
  <c r="M323" a="1"/>
  <c r="M355" a="1"/>
  <c r="M391" a="1"/>
  <c r="M395" a="1"/>
  <c r="M423" a="1"/>
  <c r="M439" a="1"/>
  <c r="M455" a="1"/>
  <c r="M471" a="1"/>
  <c r="M487" a="1"/>
  <c r="M511" a="1"/>
  <c r="M515" a="1"/>
  <c r="M543" a="1"/>
  <c r="M547" a="1"/>
  <c r="M575" a="1"/>
  <c r="M579" a="1"/>
  <c r="M607" a="1"/>
  <c r="M611" a="1"/>
  <c r="M639" a="1"/>
  <c r="M643" a="1"/>
  <c r="M667" a="1"/>
  <c r="M675" a="1"/>
  <c r="M683" a="1"/>
  <c r="M691" a="1"/>
  <c r="M699" a="1"/>
  <c r="M707" a="1"/>
  <c r="M715" a="1"/>
  <c r="M723" a="1"/>
  <c r="M731" a="1"/>
  <c r="M739" a="1"/>
  <c r="M747" a="1"/>
  <c r="M755" a="1"/>
  <c r="M763" a="1"/>
  <c r="M771" a="1"/>
  <c r="M779" a="1"/>
  <c r="M787" a="1"/>
  <c r="M795" a="1"/>
  <c r="M803" a="1"/>
  <c r="M811" a="1"/>
  <c r="M819" a="1"/>
  <c r="M827" a="1"/>
  <c r="M835" a="1"/>
  <c r="M843" a="1"/>
  <c r="M851" a="1"/>
  <c r="M859" a="1"/>
  <c r="M867" a="1"/>
  <c r="M875" a="1"/>
  <c r="M883" a="1"/>
  <c r="M891" a="1"/>
  <c r="M899" a="1"/>
  <c r="M907" a="1"/>
  <c r="M915" a="1"/>
  <c r="M507" a="1"/>
  <c r="M567" a="1"/>
  <c r="M635" a="1"/>
  <c r="M939" a="1"/>
  <c r="M943" a="1"/>
  <c r="M971" a="1"/>
  <c r="M975" a="1"/>
  <c r="M979" a="1"/>
  <c r="M987" a="1"/>
  <c r="M995" a="1"/>
  <c r="M1003" a="1"/>
  <c r="M1011" a="1"/>
  <c r="M1019" a="1"/>
  <c r="M1027" a="1"/>
  <c r="M1035" a="1"/>
  <c r="M1043" a="1"/>
  <c r="M1051" a="1"/>
  <c r="M1059" a="1"/>
  <c r="M1067" a="1"/>
  <c r="M1075" a="1"/>
  <c r="M1083" a="1"/>
  <c r="M1091" a="1"/>
  <c r="M1099" a="1"/>
  <c r="M1107" a="1"/>
  <c r="M1115" a="1"/>
  <c r="M387" a="1"/>
  <c r="M571" a="1"/>
  <c r="M631" a="1"/>
  <c r="M927" a="1"/>
  <c r="M955" a="1"/>
  <c r="M1015" a="1"/>
  <c r="M1023" a="1"/>
  <c r="M1031" a="1"/>
  <c r="M1063" a="1"/>
  <c r="M1087" a="1"/>
  <c r="M1095" a="1"/>
  <c r="M1111" a="1"/>
  <c r="M1119" a="1"/>
  <c r="M539" a="1"/>
  <c r="M599" a="1"/>
  <c r="M911" a="1"/>
  <c r="M919" a="1"/>
  <c r="M947" a="1"/>
  <c r="M951" a="1"/>
  <c r="M503" a="1"/>
  <c r="M923" a="1"/>
  <c r="M959" a="1"/>
  <c r="M983" a="1"/>
  <c r="M991" a="1"/>
  <c r="M999" a="1"/>
  <c r="M1007" a="1"/>
  <c r="M1039" a="1"/>
  <c r="M1047" a="1"/>
  <c r="M1055" a="1"/>
  <c r="M1071" a="1"/>
  <c r="M1079" a="1"/>
  <c r="M1103" a="1"/>
  <c r="M383" a="1"/>
  <c r="M535" a="1"/>
  <c r="M603" a="1"/>
  <c r="M931" a="1"/>
  <c r="M935" a="1"/>
  <c r="M963" a="1"/>
  <c r="M967" a="1"/>
  <c r="M3" a="1"/>
  <c r="P11" i="10" a="1"/>
  <c r="P27" a="1"/>
  <c r="P43" a="1"/>
  <c r="P59" a="1"/>
  <c r="P75" a="1"/>
  <c r="P91" a="1"/>
  <c r="P107" a="1"/>
  <c r="P123" a="1"/>
  <c r="P139" a="1"/>
  <c r="P155" a="1"/>
  <c r="P171" a="1"/>
  <c r="P187" a="1"/>
  <c r="P203" a="1"/>
  <c r="P219" a="1"/>
  <c r="P235" a="1"/>
  <c r="P251" a="1"/>
  <c r="P267" a="1"/>
  <c r="P283" a="1"/>
  <c r="P299" a="1"/>
  <c r="P315" a="1"/>
  <c r="P331" a="1"/>
  <c r="P347" a="1"/>
  <c r="P363" a="1"/>
  <c r="P379" a="1"/>
  <c r="P15" a="1"/>
  <c r="P31" a="1"/>
  <c r="P47" a="1"/>
  <c r="P63" a="1"/>
  <c r="P79" a="1"/>
  <c r="P95" a="1"/>
  <c r="P111" a="1"/>
  <c r="P127" a="1"/>
  <c r="P143" a="1"/>
  <c r="P159" a="1"/>
  <c r="P175" a="1"/>
  <c r="P191" a="1"/>
  <c r="P207" a="1"/>
  <c r="P223" a="1"/>
  <c r="P239" a="1"/>
  <c r="P255" a="1"/>
  <c r="P271" a="1"/>
  <c r="P287" a="1"/>
  <c r="P303" a="1"/>
  <c r="P319" a="1"/>
  <c r="P335" a="1"/>
  <c r="P351" a="1"/>
  <c r="P367" a="1"/>
  <c r="P383" a="1"/>
  <c r="P19" a="1"/>
  <c r="P35" a="1"/>
  <c r="P51" a="1"/>
  <c r="P67" a="1"/>
  <c r="P83" a="1"/>
  <c r="P99" a="1"/>
  <c r="P115" a="1"/>
  <c r="P131" a="1"/>
  <c r="P147" a="1"/>
  <c r="P163" a="1"/>
  <c r="P179" a="1"/>
  <c r="P195" a="1"/>
  <c r="P211" a="1"/>
  <c r="P227" a="1"/>
  <c r="P243" a="1"/>
  <c r="P259" a="1"/>
  <c r="P275" a="1"/>
  <c r="P291" a="1"/>
  <c r="P307" a="1"/>
  <c r="P323" a="1"/>
  <c r="P339" a="1"/>
  <c r="P355" a="1"/>
  <c r="P371" a="1"/>
  <c r="P387" a="1"/>
  <c r="P403" a="1"/>
  <c r="P23" a="1"/>
  <c r="P87" a="1"/>
  <c r="P151" a="1"/>
  <c r="P215" a="1"/>
  <c r="P279" a="1"/>
  <c r="P343" a="1"/>
  <c r="P423" a="1"/>
  <c r="P439" a="1"/>
  <c r="P455" a="1"/>
  <c r="P471" a="1"/>
  <c r="P487" a="1"/>
  <c r="P503" a="1"/>
  <c r="P519" a="1"/>
  <c r="P535" a="1"/>
  <c r="P551" a="1"/>
  <c r="P567" a="1"/>
  <c r="P583" a="1"/>
  <c r="P599" a="1"/>
  <c r="P615" a="1"/>
  <c r="P631" a="1"/>
  <c r="P647" a="1"/>
  <c r="P663" a="1"/>
  <c r="P679" a="1"/>
  <c r="P695" a="1"/>
  <c r="P39" a="1"/>
  <c r="P103" a="1"/>
  <c r="P167" a="1"/>
  <c r="P231" a="1"/>
  <c r="P295" a="1"/>
  <c r="P359" a="1"/>
  <c r="P427" a="1"/>
  <c r="P443" a="1"/>
  <c r="P459" a="1"/>
  <c r="P475" a="1"/>
  <c r="P491" a="1"/>
  <c r="P507" a="1"/>
  <c r="P523" a="1"/>
  <c r="P539" a="1"/>
  <c r="P555" a="1"/>
  <c r="P571" a="1"/>
  <c r="P587" a="1"/>
  <c r="P603" a="1"/>
  <c r="P619" a="1"/>
  <c r="P635" a="1"/>
  <c r="P651" a="1"/>
  <c r="P667" a="1"/>
  <c r="P683" a="1"/>
  <c r="P699" a="1"/>
  <c r="P55" a="1"/>
  <c r="P119" a="1"/>
  <c r="P183" a="1"/>
  <c r="P247" a="1"/>
  <c r="P311" a="1"/>
  <c r="P375" a="1"/>
  <c r="P407" a="1"/>
  <c r="P411" a="1"/>
  <c r="P415" a="1"/>
  <c r="P431" a="1"/>
  <c r="P447" a="1"/>
  <c r="P463" a="1"/>
  <c r="P479" a="1"/>
  <c r="P495" a="1"/>
  <c r="P511" a="1"/>
  <c r="P527" a="1"/>
  <c r="P543" a="1"/>
  <c r="P559" a="1"/>
  <c r="P575" a="1"/>
  <c r="P591" a="1"/>
  <c r="P607" a="1"/>
  <c r="P623" a="1"/>
  <c r="P639" a="1"/>
  <c r="P655" a="1"/>
  <c r="P671" a="1"/>
  <c r="P687" a="1"/>
  <c r="P703" a="1"/>
  <c r="P719" a="1"/>
  <c r="P735" a="1"/>
  <c r="P751" a="1"/>
  <c r="P767" a="1"/>
  <c r="P783" a="1"/>
  <c r="P799" a="1"/>
  <c r="P815" a="1"/>
  <c r="P831" a="1"/>
  <c r="P71" a="1"/>
  <c r="P327" a="1"/>
  <c r="P395" a="1"/>
  <c r="P435" a="1"/>
  <c r="P499" a="1"/>
  <c r="P563" a="1"/>
  <c r="P627" a="1"/>
  <c r="P691" a="1"/>
  <c r="P723" a="1"/>
  <c r="P727" a="1"/>
  <c r="P731" a="1"/>
  <c r="P787" a="1"/>
  <c r="P791" a="1"/>
  <c r="P795" a="1"/>
  <c r="P851" a="1"/>
  <c r="P867" a="1"/>
  <c r="P883" a="1"/>
  <c r="P899" a="1"/>
  <c r="P915" a="1"/>
  <c r="P931" a="1"/>
  <c r="P947" a="1"/>
  <c r="P963" a="1"/>
  <c r="P979" a="1"/>
  <c r="P995" a="1"/>
  <c r="P1011" a="1"/>
  <c r="P1027" a="1"/>
  <c r="P1043" a="1"/>
  <c r="P1059" a="1"/>
  <c r="P1075" a="1"/>
  <c r="P1091" a="1"/>
  <c r="P1107" a="1"/>
  <c r="P863" a="1"/>
  <c r="P879" a="1"/>
  <c r="P959" a="1"/>
  <c r="P991" a="1"/>
  <c r="P135" a="1"/>
  <c r="P391" a="1"/>
  <c r="P451" a="1"/>
  <c r="P515" a="1"/>
  <c r="P579" a="1"/>
  <c r="P643" a="1"/>
  <c r="P707" a="1"/>
  <c r="P711" a="1"/>
  <c r="P715" a="1"/>
  <c r="P771" a="1"/>
  <c r="P775" a="1"/>
  <c r="P779" a="1"/>
  <c r="P835" a="1"/>
  <c r="P839" a="1"/>
  <c r="P855" a="1"/>
  <c r="P871" a="1"/>
  <c r="P887" a="1"/>
  <c r="P903" a="1"/>
  <c r="P919" a="1"/>
  <c r="P935" a="1"/>
  <c r="P951" a="1"/>
  <c r="P967" a="1"/>
  <c r="P983" a="1"/>
  <c r="P999" a="1"/>
  <c r="P1015" a="1"/>
  <c r="P1031" a="1"/>
  <c r="P1047" a="1"/>
  <c r="P1063" a="1"/>
  <c r="P1079" a="1"/>
  <c r="P1095" a="1"/>
  <c r="P1111" a="1"/>
  <c r="P811" a="1"/>
  <c r="P911" a="1"/>
  <c r="P943" a="1"/>
  <c r="P1007" a="1"/>
  <c r="P199" a="1"/>
  <c r="P399" a="1"/>
  <c r="P467" a="1"/>
  <c r="P531" a="1"/>
  <c r="P595" a="1"/>
  <c r="P659" a="1"/>
  <c r="P755" a="1"/>
  <c r="P759" a="1"/>
  <c r="P763" a="1"/>
  <c r="P819" a="1"/>
  <c r="P823" a="1"/>
  <c r="P827" a="1"/>
  <c r="P843" a="1"/>
  <c r="P859" a="1"/>
  <c r="P875" a="1"/>
  <c r="P891" a="1"/>
  <c r="P907" a="1"/>
  <c r="P923" a="1"/>
  <c r="P939" a="1"/>
  <c r="P955" a="1"/>
  <c r="P971" a="1"/>
  <c r="P987" a="1"/>
  <c r="P1003" a="1"/>
  <c r="P1019" a="1"/>
  <c r="P1035" a="1"/>
  <c r="P1051" a="1"/>
  <c r="P1067" a="1"/>
  <c r="P1083" a="1"/>
  <c r="P1099" a="1"/>
  <c r="P1115" a="1"/>
  <c r="P7" a="1"/>
  <c r="P263" a="1"/>
  <c r="P419" a="1"/>
  <c r="P483" a="1"/>
  <c r="P547" a="1"/>
  <c r="P611" a="1"/>
  <c r="P675" a="1"/>
  <c r="P739" a="1"/>
  <c r="P743" a="1"/>
  <c r="P747" a="1"/>
  <c r="P803" a="1"/>
  <c r="P807" a="1"/>
  <c r="P847" a="1"/>
  <c r="P895" a="1"/>
  <c r="P927" a="1"/>
  <c r="P975" a="1"/>
  <c r="P1023" a="1"/>
  <c r="P1039" a="1"/>
  <c r="P1055" a="1"/>
  <c r="P1071" a="1"/>
  <c r="P1087" a="1"/>
  <c r="P1103" a="1"/>
  <c r="P1119" a="1"/>
  <c r="P3" a="1"/>
  <c r="R1119" l="1"/>
  <c r="P1121"/>
  <c r="P1120"/>
  <c r="Q1119"/>
  <c r="R1120"/>
  <c r="Q1121"/>
  <c r="P1119"/>
  <c r="S1119" s="1"/>
  <c r="Q1120"/>
  <c r="R1121"/>
  <c r="R1103"/>
  <c r="P1105"/>
  <c r="P1104"/>
  <c r="Q1103"/>
  <c r="R1104"/>
  <c r="Q1105"/>
  <c r="P1103"/>
  <c r="S1103" s="1"/>
  <c r="Q1104"/>
  <c r="R1105"/>
  <c r="R1087"/>
  <c r="P1089"/>
  <c r="Q1089"/>
  <c r="Q1087"/>
  <c r="R1088"/>
  <c r="P1088"/>
  <c r="P1087"/>
  <c r="Q1088"/>
  <c r="R1089"/>
  <c r="R1071"/>
  <c r="P1073"/>
  <c r="Q1071"/>
  <c r="R1072"/>
  <c r="P1072"/>
  <c r="Q1073"/>
  <c r="P1071"/>
  <c r="Q1072"/>
  <c r="R1073"/>
  <c r="R1055"/>
  <c r="P1057"/>
  <c r="P1056"/>
  <c r="Q1057"/>
  <c r="Q1055"/>
  <c r="R1056"/>
  <c r="P1055"/>
  <c r="S1055" s="1"/>
  <c r="Q1056"/>
  <c r="R1057"/>
  <c r="R1039"/>
  <c r="P1041"/>
  <c r="P1040"/>
  <c r="Q1039"/>
  <c r="R1040"/>
  <c r="Q1041"/>
  <c r="P1039"/>
  <c r="S1039" s="1"/>
  <c r="Q1040"/>
  <c r="R1041"/>
  <c r="R1023"/>
  <c r="P1025"/>
  <c r="Q1025"/>
  <c r="Q1023"/>
  <c r="R1024"/>
  <c r="P1024"/>
  <c r="P1023"/>
  <c r="Q1024"/>
  <c r="R1025"/>
  <c r="R975"/>
  <c r="P977"/>
  <c r="P976"/>
  <c r="Q975"/>
  <c r="R976"/>
  <c r="Q977"/>
  <c r="P975"/>
  <c r="Q976"/>
  <c r="R977"/>
  <c r="R927"/>
  <c r="P929"/>
  <c r="Q929"/>
  <c r="Q927"/>
  <c r="R928"/>
  <c r="P928"/>
  <c r="P927"/>
  <c r="S927" s="1"/>
  <c r="Q928"/>
  <c r="R929"/>
  <c r="R895"/>
  <c r="P897"/>
  <c r="P896"/>
  <c r="Q897"/>
  <c r="Q895"/>
  <c r="R896"/>
  <c r="P895"/>
  <c r="S895" s="1"/>
  <c r="Q896"/>
  <c r="R897"/>
  <c r="R847"/>
  <c r="P849"/>
  <c r="P848"/>
  <c r="Q849"/>
  <c r="Q847"/>
  <c r="R848"/>
  <c r="P847"/>
  <c r="Q848"/>
  <c r="R849"/>
  <c r="Q807"/>
  <c r="R808"/>
  <c r="P808"/>
  <c r="R809"/>
  <c r="Q808"/>
  <c r="R807"/>
  <c r="Q809"/>
  <c r="P807"/>
  <c r="S807" s="1"/>
  <c r="P809"/>
  <c r="P803"/>
  <c r="Q804"/>
  <c r="R805"/>
  <c r="P804"/>
  <c r="R803"/>
  <c r="Q805"/>
  <c r="R804"/>
  <c r="Q803"/>
  <c r="P805"/>
  <c r="R747"/>
  <c r="P749"/>
  <c r="P748"/>
  <c r="R749"/>
  <c r="Q747"/>
  <c r="Q749"/>
  <c r="P747"/>
  <c r="S747" s="1"/>
  <c r="R748"/>
  <c r="Q748"/>
  <c r="Q743"/>
  <c r="R744"/>
  <c r="P744"/>
  <c r="R745"/>
  <c r="R743"/>
  <c r="Q745"/>
  <c r="P743"/>
  <c r="P745"/>
  <c r="Q744"/>
  <c r="P739"/>
  <c r="S739" s="1"/>
  <c r="Q740"/>
  <c r="R741"/>
  <c r="P740"/>
  <c r="R739"/>
  <c r="Q741"/>
  <c r="Q739"/>
  <c r="P741"/>
  <c r="R740"/>
  <c r="R675"/>
  <c r="P677"/>
  <c r="Q675"/>
  <c r="R676"/>
  <c r="P675"/>
  <c r="Q676"/>
  <c r="R677"/>
  <c r="Q677"/>
  <c r="P676"/>
  <c r="R611"/>
  <c r="P613"/>
  <c r="Q611"/>
  <c r="R612"/>
  <c r="P611"/>
  <c r="Q612"/>
  <c r="R613"/>
  <c r="Q613"/>
  <c r="P612"/>
  <c r="R547"/>
  <c r="P549"/>
  <c r="Q547"/>
  <c r="R548"/>
  <c r="P547"/>
  <c r="Q548"/>
  <c r="R549"/>
  <c r="Q549"/>
  <c r="P548"/>
  <c r="R483"/>
  <c r="P485"/>
  <c r="Q483"/>
  <c r="R484"/>
  <c r="P483"/>
  <c r="S483" s="1"/>
  <c r="Q484"/>
  <c r="R485"/>
  <c r="Q485"/>
  <c r="P484"/>
  <c r="R419"/>
  <c r="P421"/>
  <c r="Q419"/>
  <c r="R420"/>
  <c r="P419"/>
  <c r="Q420"/>
  <c r="R421"/>
  <c r="Q421"/>
  <c r="P420"/>
  <c r="R263"/>
  <c r="P265"/>
  <c r="Q263"/>
  <c r="R264"/>
  <c r="P263"/>
  <c r="Q264"/>
  <c r="R265"/>
  <c r="Q265"/>
  <c r="P264"/>
  <c r="R7"/>
  <c r="P9"/>
  <c r="Q7"/>
  <c r="R8"/>
  <c r="P7"/>
  <c r="S7" s="1"/>
  <c r="Q8"/>
  <c r="R9"/>
  <c r="Q9"/>
  <c r="P8"/>
  <c r="Q1115"/>
  <c r="R1116"/>
  <c r="P1115"/>
  <c r="Q1116"/>
  <c r="R1117"/>
  <c r="R1115"/>
  <c r="P1117"/>
  <c r="P1116"/>
  <c r="Q1117"/>
  <c r="Q1099"/>
  <c r="R1100"/>
  <c r="P1099"/>
  <c r="S1099" s="1"/>
  <c r="Q1100"/>
  <c r="R1101"/>
  <c r="P1101"/>
  <c r="P1100"/>
  <c r="Q1101"/>
  <c r="R1099"/>
  <c r="Q1083"/>
  <c r="R1084"/>
  <c r="P1083"/>
  <c r="S1083" s="1"/>
  <c r="Q1084"/>
  <c r="R1085"/>
  <c r="P1085"/>
  <c r="P1084"/>
  <c r="Q1085"/>
  <c r="R1083"/>
  <c r="Q1067"/>
  <c r="R1068"/>
  <c r="P1067"/>
  <c r="Q1068"/>
  <c r="R1069"/>
  <c r="R1067"/>
  <c r="P1068"/>
  <c r="Q1069"/>
  <c r="P1069"/>
  <c r="Q1051"/>
  <c r="R1052"/>
  <c r="P1053"/>
  <c r="P1051"/>
  <c r="S1051" s="1"/>
  <c r="Q1052"/>
  <c r="R1053"/>
  <c r="P1052"/>
  <c r="Q1053"/>
  <c r="R1051"/>
  <c r="Q1035"/>
  <c r="R1036"/>
  <c r="P1037"/>
  <c r="P1035"/>
  <c r="S1035" s="1"/>
  <c r="Q1036"/>
  <c r="R1037"/>
  <c r="P1036"/>
  <c r="Q1037"/>
  <c r="R1035"/>
  <c r="Q1019"/>
  <c r="R1020"/>
  <c r="P1019"/>
  <c r="S1019" s="1"/>
  <c r="Q1020"/>
  <c r="R1021"/>
  <c r="P1021"/>
  <c r="P1020"/>
  <c r="Q1021"/>
  <c r="R1019"/>
  <c r="Q1003"/>
  <c r="R1004"/>
  <c r="P1005"/>
  <c r="P1003"/>
  <c r="Q1004"/>
  <c r="R1005"/>
  <c r="R1003"/>
  <c r="P1004"/>
  <c r="Q1005"/>
  <c r="Q987"/>
  <c r="R988"/>
  <c r="R987"/>
  <c r="P987"/>
  <c r="Q988"/>
  <c r="R989"/>
  <c r="P988"/>
  <c r="Q989"/>
  <c r="P989"/>
  <c r="Q971"/>
  <c r="R972"/>
  <c r="P973"/>
  <c r="P971"/>
  <c r="S971" s="1"/>
  <c r="Q972"/>
  <c r="R973"/>
  <c r="P972"/>
  <c r="Q973"/>
  <c r="R971"/>
  <c r="Q955"/>
  <c r="R956"/>
  <c r="R955"/>
  <c r="P955"/>
  <c r="Q956"/>
  <c r="R957"/>
  <c r="P956"/>
  <c r="Q957"/>
  <c r="P957"/>
  <c r="Q939"/>
  <c r="R940"/>
  <c r="P939"/>
  <c r="Q940"/>
  <c r="R941"/>
  <c r="R939"/>
  <c r="P940"/>
  <c r="Q941"/>
  <c r="P941"/>
  <c r="Q923"/>
  <c r="R924"/>
  <c r="P923"/>
  <c r="Q924"/>
  <c r="R925"/>
  <c r="P925"/>
  <c r="P924"/>
  <c r="Q925"/>
  <c r="R923"/>
  <c r="Q907"/>
  <c r="R908"/>
  <c r="P909"/>
  <c r="P907"/>
  <c r="S907" s="1"/>
  <c r="Q908"/>
  <c r="R909"/>
  <c r="R907"/>
  <c r="P908"/>
  <c r="Q909"/>
  <c r="Q891"/>
  <c r="R892"/>
  <c r="P893"/>
  <c r="P891"/>
  <c r="Q892"/>
  <c r="R893"/>
  <c r="P892"/>
  <c r="Q893"/>
  <c r="R891"/>
  <c r="Q875"/>
  <c r="R876"/>
  <c r="R875"/>
  <c r="P875"/>
  <c r="Q876"/>
  <c r="R877"/>
  <c r="P877"/>
  <c r="P876"/>
  <c r="Q877"/>
  <c r="Q859"/>
  <c r="R860"/>
  <c r="R859"/>
  <c r="P859"/>
  <c r="Q860"/>
  <c r="R861"/>
  <c r="P861"/>
  <c r="P860"/>
  <c r="Q861"/>
  <c r="Q843"/>
  <c r="R844"/>
  <c r="P845"/>
  <c r="P843"/>
  <c r="S843" s="1"/>
  <c r="Q844"/>
  <c r="R845"/>
  <c r="P844"/>
  <c r="Q845"/>
  <c r="R843"/>
  <c r="R827"/>
  <c r="P829"/>
  <c r="Q827"/>
  <c r="Q829"/>
  <c r="P828"/>
  <c r="P827"/>
  <c r="S827" s="1"/>
  <c r="R828"/>
  <c r="Q828"/>
  <c r="R829"/>
  <c r="Q823"/>
  <c r="R824"/>
  <c r="R823"/>
  <c r="Q825"/>
  <c r="P823"/>
  <c r="P825"/>
  <c r="Q824"/>
  <c r="P824"/>
  <c r="R825"/>
  <c r="P819"/>
  <c r="S819" s="1"/>
  <c r="Q820"/>
  <c r="R821"/>
  <c r="R819"/>
  <c r="Q821"/>
  <c r="Q819"/>
  <c r="P821"/>
  <c r="P820"/>
  <c r="R820"/>
  <c r="R763"/>
  <c r="P765"/>
  <c r="Q763"/>
  <c r="Q765"/>
  <c r="P763"/>
  <c r="R764"/>
  <c r="Q764"/>
  <c r="P764"/>
  <c r="R765"/>
  <c r="Q759"/>
  <c r="R760"/>
  <c r="R759"/>
  <c r="Q761"/>
  <c r="P759"/>
  <c r="P761"/>
  <c r="Q760"/>
  <c r="P760"/>
  <c r="R761"/>
  <c r="P755"/>
  <c r="Q756"/>
  <c r="R757"/>
  <c r="R755"/>
  <c r="Q757"/>
  <c r="Q755"/>
  <c r="P757"/>
  <c r="R756"/>
  <c r="P756"/>
  <c r="R659"/>
  <c r="P661"/>
  <c r="Q659"/>
  <c r="R660"/>
  <c r="P659"/>
  <c r="S659" s="1"/>
  <c r="Q660"/>
  <c r="R661"/>
  <c r="Q661"/>
  <c r="P660"/>
  <c r="R595"/>
  <c r="P597"/>
  <c r="Q595"/>
  <c r="R596"/>
  <c r="P595"/>
  <c r="Q596"/>
  <c r="R597"/>
  <c r="Q597"/>
  <c r="P596"/>
  <c r="R531"/>
  <c r="P533"/>
  <c r="Q531"/>
  <c r="R532"/>
  <c r="P531"/>
  <c r="Q532"/>
  <c r="R533"/>
  <c r="Q533"/>
  <c r="P532"/>
  <c r="R467"/>
  <c r="P469"/>
  <c r="Q467"/>
  <c r="R468"/>
  <c r="P467"/>
  <c r="S467" s="1"/>
  <c r="Q468"/>
  <c r="R469"/>
  <c r="Q469"/>
  <c r="P468"/>
  <c r="R399"/>
  <c r="P401"/>
  <c r="P400"/>
  <c r="R401"/>
  <c r="Q399"/>
  <c r="Q401"/>
  <c r="P399"/>
  <c r="R400"/>
  <c r="Q400"/>
  <c r="R199"/>
  <c r="P201"/>
  <c r="Q199"/>
  <c r="R200"/>
  <c r="P199"/>
  <c r="Q200"/>
  <c r="R201"/>
  <c r="Q201"/>
  <c r="P200"/>
  <c r="R1007"/>
  <c r="P1009"/>
  <c r="P1008"/>
  <c r="Q1009"/>
  <c r="Q1007"/>
  <c r="R1008"/>
  <c r="P1007"/>
  <c r="S1007" s="1"/>
  <c r="Q1008"/>
  <c r="R1009"/>
  <c r="R943"/>
  <c r="P945"/>
  <c r="Q943"/>
  <c r="R944"/>
  <c r="P943"/>
  <c r="Q944"/>
  <c r="R945"/>
  <c r="P944"/>
  <c r="Q945"/>
  <c r="R911"/>
  <c r="P913"/>
  <c r="P912"/>
  <c r="Q913"/>
  <c r="Q911"/>
  <c r="R912"/>
  <c r="P911"/>
  <c r="Q912"/>
  <c r="R913"/>
  <c r="R811"/>
  <c r="P813"/>
  <c r="P812"/>
  <c r="R813"/>
  <c r="Q812"/>
  <c r="Q811"/>
  <c r="Q813"/>
  <c r="P811"/>
  <c r="S811" s="1"/>
  <c r="R812"/>
  <c r="P1111"/>
  <c r="Q1112"/>
  <c r="R1113"/>
  <c r="Q1111"/>
  <c r="P1112"/>
  <c r="Q1113"/>
  <c r="R1112"/>
  <c r="R1111"/>
  <c r="P1113"/>
  <c r="P1095"/>
  <c r="Q1096"/>
  <c r="R1097"/>
  <c r="P1096"/>
  <c r="Q1097"/>
  <c r="Q1095"/>
  <c r="R1095"/>
  <c r="P1097"/>
  <c r="R1096"/>
  <c r="P1079"/>
  <c r="S1079" s="1"/>
  <c r="Q1080"/>
  <c r="R1081"/>
  <c r="P1080"/>
  <c r="Q1081"/>
  <c r="R1080"/>
  <c r="R1079"/>
  <c r="P1081"/>
  <c r="Q1079"/>
  <c r="P1063"/>
  <c r="Q1064"/>
  <c r="R1065"/>
  <c r="Q1063"/>
  <c r="P1064"/>
  <c r="Q1065"/>
  <c r="R1063"/>
  <c r="P1065"/>
  <c r="R1064"/>
  <c r="P1047"/>
  <c r="Q1048"/>
  <c r="R1049"/>
  <c r="Q1047"/>
  <c r="P1048"/>
  <c r="Q1049"/>
  <c r="R1047"/>
  <c r="P1049"/>
  <c r="R1048"/>
  <c r="P1031"/>
  <c r="Q1032"/>
  <c r="R1033"/>
  <c r="R1032"/>
  <c r="P1032"/>
  <c r="Q1033"/>
  <c r="Q1031"/>
  <c r="R1031"/>
  <c r="P1033"/>
  <c r="P1015"/>
  <c r="S1015" s="1"/>
  <c r="Q1016"/>
  <c r="R1017"/>
  <c r="Q1015"/>
  <c r="P1016"/>
  <c r="Q1017"/>
  <c r="R1016"/>
  <c r="R1015"/>
  <c r="P1017"/>
  <c r="P999"/>
  <c r="Q1000"/>
  <c r="R1001"/>
  <c r="Q999"/>
  <c r="P1000"/>
  <c r="Q1001"/>
  <c r="R1000"/>
  <c r="R999"/>
  <c r="P1001"/>
  <c r="P983"/>
  <c r="Q984"/>
  <c r="R985"/>
  <c r="Q983"/>
  <c r="P984"/>
  <c r="Q985"/>
  <c r="R983"/>
  <c r="P985"/>
  <c r="R984"/>
  <c r="P967"/>
  <c r="Q968"/>
  <c r="R969"/>
  <c r="P968"/>
  <c r="Q969"/>
  <c r="Q967"/>
  <c r="R967"/>
  <c r="P969"/>
  <c r="R968"/>
  <c r="P951"/>
  <c r="S951" s="1"/>
  <c r="Q952"/>
  <c r="R953"/>
  <c r="P952"/>
  <c r="Q953"/>
  <c r="Q951"/>
  <c r="R951"/>
  <c r="P953"/>
  <c r="R952"/>
  <c r="P935"/>
  <c r="Q936"/>
  <c r="R937"/>
  <c r="P936"/>
  <c r="Q937"/>
  <c r="Q935"/>
  <c r="R935"/>
  <c r="P937"/>
  <c r="R936"/>
  <c r="P919"/>
  <c r="Q920"/>
  <c r="R921"/>
  <c r="P920"/>
  <c r="Q921"/>
  <c r="R920"/>
  <c r="R919"/>
  <c r="P921"/>
  <c r="Q919"/>
  <c r="P903"/>
  <c r="S903" s="1"/>
  <c r="Q904"/>
  <c r="R905"/>
  <c r="R904"/>
  <c r="P904"/>
  <c r="Q905"/>
  <c r="Q903"/>
  <c r="R903"/>
  <c r="P905"/>
  <c r="P887"/>
  <c r="S887" s="1"/>
  <c r="Q888"/>
  <c r="R889"/>
  <c r="Q887"/>
  <c r="P888"/>
  <c r="Q889"/>
  <c r="R887"/>
  <c r="P889"/>
  <c r="R888"/>
  <c r="P871"/>
  <c r="Q872"/>
  <c r="R873"/>
  <c r="Q871"/>
  <c r="P872"/>
  <c r="Q873"/>
  <c r="R872"/>
  <c r="R871"/>
  <c r="P873"/>
  <c r="P855"/>
  <c r="Q856"/>
  <c r="R857"/>
  <c r="Q855"/>
  <c r="P856"/>
  <c r="Q857"/>
  <c r="R856"/>
  <c r="R855"/>
  <c r="P857"/>
  <c r="P839"/>
  <c r="S839" s="1"/>
  <c r="Q840"/>
  <c r="R841"/>
  <c r="Q839"/>
  <c r="P840"/>
  <c r="Q841"/>
  <c r="R839"/>
  <c r="P841"/>
  <c r="R840"/>
  <c r="P835"/>
  <c r="S835" s="1"/>
  <c r="Q836"/>
  <c r="R837"/>
  <c r="Q835"/>
  <c r="P837"/>
  <c r="R836"/>
  <c r="R835"/>
  <c r="P836"/>
  <c r="Q837"/>
  <c r="R779"/>
  <c r="P781"/>
  <c r="P779"/>
  <c r="R780"/>
  <c r="Q780"/>
  <c r="P780"/>
  <c r="R781"/>
  <c r="Q779"/>
  <c r="Q781"/>
  <c r="Q775"/>
  <c r="R776"/>
  <c r="P775"/>
  <c r="P777"/>
  <c r="Q776"/>
  <c r="P776"/>
  <c r="R777"/>
  <c r="R775"/>
  <c r="Q777"/>
  <c r="P771"/>
  <c r="S771" s="1"/>
  <c r="Q772"/>
  <c r="R773"/>
  <c r="Q771"/>
  <c r="P773"/>
  <c r="R772"/>
  <c r="P772"/>
  <c r="R771"/>
  <c r="Q773"/>
  <c r="R715"/>
  <c r="P717"/>
  <c r="P715"/>
  <c r="R716"/>
  <c r="Q716"/>
  <c r="P716"/>
  <c r="R717"/>
  <c r="Q715"/>
  <c r="Q717"/>
  <c r="Q711"/>
  <c r="R712"/>
  <c r="P711"/>
  <c r="P713"/>
  <c r="Q712"/>
  <c r="P712"/>
  <c r="R713"/>
  <c r="R711"/>
  <c r="Q713"/>
  <c r="R707"/>
  <c r="P709"/>
  <c r="Q707"/>
  <c r="R708"/>
  <c r="P707"/>
  <c r="Q708"/>
  <c r="R709"/>
  <c r="P708"/>
  <c r="Q709"/>
  <c r="R643"/>
  <c r="P645"/>
  <c r="Q643"/>
  <c r="R644"/>
  <c r="P643"/>
  <c r="S643" s="1"/>
  <c r="Q644"/>
  <c r="R645"/>
  <c r="P644"/>
  <c r="Q645"/>
  <c r="R579"/>
  <c r="P581"/>
  <c r="Q579"/>
  <c r="R580"/>
  <c r="P579"/>
  <c r="S579" s="1"/>
  <c r="Q580"/>
  <c r="R581"/>
  <c r="P580"/>
  <c r="Q581"/>
  <c r="R515"/>
  <c r="P517"/>
  <c r="Q515"/>
  <c r="R516"/>
  <c r="P515"/>
  <c r="Q516"/>
  <c r="R517"/>
  <c r="P516"/>
  <c r="Q517"/>
  <c r="R451"/>
  <c r="P453"/>
  <c r="Q451"/>
  <c r="R452"/>
  <c r="P451"/>
  <c r="Q452"/>
  <c r="R453"/>
  <c r="P452"/>
  <c r="Q453"/>
  <c r="R391"/>
  <c r="Q391"/>
  <c r="R392"/>
  <c r="P391"/>
  <c r="Q392"/>
  <c r="R393"/>
  <c r="Q393"/>
  <c r="P393"/>
  <c r="P392"/>
  <c r="R135"/>
  <c r="P137"/>
  <c r="Q135"/>
  <c r="R136"/>
  <c r="P135"/>
  <c r="S135" s="1"/>
  <c r="Q136"/>
  <c r="R137"/>
  <c r="Q137"/>
  <c r="P136"/>
  <c r="R991"/>
  <c r="P993"/>
  <c r="Q991"/>
  <c r="R992"/>
  <c r="Q993"/>
  <c r="P991"/>
  <c r="Q992"/>
  <c r="R993"/>
  <c r="P992"/>
  <c r="R959"/>
  <c r="P961"/>
  <c r="Q959"/>
  <c r="R960"/>
  <c r="P959"/>
  <c r="Q960"/>
  <c r="R961"/>
  <c r="P960"/>
  <c r="Q961"/>
  <c r="R879"/>
  <c r="P881"/>
  <c r="Q879"/>
  <c r="R880"/>
  <c r="P880"/>
  <c r="Q881"/>
  <c r="P879"/>
  <c r="Q880"/>
  <c r="R881"/>
  <c r="R863"/>
  <c r="P865"/>
  <c r="Q863"/>
  <c r="R864"/>
  <c r="P864"/>
  <c r="Q865"/>
  <c r="P863"/>
  <c r="Q864"/>
  <c r="R865"/>
  <c r="P1108"/>
  <c r="Q1109"/>
  <c r="P1107"/>
  <c r="S1107" s="1"/>
  <c r="R1107"/>
  <c r="P1109"/>
  <c r="Q1108"/>
  <c r="Q1107"/>
  <c r="R1108"/>
  <c r="R1109"/>
  <c r="P1092"/>
  <c r="Q1093"/>
  <c r="R1093"/>
  <c r="R1091"/>
  <c r="P1093"/>
  <c r="P1091"/>
  <c r="S1091" s="1"/>
  <c r="Q1091"/>
  <c r="R1092"/>
  <c r="Q1092"/>
  <c r="P1076"/>
  <c r="Q1077"/>
  <c r="Q1076"/>
  <c r="R1075"/>
  <c r="P1077"/>
  <c r="R1077"/>
  <c r="Q1075"/>
  <c r="R1076"/>
  <c r="P1075"/>
  <c r="S1075" s="1"/>
  <c r="P1060"/>
  <c r="Q1061"/>
  <c r="P1059"/>
  <c r="R1059"/>
  <c r="P1061"/>
  <c r="R1061"/>
  <c r="Q1059"/>
  <c r="R1060"/>
  <c r="Q1060"/>
  <c r="P1044"/>
  <c r="Q1045"/>
  <c r="P1043"/>
  <c r="S1043" s="1"/>
  <c r="R1043"/>
  <c r="P1045"/>
  <c r="R1045"/>
  <c r="Q1043"/>
  <c r="R1044"/>
  <c r="Q1044"/>
  <c r="P1028"/>
  <c r="Q1029"/>
  <c r="Q1028"/>
  <c r="R1027"/>
  <c r="P1029"/>
  <c r="P1027"/>
  <c r="S1027" s="1"/>
  <c r="Q1027"/>
  <c r="R1028"/>
  <c r="R1029"/>
  <c r="P1012"/>
  <c r="Q1013"/>
  <c r="Q1012"/>
  <c r="R1011"/>
  <c r="P1013"/>
  <c r="R1013"/>
  <c r="Q1011"/>
  <c r="R1012"/>
  <c r="P1011"/>
  <c r="S1011" s="1"/>
  <c r="P996"/>
  <c r="Q997"/>
  <c r="R995"/>
  <c r="P997"/>
  <c r="Q996"/>
  <c r="Q995"/>
  <c r="R996"/>
  <c r="P995"/>
  <c r="S995" s="1"/>
  <c r="R997"/>
  <c r="P980"/>
  <c r="Q981"/>
  <c r="P979"/>
  <c r="S979" s="1"/>
  <c r="R979"/>
  <c r="P981"/>
  <c r="R981"/>
  <c r="Q979"/>
  <c r="R980"/>
  <c r="Q980"/>
  <c r="P964"/>
  <c r="Q965"/>
  <c r="R965"/>
  <c r="R963"/>
  <c r="P965"/>
  <c r="P963"/>
  <c r="S963" s="1"/>
  <c r="Q963"/>
  <c r="R964"/>
  <c r="Q964"/>
  <c r="P948"/>
  <c r="Q949"/>
  <c r="R949"/>
  <c r="R947"/>
  <c r="P949"/>
  <c r="P947"/>
  <c r="Q947"/>
  <c r="R948"/>
  <c r="Q948"/>
  <c r="P932"/>
  <c r="Q933"/>
  <c r="R933"/>
  <c r="R931"/>
  <c r="P933"/>
  <c r="P931"/>
  <c r="Q931"/>
  <c r="R932"/>
  <c r="Q932"/>
  <c r="P916"/>
  <c r="Q917"/>
  <c r="Q916"/>
  <c r="R917"/>
  <c r="R915"/>
  <c r="P917"/>
  <c r="Q915"/>
  <c r="R916"/>
  <c r="P915"/>
  <c r="P900"/>
  <c r="Q901"/>
  <c r="P899"/>
  <c r="R899"/>
  <c r="P901"/>
  <c r="Q900"/>
  <c r="Q899"/>
  <c r="R900"/>
  <c r="R901"/>
  <c r="P884"/>
  <c r="Q885"/>
  <c r="R883"/>
  <c r="P885"/>
  <c r="P883"/>
  <c r="R885"/>
  <c r="Q883"/>
  <c r="R884"/>
  <c r="Q884"/>
  <c r="P868"/>
  <c r="Q869"/>
  <c r="R867"/>
  <c r="P869"/>
  <c r="P867"/>
  <c r="R869"/>
  <c r="Q867"/>
  <c r="R868"/>
  <c r="Q868"/>
  <c r="P852"/>
  <c r="Q853"/>
  <c r="R851"/>
  <c r="P853"/>
  <c r="Q852"/>
  <c r="Q851"/>
  <c r="R852"/>
  <c r="P851"/>
  <c r="S851" s="1"/>
  <c r="R853"/>
  <c r="R795"/>
  <c r="P797"/>
  <c r="Q796"/>
  <c r="P796"/>
  <c r="R797"/>
  <c r="Q795"/>
  <c r="Q797"/>
  <c r="P795"/>
  <c r="R796"/>
  <c r="Q791"/>
  <c r="R792"/>
  <c r="Q792"/>
  <c r="P792"/>
  <c r="R793"/>
  <c r="R791"/>
  <c r="Q793"/>
  <c r="P791"/>
  <c r="P793"/>
  <c r="P787"/>
  <c r="S787" s="1"/>
  <c r="Q788"/>
  <c r="R789"/>
  <c r="R788"/>
  <c r="P788"/>
  <c r="R787"/>
  <c r="Q789"/>
  <c r="Q787"/>
  <c r="P789"/>
  <c r="R731"/>
  <c r="P733"/>
  <c r="Q732"/>
  <c r="P732"/>
  <c r="R733"/>
  <c r="Q731"/>
  <c r="Q733"/>
  <c r="P731"/>
  <c r="S731" s="1"/>
  <c r="R732"/>
  <c r="Q727"/>
  <c r="R728"/>
  <c r="Q728"/>
  <c r="P728"/>
  <c r="R729"/>
  <c r="R727"/>
  <c r="Q729"/>
  <c r="P727"/>
  <c r="P729"/>
  <c r="P723"/>
  <c r="Q724"/>
  <c r="R725"/>
  <c r="R724"/>
  <c r="P724"/>
  <c r="R723"/>
  <c r="Q725"/>
  <c r="Q723"/>
  <c r="P725"/>
  <c r="R691"/>
  <c r="P693"/>
  <c r="Q691"/>
  <c r="R692"/>
  <c r="P691"/>
  <c r="S691" s="1"/>
  <c r="Q692"/>
  <c r="R693"/>
  <c r="Q693"/>
  <c r="P692"/>
  <c r="R627"/>
  <c r="P629"/>
  <c r="Q627"/>
  <c r="R628"/>
  <c r="P627"/>
  <c r="Q628"/>
  <c r="R629"/>
  <c r="P628"/>
  <c r="Q629"/>
  <c r="R563"/>
  <c r="P565"/>
  <c r="Q563"/>
  <c r="R564"/>
  <c r="P563"/>
  <c r="Q564"/>
  <c r="R565"/>
  <c r="Q565"/>
  <c r="P564"/>
  <c r="R499"/>
  <c r="P501"/>
  <c r="Q499"/>
  <c r="R500"/>
  <c r="P499"/>
  <c r="S499" s="1"/>
  <c r="Q500"/>
  <c r="R501"/>
  <c r="Q501"/>
  <c r="P500"/>
  <c r="R435"/>
  <c r="P437"/>
  <c r="Q435"/>
  <c r="R436"/>
  <c r="P435"/>
  <c r="S435" s="1"/>
  <c r="Q436"/>
  <c r="R437"/>
  <c r="Q437"/>
  <c r="P436"/>
  <c r="Q395"/>
  <c r="R396"/>
  <c r="P396"/>
  <c r="R397"/>
  <c r="R395"/>
  <c r="Q397"/>
  <c r="P395"/>
  <c r="S395" s="1"/>
  <c r="P397"/>
  <c r="Q396"/>
  <c r="R327"/>
  <c r="P329"/>
  <c r="Q327"/>
  <c r="R328"/>
  <c r="P327"/>
  <c r="Q328"/>
  <c r="R329"/>
  <c r="Q329"/>
  <c r="P328"/>
  <c r="R71"/>
  <c r="P73"/>
  <c r="Q71"/>
  <c r="R72"/>
  <c r="P71"/>
  <c r="S71" s="1"/>
  <c r="Q72"/>
  <c r="R73"/>
  <c r="Q73"/>
  <c r="P72"/>
  <c r="P832"/>
  <c r="Q833"/>
  <c r="Q831"/>
  <c r="P833"/>
  <c r="R833"/>
  <c r="P831"/>
  <c r="R832"/>
  <c r="Q832"/>
  <c r="R831"/>
  <c r="P816"/>
  <c r="Q817"/>
  <c r="R815"/>
  <c r="R817"/>
  <c r="Q816"/>
  <c r="Q815"/>
  <c r="P817"/>
  <c r="P815"/>
  <c r="S815" s="1"/>
  <c r="R816"/>
  <c r="P800"/>
  <c r="Q801"/>
  <c r="Q800"/>
  <c r="R800"/>
  <c r="R799"/>
  <c r="R801"/>
  <c r="Q799"/>
  <c r="P801"/>
  <c r="P799"/>
  <c r="P784"/>
  <c r="Q785"/>
  <c r="P783"/>
  <c r="R784"/>
  <c r="Q784"/>
  <c r="R783"/>
  <c r="R785"/>
  <c r="Q783"/>
  <c r="P785"/>
  <c r="P768"/>
  <c r="Q769"/>
  <c r="Q767"/>
  <c r="P769"/>
  <c r="P767"/>
  <c r="R768"/>
  <c r="Q768"/>
  <c r="R767"/>
  <c r="R769"/>
  <c r="P752"/>
  <c r="Q753"/>
  <c r="R751"/>
  <c r="R753"/>
  <c r="Q751"/>
  <c r="P753"/>
  <c r="P751"/>
  <c r="S751" s="1"/>
  <c r="R752"/>
  <c r="Q752"/>
  <c r="P736"/>
  <c r="Q737"/>
  <c r="Q736"/>
  <c r="R735"/>
  <c r="R737"/>
  <c r="Q735"/>
  <c r="P737"/>
  <c r="P735"/>
  <c r="R736"/>
  <c r="P720"/>
  <c r="Q721"/>
  <c r="P719"/>
  <c r="R720"/>
  <c r="Q720"/>
  <c r="R719"/>
  <c r="R721"/>
  <c r="Q719"/>
  <c r="P721"/>
  <c r="Q703"/>
  <c r="R704"/>
  <c r="P703"/>
  <c r="Q704"/>
  <c r="R705"/>
  <c r="P704"/>
  <c r="Q705"/>
  <c r="P705"/>
  <c r="R703"/>
  <c r="Q687"/>
  <c r="R688"/>
  <c r="P687"/>
  <c r="S687" s="1"/>
  <c r="Q688"/>
  <c r="R689"/>
  <c r="P688"/>
  <c r="Q689"/>
  <c r="P689"/>
  <c r="R687"/>
  <c r="Q671"/>
  <c r="R672"/>
  <c r="P671"/>
  <c r="S671" s="1"/>
  <c r="Q672"/>
  <c r="R673"/>
  <c r="P672"/>
  <c r="Q673"/>
  <c r="P673"/>
  <c r="R671"/>
  <c r="Q655"/>
  <c r="R656"/>
  <c r="P655"/>
  <c r="Q656"/>
  <c r="R657"/>
  <c r="P656"/>
  <c r="Q657"/>
  <c r="R655"/>
  <c r="P657"/>
  <c r="Q639"/>
  <c r="R640"/>
  <c r="P639"/>
  <c r="Q640"/>
  <c r="R641"/>
  <c r="P640"/>
  <c r="Q641"/>
  <c r="P641"/>
  <c r="R639"/>
  <c r="Q623"/>
  <c r="R624"/>
  <c r="P623"/>
  <c r="S623" s="1"/>
  <c r="Q624"/>
  <c r="R625"/>
  <c r="P624"/>
  <c r="Q625"/>
  <c r="P625"/>
  <c r="R623"/>
  <c r="Q607"/>
  <c r="R608"/>
  <c r="P607"/>
  <c r="S607" s="1"/>
  <c r="Q608"/>
  <c r="R609"/>
  <c r="P608"/>
  <c r="Q609"/>
  <c r="P609"/>
  <c r="R607"/>
  <c r="Q591"/>
  <c r="R592"/>
  <c r="P591"/>
  <c r="Q592"/>
  <c r="R593"/>
  <c r="P592"/>
  <c r="Q593"/>
  <c r="R591"/>
  <c r="P593"/>
  <c r="Q575"/>
  <c r="R576"/>
  <c r="P575"/>
  <c r="Q576"/>
  <c r="R577"/>
  <c r="P576"/>
  <c r="Q577"/>
  <c r="P577"/>
  <c r="R575"/>
  <c r="Q559"/>
  <c r="R560"/>
  <c r="P559"/>
  <c r="S559" s="1"/>
  <c r="Q560"/>
  <c r="R561"/>
  <c r="P560"/>
  <c r="Q561"/>
  <c r="P561"/>
  <c r="R559"/>
  <c r="Q543"/>
  <c r="R544"/>
  <c r="P543"/>
  <c r="S543" s="1"/>
  <c r="Q544"/>
  <c r="R545"/>
  <c r="P544"/>
  <c r="Q545"/>
  <c r="P545"/>
  <c r="R543"/>
  <c r="Q527"/>
  <c r="R528"/>
  <c r="P527"/>
  <c r="Q528"/>
  <c r="R529"/>
  <c r="P528"/>
  <c r="Q529"/>
  <c r="R527"/>
  <c r="P529"/>
  <c r="Q511"/>
  <c r="R512"/>
  <c r="P511"/>
  <c r="Q512"/>
  <c r="R513"/>
  <c r="P512"/>
  <c r="Q513"/>
  <c r="P513"/>
  <c r="R511"/>
  <c r="Q495"/>
  <c r="R496"/>
  <c r="P495"/>
  <c r="S495" s="1"/>
  <c r="Q496"/>
  <c r="R497"/>
  <c r="P496"/>
  <c r="Q497"/>
  <c r="P497"/>
  <c r="R495"/>
  <c r="Q479"/>
  <c r="R480"/>
  <c r="P479"/>
  <c r="S479" s="1"/>
  <c r="Q480"/>
  <c r="R481"/>
  <c r="P480"/>
  <c r="Q481"/>
  <c r="P481"/>
  <c r="R479"/>
  <c r="Q463"/>
  <c r="R464"/>
  <c r="P463"/>
  <c r="Q464"/>
  <c r="R465"/>
  <c r="P464"/>
  <c r="Q465"/>
  <c r="R463"/>
  <c r="P465"/>
  <c r="Q447"/>
  <c r="R448"/>
  <c r="P447"/>
  <c r="Q448"/>
  <c r="R449"/>
  <c r="P448"/>
  <c r="Q449"/>
  <c r="P449"/>
  <c r="R447"/>
  <c r="Q431"/>
  <c r="R432"/>
  <c r="P431"/>
  <c r="S431" s="1"/>
  <c r="Q432"/>
  <c r="R433"/>
  <c r="P432"/>
  <c r="Q433"/>
  <c r="P433"/>
  <c r="R431"/>
  <c r="Q415"/>
  <c r="R416"/>
  <c r="P415"/>
  <c r="S415" s="1"/>
  <c r="Q416"/>
  <c r="R417"/>
  <c r="P416"/>
  <c r="Q417"/>
  <c r="P417"/>
  <c r="R415"/>
  <c r="Q411"/>
  <c r="R412"/>
  <c r="R411"/>
  <c r="Q413"/>
  <c r="P411"/>
  <c r="S411" s="1"/>
  <c r="P413"/>
  <c r="Q412"/>
  <c r="R413"/>
  <c r="P412"/>
  <c r="P407"/>
  <c r="S407" s="1"/>
  <c r="Q408"/>
  <c r="R409"/>
  <c r="R407"/>
  <c r="Q409"/>
  <c r="Q407"/>
  <c r="P409"/>
  <c r="R408"/>
  <c r="P408"/>
  <c r="R375"/>
  <c r="P377"/>
  <c r="Q375"/>
  <c r="R376"/>
  <c r="P375"/>
  <c r="Q376"/>
  <c r="R377"/>
  <c r="Q377"/>
  <c r="P376"/>
  <c r="R311"/>
  <c r="P313"/>
  <c r="Q311"/>
  <c r="R312"/>
  <c r="P311"/>
  <c r="Q312"/>
  <c r="R313"/>
  <c r="Q313"/>
  <c r="P312"/>
  <c r="R247"/>
  <c r="P249"/>
  <c r="Q247"/>
  <c r="R248"/>
  <c r="P247"/>
  <c r="S247" s="1"/>
  <c r="Q248"/>
  <c r="R249"/>
  <c r="Q249"/>
  <c r="P248"/>
  <c r="R183"/>
  <c r="P185"/>
  <c r="Q183"/>
  <c r="R184"/>
  <c r="P183"/>
  <c r="S183" s="1"/>
  <c r="Q184"/>
  <c r="R185"/>
  <c r="Q185"/>
  <c r="P184"/>
  <c r="R119"/>
  <c r="P121"/>
  <c r="Q119"/>
  <c r="R120"/>
  <c r="P119"/>
  <c r="Q120"/>
  <c r="R121"/>
  <c r="Q121"/>
  <c r="P120"/>
  <c r="R55"/>
  <c r="P57"/>
  <c r="Q55"/>
  <c r="R56"/>
  <c r="P55"/>
  <c r="Q56"/>
  <c r="R57"/>
  <c r="Q57"/>
  <c r="P56"/>
  <c r="P699"/>
  <c r="S699" s="1"/>
  <c r="Q700"/>
  <c r="R701"/>
  <c r="P700"/>
  <c r="Q701"/>
  <c r="R699"/>
  <c r="P701"/>
  <c r="R700"/>
  <c r="Q699"/>
  <c r="P683"/>
  <c r="S683" s="1"/>
  <c r="Q684"/>
  <c r="R685"/>
  <c r="P684"/>
  <c r="Q685"/>
  <c r="R683"/>
  <c r="P685"/>
  <c r="R684"/>
  <c r="Q683"/>
  <c r="P667"/>
  <c r="Q668"/>
  <c r="R669"/>
  <c r="P668"/>
  <c r="Q669"/>
  <c r="R667"/>
  <c r="P669"/>
  <c r="Q667"/>
  <c r="R668"/>
  <c r="P651"/>
  <c r="Q652"/>
  <c r="R653"/>
  <c r="P652"/>
  <c r="Q653"/>
  <c r="R651"/>
  <c r="P653"/>
  <c r="R652"/>
  <c r="Q651"/>
  <c r="P635"/>
  <c r="S635" s="1"/>
  <c r="Q636"/>
  <c r="R637"/>
  <c r="P636"/>
  <c r="Q637"/>
  <c r="R635"/>
  <c r="P637"/>
  <c r="R636"/>
  <c r="Q635"/>
  <c r="P619"/>
  <c r="S619" s="1"/>
  <c r="Q620"/>
  <c r="R621"/>
  <c r="P620"/>
  <c r="Q621"/>
  <c r="R619"/>
  <c r="P621"/>
  <c r="R620"/>
  <c r="Q619"/>
  <c r="P603"/>
  <c r="Q604"/>
  <c r="R605"/>
  <c r="P604"/>
  <c r="Q605"/>
  <c r="R603"/>
  <c r="P605"/>
  <c r="Q603"/>
  <c r="R604"/>
  <c r="P587"/>
  <c r="Q588"/>
  <c r="R589"/>
  <c r="P588"/>
  <c r="Q589"/>
  <c r="R587"/>
  <c r="P589"/>
  <c r="R588"/>
  <c r="Q587"/>
  <c r="P571"/>
  <c r="S571" s="1"/>
  <c r="Q572"/>
  <c r="R573"/>
  <c r="P572"/>
  <c r="Q573"/>
  <c r="R571"/>
  <c r="P573"/>
  <c r="R572"/>
  <c r="Q571"/>
  <c r="P555"/>
  <c r="S555" s="1"/>
  <c r="Q556"/>
  <c r="R557"/>
  <c r="P556"/>
  <c r="Q557"/>
  <c r="R555"/>
  <c r="P557"/>
  <c r="R556"/>
  <c r="Q555"/>
  <c r="P539"/>
  <c r="Q540"/>
  <c r="R541"/>
  <c r="P540"/>
  <c r="Q541"/>
  <c r="R539"/>
  <c r="P541"/>
  <c r="Q539"/>
  <c r="R540"/>
  <c r="P523"/>
  <c r="Q524"/>
  <c r="R525"/>
  <c r="P524"/>
  <c r="Q525"/>
  <c r="R523"/>
  <c r="P525"/>
  <c r="R524"/>
  <c r="Q523"/>
  <c r="P507"/>
  <c r="S507" s="1"/>
  <c r="Q508"/>
  <c r="R509"/>
  <c r="P508"/>
  <c r="Q509"/>
  <c r="R507"/>
  <c r="P509"/>
  <c r="R508"/>
  <c r="Q507"/>
  <c r="P491"/>
  <c r="S491" s="1"/>
  <c r="Q492"/>
  <c r="R493"/>
  <c r="P492"/>
  <c r="Q493"/>
  <c r="R491"/>
  <c r="P493"/>
  <c r="R492"/>
  <c r="Q491"/>
  <c r="P475"/>
  <c r="Q476"/>
  <c r="R477"/>
  <c r="P476"/>
  <c r="Q477"/>
  <c r="R475"/>
  <c r="P477"/>
  <c r="Q475"/>
  <c r="R476"/>
  <c r="P459"/>
  <c r="Q460"/>
  <c r="R461"/>
  <c r="P460"/>
  <c r="Q461"/>
  <c r="R459"/>
  <c r="P461"/>
  <c r="R460"/>
  <c r="Q459"/>
  <c r="P443"/>
  <c r="S443" s="1"/>
  <c r="Q444"/>
  <c r="R445"/>
  <c r="P444"/>
  <c r="Q445"/>
  <c r="R443"/>
  <c r="P445"/>
  <c r="R444"/>
  <c r="Q443"/>
  <c r="P427"/>
  <c r="S427" s="1"/>
  <c r="Q428"/>
  <c r="R429"/>
  <c r="P428"/>
  <c r="Q429"/>
  <c r="R427"/>
  <c r="P429"/>
  <c r="R428"/>
  <c r="Q427"/>
  <c r="R359"/>
  <c r="P361"/>
  <c r="Q359"/>
  <c r="R360"/>
  <c r="P359"/>
  <c r="Q360"/>
  <c r="R361"/>
  <c r="P360"/>
  <c r="Q361"/>
  <c r="R295"/>
  <c r="P297"/>
  <c r="Q295"/>
  <c r="R296"/>
  <c r="P295"/>
  <c r="Q296"/>
  <c r="R297"/>
  <c r="P296"/>
  <c r="Q297"/>
  <c r="R231"/>
  <c r="P233"/>
  <c r="Q231"/>
  <c r="R232"/>
  <c r="P231"/>
  <c r="S231" s="1"/>
  <c r="Q232"/>
  <c r="R233"/>
  <c r="P232"/>
  <c r="Q233"/>
  <c r="R167"/>
  <c r="P169"/>
  <c r="Q167"/>
  <c r="R168"/>
  <c r="P167"/>
  <c r="S167" s="1"/>
  <c r="Q168"/>
  <c r="R169"/>
  <c r="P168"/>
  <c r="Q169"/>
  <c r="R103"/>
  <c r="P105"/>
  <c r="Q103"/>
  <c r="R104"/>
  <c r="P103"/>
  <c r="Q104"/>
  <c r="R105"/>
  <c r="P104"/>
  <c r="Q105"/>
  <c r="R39"/>
  <c r="P41"/>
  <c r="Q39"/>
  <c r="R40"/>
  <c r="P39"/>
  <c r="Q40"/>
  <c r="R41"/>
  <c r="P40"/>
  <c r="Q41"/>
  <c r="P696"/>
  <c r="Q697"/>
  <c r="R695"/>
  <c r="P697"/>
  <c r="Q695"/>
  <c r="R696"/>
  <c r="Q696"/>
  <c r="P695"/>
  <c r="R697"/>
  <c r="P680"/>
  <c r="Q681"/>
  <c r="R679"/>
  <c r="P681"/>
  <c r="Q679"/>
  <c r="R680"/>
  <c r="P679"/>
  <c r="R681"/>
  <c r="Q680"/>
  <c r="P664"/>
  <c r="Q665"/>
  <c r="R663"/>
  <c r="P665"/>
  <c r="Q663"/>
  <c r="R664"/>
  <c r="R665"/>
  <c r="Q664"/>
  <c r="P663"/>
  <c r="P648"/>
  <c r="Q649"/>
  <c r="R647"/>
  <c r="P649"/>
  <c r="Q647"/>
  <c r="R648"/>
  <c r="R649"/>
  <c r="Q648"/>
  <c r="P647"/>
  <c r="P632"/>
  <c r="Q633"/>
  <c r="R631"/>
  <c r="P633"/>
  <c r="Q631"/>
  <c r="R632"/>
  <c r="Q632"/>
  <c r="R633"/>
  <c r="P631"/>
  <c r="S631" s="1"/>
  <c r="P616"/>
  <c r="Q617"/>
  <c r="R615"/>
  <c r="P617"/>
  <c r="Q615"/>
  <c r="R616"/>
  <c r="P615"/>
  <c r="R617"/>
  <c r="Q616"/>
  <c r="P600"/>
  <c r="Q601"/>
  <c r="R599"/>
  <c r="P601"/>
  <c r="Q599"/>
  <c r="R600"/>
  <c r="R601"/>
  <c r="Q600"/>
  <c r="P599"/>
  <c r="P584"/>
  <c r="Q585"/>
  <c r="R583"/>
  <c r="P585"/>
  <c r="Q583"/>
  <c r="R584"/>
  <c r="R585"/>
  <c r="Q584"/>
  <c r="P583"/>
  <c r="P568"/>
  <c r="Q569"/>
  <c r="R567"/>
  <c r="P569"/>
  <c r="Q567"/>
  <c r="R568"/>
  <c r="Q568"/>
  <c r="P567"/>
  <c r="R569"/>
  <c r="P552"/>
  <c r="Q553"/>
  <c r="R551"/>
  <c r="P553"/>
  <c r="Q551"/>
  <c r="R552"/>
  <c r="P551"/>
  <c r="R553"/>
  <c r="Q552"/>
  <c r="P536"/>
  <c r="Q537"/>
  <c r="R535"/>
  <c r="P537"/>
  <c r="Q535"/>
  <c r="R536"/>
  <c r="R537"/>
  <c r="Q536"/>
  <c r="P535"/>
  <c r="P520"/>
  <c r="Q521"/>
  <c r="R519"/>
  <c r="P521"/>
  <c r="Q519"/>
  <c r="R520"/>
  <c r="R521"/>
  <c r="Q520"/>
  <c r="P519"/>
  <c r="P504"/>
  <c r="Q505"/>
  <c r="R503"/>
  <c r="P505"/>
  <c r="Q503"/>
  <c r="R504"/>
  <c r="Q504"/>
  <c r="P503"/>
  <c r="R505"/>
  <c r="P488"/>
  <c r="Q489"/>
  <c r="R487"/>
  <c r="P489"/>
  <c r="Q487"/>
  <c r="R488"/>
  <c r="P487"/>
  <c r="R489"/>
  <c r="Q488"/>
  <c r="P472"/>
  <c r="Q473"/>
  <c r="R471"/>
  <c r="P473"/>
  <c r="Q471"/>
  <c r="R472"/>
  <c r="R473"/>
  <c r="Q472"/>
  <c r="P471"/>
  <c r="P456"/>
  <c r="Q457"/>
  <c r="R455"/>
  <c r="P457"/>
  <c r="Q455"/>
  <c r="R456"/>
  <c r="R457"/>
  <c r="Q456"/>
  <c r="P455"/>
  <c r="P440"/>
  <c r="Q441"/>
  <c r="R439"/>
  <c r="P441"/>
  <c r="Q439"/>
  <c r="R440"/>
  <c r="Q440"/>
  <c r="P439"/>
  <c r="R441"/>
  <c r="P424"/>
  <c r="Q425"/>
  <c r="R423"/>
  <c r="P425"/>
  <c r="Q423"/>
  <c r="R424"/>
  <c r="P423"/>
  <c r="R425"/>
  <c r="Q424"/>
  <c r="R343"/>
  <c r="P345"/>
  <c r="Q343"/>
  <c r="R344"/>
  <c r="P343"/>
  <c r="Q344"/>
  <c r="R345"/>
  <c r="Q345"/>
  <c r="P344"/>
  <c r="R279"/>
  <c r="P281"/>
  <c r="Q279"/>
  <c r="R280"/>
  <c r="P279"/>
  <c r="Q280"/>
  <c r="R281"/>
  <c r="Q281"/>
  <c r="P280"/>
  <c r="R215"/>
  <c r="P217"/>
  <c r="Q215"/>
  <c r="R216"/>
  <c r="P215"/>
  <c r="S215" s="1"/>
  <c r="Q216"/>
  <c r="R217"/>
  <c r="Q217"/>
  <c r="P216"/>
  <c r="R151"/>
  <c r="P153"/>
  <c r="Q151"/>
  <c r="R152"/>
  <c r="P151"/>
  <c r="S151" s="1"/>
  <c r="Q152"/>
  <c r="R153"/>
  <c r="Q153"/>
  <c r="P152"/>
  <c r="R87"/>
  <c r="P89"/>
  <c r="Q87"/>
  <c r="R88"/>
  <c r="P87"/>
  <c r="Q88"/>
  <c r="R89"/>
  <c r="Q89"/>
  <c r="P88"/>
  <c r="R23"/>
  <c r="P25"/>
  <c r="Q23"/>
  <c r="R24"/>
  <c r="P23"/>
  <c r="Q24"/>
  <c r="R25"/>
  <c r="Q25"/>
  <c r="P24"/>
  <c r="P404"/>
  <c r="Q405"/>
  <c r="R403"/>
  <c r="R405"/>
  <c r="Q403"/>
  <c r="P405"/>
  <c r="P403"/>
  <c r="R404"/>
  <c r="Q404"/>
  <c r="Q387"/>
  <c r="R388"/>
  <c r="P387"/>
  <c r="Q388"/>
  <c r="R389"/>
  <c r="P388"/>
  <c r="Q389"/>
  <c r="P389"/>
  <c r="R387"/>
  <c r="Q371"/>
  <c r="R372"/>
  <c r="P371"/>
  <c r="S371" s="1"/>
  <c r="Q372"/>
  <c r="R373"/>
  <c r="P372"/>
  <c r="Q373"/>
  <c r="R371"/>
  <c r="P373"/>
  <c r="Q355"/>
  <c r="R356"/>
  <c r="P355"/>
  <c r="S355" s="1"/>
  <c r="Q356"/>
  <c r="R357"/>
  <c r="P356"/>
  <c r="Q357"/>
  <c r="P357"/>
  <c r="R355"/>
  <c r="Q339"/>
  <c r="R340"/>
  <c r="P339"/>
  <c r="Q340"/>
  <c r="R341"/>
  <c r="P340"/>
  <c r="Q341"/>
  <c r="P341"/>
  <c r="R339"/>
  <c r="Q323"/>
  <c r="R324"/>
  <c r="P323"/>
  <c r="Q324"/>
  <c r="R325"/>
  <c r="P324"/>
  <c r="Q325"/>
  <c r="P325"/>
  <c r="R323"/>
  <c r="Q307"/>
  <c r="R308"/>
  <c r="P307"/>
  <c r="S307" s="1"/>
  <c r="Q308"/>
  <c r="R309"/>
  <c r="P308"/>
  <c r="Q309"/>
  <c r="R307"/>
  <c r="P309"/>
  <c r="Q291"/>
  <c r="R292"/>
  <c r="P291"/>
  <c r="S291" s="1"/>
  <c r="Q292"/>
  <c r="R293"/>
  <c r="P292"/>
  <c r="Q293"/>
  <c r="P293"/>
  <c r="R291"/>
  <c r="Q275"/>
  <c r="R276"/>
  <c r="P275"/>
  <c r="Q276"/>
  <c r="R277"/>
  <c r="P276"/>
  <c r="Q277"/>
  <c r="P277"/>
  <c r="R275"/>
  <c r="Q259"/>
  <c r="R260"/>
  <c r="P259"/>
  <c r="Q260"/>
  <c r="R261"/>
  <c r="P260"/>
  <c r="Q261"/>
  <c r="P261"/>
  <c r="R259"/>
  <c r="Q243"/>
  <c r="R244"/>
  <c r="P243"/>
  <c r="S243" s="1"/>
  <c r="Q244"/>
  <c r="R245"/>
  <c r="P244"/>
  <c r="Q245"/>
  <c r="R243"/>
  <c r="P245"/>
  <c r="Q227"/>
  <c r="R228"/>
  <c r="P227"/>
  <c r="S227" s="1"/>
  <c r="Q228"/>
  <c r="R229"/>
  <c r="P228"/>
  <c r="Q229"/>
  <c r="P229"/>
  <c r="R227"/>
  <c r="Q211"/>
  <c r="R212"/>
  <c r="P211"/>
  <c r="Q212"/>
  <c r="R213"/>
  <c r="P212"/>
  <c r="Q213"/>
  <c r="P213"/>
  <c r="R211"/>
  <c r="Q195"/>
  <c r="R196"/>
  <c r="P195"/>
  <c r="Q196"/>
  <c r="R197"/>
  <c r="P196"/>
  <c r="Q197"/>
  <c r="P197"/>
  <c r="R195"/>
  <c r="Q179"/>
  <c r="R180"/>
  <c r="P179"/>
  <c r="S179" s="1"/>
  <c r="Q180"/>
  <c r="R181"/>
  <c r="P180"/>
  <c r="Q181"/>
  <c r="R179"/>
  <c r="P181"/>
  <c r="Q163"/>
  <c r="R164"/>
  <c r="P163"/>
  <c r="S163" s="1"/>
  <c r="Q164"/>
  <c r="R165"/>
  <c r="P164"/>
  <c r="Q165"/>
  <c r="P165"/>
  <c r="R163"/>
  <c r="Q147"/>
  <c r="R148"/>
  <c r="P147"/>
  <c r="Q148"/>
  <c r="R149"/>
  <c r="P148"/>
  <c r="Q149"/>
  <c r="P149"/>
  <c r="R147"/>
  <c r="Q131"/>
  <c r="R132"/>
  <c r="P131"/>
  <c r="Q132"/>
  <c r="R133"/>
  <c r="P132"/>
  <c r="Q133"/>
  <c r="P133"/>
  <c r="R131"/>
  <c r="Q115"/>
  <c r="R116"/>
  <c r="P115"/>
  <c r="S115" s="1"/>
  <c r="Q116"/>
  <c r="R117"/>
  <c r="P116"/>
  <c r="Q117"/>
  <c r="R115"/>
  <c r="P117"/>
  <c r="Q99"/>
  <c r="R100"/>
  <c r="P99"/>
  <c r="S99" s="1"/>
  <c r="Q100"/>
  <c r="R101"/>
  <c r="P100"/>
  <c r="Q101"/>
  <c r="P101"/>
  <c r="R99"/>
  <c r="Q83"/>
  <c r="R84"/>
  <c r="P83"/>
  <c r="Q84"/>
  <c r="R85"/>
  <c r="P84"/>
  <c r="Q85"/>
  <c r="P85"/>
  <c r="R83"/>
  <c r="Q67"/>
  <c r="R68"/>
  <c r="P67"/>
  <c r="Q68"/>
  <c r="R69"/>
  <c r="P68"/>
  <c r="Q69"/>
  <c r="P69"/>
  <c r="R67"/>
  <c r="Q51"/>
  <c r="R52"/>
  <c r="P51"/>
  <c r="S51" s="1"/>
  <c r="Q52"/>
  <c r="R53"/>
  <c r="P52"/>
  <c r="Q53"/>
  <c r="R51"/>
  <c r="P53"/>
  <c r="Q35"/>
  <c r="R36"/>
  <c r="P35"/>
  <c r="S35" s="1"/>
  <c r="Q36"/>
  <c r="R37"/>
  <c r="P36"/>
  <c r="Q37"/>
  <c r="P37"/>
  <c r="R35"/>
  <c r="Q19"/>
  <c r="R20"/>
  <c r="P19"/>
  <c r="Q20"/>
  <c r="R21"/>
  <c r="P20"/>
  <c r="Q21"/>
  <c r="P21"/>
  <c r="R19"/>
  <c r="P383"/>
  <c r="S383" s="1"/>
  <c r="Q384"/>
  <c r="R385"/>
  <c r="P384"/>
  <c r="Q385"/>
  <c r="R383"/>
  <c r="P385"/>
  <c r="Q383"/>
  <c r="R384"/>
  <c r="P367"/>
  <c r="Q368"/>
  <c r="R369"/>
  <c r="P368"/>
  <c r="Q369"/>
  <c r="R367"/>
  <c r="P369"/>
  <c r="R368"/>
  <c r="Q367"/>
  <c r="P351"/>
  <c r="Q352"/>
  <c r="R353"/>
  <c r="P352"/>
  <c r="Q353"/>
  <c r="R351"/>
  <c r="P353"/>
  <c r="R352"/>
  <c r="Q351"/>
  <c r="P335"/>
  <c r="Q336"/>
  <c r="R337"/>
  <c r="P336"/>
  <c r="Q337"/>
  <c r="R335"/>
  <c r="P337"/>
  <c r="R336"/>
  <c r="Q335"/>
  <c r="P319"/>
  <c r="S319" s="1"/>
  <c r="Q320"/>
  <c r="R321"/>
  <c r="P320"/>
  <c r="Q321"/>
  <c r="R319"/>
  <c r="P321"/>
  <c r="Q319"/>
  <c r="R320"/>
  <c r="P303"/>
  <c r="Q304"/>
  <c r="R305"/>
  <c r="P304"/>
  <c r="Q305"/>
  <c r="R303"/>
  <c r="P305"/>
  <c r="R304"/>
  <c r="Q303"/>
  <c r="P287"/>
  <c r="Q288"/>
  <c r="R289"/>
  <c r="P288"/>
  <c r="Q289"/>
  <c r="R287"/>
  <c r="P289"/>
  <c r="R288"/>
  <c r="Q287"/>
  <c r="P271"/>
  <c r="Q272"/>
  <c r="R273"/>
  <c r="P272"/>
  <c r="Q273"/>
  <c r="R271"/>
  <c r="P273"/>
  <c r="R272"/>
  <c r="Q271"/>
  <c r="P255"/>
  <c r="S255" s="1"/>
  <c r="Q256"/>
  <c r="R257"/>
  <c r="P256"/>
  <c r="Q257"/>
  <c r="R255"/>
  <c r="P257"/>
  <c r="Q255"/>
  <c r="R256"/>
  <c r="P239"/>
  <c r="Q240"/>
  <c r="R241"/>
  <c r="P240"/>
  <c r="Q241"/>
  <c r="R239"/>
  <c r="P241"/>
  <c r="R240"/>
  <c r="Q239"/>
  <c r="P223"/>
  <c r="Q224"/>
  <c r="R225"/>
  <c r="P224"/>
  <c r="Q225"/>
  <c r="R223"/>
  <c r="P225"/>
  <c r="R224"/>
  <c r="Q223"/>
  <c r="P207"/>
  <c r="Q208"/>
  <c r="R209"/>
  <c r="P208"/>
  <c r="Q209"/>
  <c r="R207"/>
  <c r="P209"/>
  <c r="R208"/>
  <c r="Q207"/>
  <c r="P191"/>
  <c r="S191" s="1"/>
  <c r="Q192"/>
  <c r="R193"/>
  <c r="P192"/>
  <c r="Q193"/>
  <c r="R191"/>
  <c r="P193"/>
  <c r="Q191"/>
  <c r="R192"/>
  <c r="P175"/>
  <c r="Q176"/>
  <c r="R177"/>
  <c r="P176"/>
  <c r="Q177"/>
  <c r="R175"/>
  <c r="P177"/>
  <c r="R176"/>
  <c r="Q175"/>
  <c r="P159"/>
  <c r="Q160"/>
  <c r="R161"/>
  <c r="P160"/>
  <c r="Q161"/>
  <c r="R159"/>
  <c r="P161"/>
  <c r="R160"/>
  <c r="Q159"/>
  <c r="P143"/>
  <c r="Q144"/>
  <c r="R145"/>
  <c r="P144"/>
  <c r="Q145"/>
  <c r="R143"/>
  <c r="P145"/>
  <c r="R144"/>
  <c r="Q143"/>
  <c r="P127"/>
  <c r="S127" s="1"/>
  <c r="Q128"/>
  <c r="R129"/>
  <c r="P128"/>
  <c r="Q129"/>
  <c r="R127"/>
  <c r="P129"/>
  <c r="Q127"/>
  <c r="R128"/>
  <c r="P111"/>
  <c r="Q112"/>
  <c r="R113"/>
  <c r="P112"/>
  <c r="Q113"/>
  <c r="R111"/>
  <c r="P113"/>
  <c r="R112"/>
  <c r="Q111"/>
  <c r="P95"/>
  <c r="Q96"/>
  <c r="R97"/>
  <c r="P96"/>
  <c r="Q97"/>
  <c r="R95"/>
  <c r="P97"/>
  <c r="R96"/>
  <c r="Q95"/>
  <c r="P79"/>
  <c r="Q80"/>
  <c r="R81"/>
  <c r="P80"/>
  <c r="Q81"/>
  <c r="R79"/>
  <c r="P81"/>
  <c r="R80"/>
  <c r="Q79"/>
  <c r="P63"/>
  <c r="S63" s="1"/>
  <c r="Q64"/>
  <c r="R65"/>
  <c r="P64"/>
  <c r="Q65"/>
  <c r="R63"/>
  <c r="P65"/>
  <c r="Q63"/>
  <c r="R64"/>
  <c r="P47"/>
  <c r="Q48"/>
  <c r="R49"/>
  <c r="P48"/>
  <c r="Q49"/>
  <c r="R47"/>
  <c r="P49"/>
  <c r="R48"/>
  <c r="Q47"/>
  <c r="P31"/>
  <c r="Q32"/>
  <c r="R33"/>
  <c r="P32"/>
  <c r="Q33"/>
  <c r="R31"/>
  <c r="P33"/>
  <c r="R32"/>
  <c r="Q31"/>
  <c r="P15"/>
  <c r="Q16"/>
  <c r="R17"/>
  <c r="P16"/>
  <c r="Q17"/>
  <c r="R15"/>
  <c r="P17"/>
  <c r="R16"/>
  <c r="Q15"/>
  <c r="P380"/>
  <c r="Q381"/>
  <c r="R379"/>
  <c r="P381"/>
  <c r="Q379"/>
  <c r="R380"/>
  <c r="R381"/>
  <c r="Q380"/>
  <c r="P379"/>
  <c r="S379" s="1"/>
  <c r="P364"/>
  <c r="Q365"/>
  <c r="R363"/>
  <c r="P365"/>
  <c r="Q363"/>
  <c r="R364"/>
  <c r="R365"/>
  <c r="Q364"/>
  <c r="P363"/>
  <c r="P348"/>
  <c r="Q349"/>
  <c r="R347"/>
  <c r="P349"/>
  <c r="Q347"/>
  <c r="R348"/>
  <c r="Q348"/>
  <c r="P347"/>
  <c r="R349"/>
  <c r="P332"/>
  <c r="Q333"/>
  <c r="R331"/>
  <c r="P333"/>
  <c r="Q331"/>
  <c r="R332"/>
  <c r="P331"/>
  <c r="R333"/>
  <c r="Q332"/>
  <c r="P316"/>
  <c r="Q317"/>
  <c r="R315"/>
  <c r="P317"/>
  <c r="Q315"/>
  <c r="R316"/>
  <c r="R317"/>
  <c r="Q316"/>
  <c r="P315"/>
  <c r="S315" s="1"/>
  <c r="P300"/>
  <c r="Q301"/>
  <c r="R299"/>
  <c r="P301"/>
  <c r="Q299"/>
  <c r="R300"/>
  <c r="R301"/>
  <c r="Q300"/>
  <c r="P299"/>
  <c r="P284"/>
  <c r="Q285"/>
  <c r="R283"/>
  <c r="P285"/>
  <c r="Q283"/>
  <c r="R284"/>
  <c r="Q284"/>
  <c r="P283"/>
  <c r="R285"/>
  <c r="P268"/>
  <c r="Q269"/>
  <c r="R267"/>
  <c r="P269"/>
  <c r="Q267"/>
  <c r="R268"/>
  <c r="P267"/>
  <c r="R269"/>
  <c r="Q268"/>
  <c r="P252"/>
  <c r="Q253"/>
  <c r="R251"/>
  <c r="P253"/>
  <c r="Q251"/>
  <c r="R252"/>
  <c r="R253"/>
  <c r="Q252"/>
  <c r="P251"/>
  <c r="S251" s="1"/>
  <c r="P236"/>
  <c r="Q237"/>
  <c r="R235"/>
  <c r="P237"/>
  <c r="Q235"/>
  <c r="R236"/>
  <c r="R237"/>
  <c r="Q236"/>
  <c r="P235"/>
  <c r="P220"/>
  <c r="Q221"/>
  <c r="R219"/>
  <c r="P221"/>
  <c r="Q219"/>
  <c r="R220"/>
  <c r="Q220"/>
  <c r="P219"/>
  <c r="R221"/>
  <c r="P204"/>
  <c r="Q205"/>
  <c r="R203"/>
  <c r="P205"/>
  <c r="Q203"/>
  <c r="R204"/>
  <c r="P203"/>
  <c r="R205"/>
  <c r="Q204"/>
  <c r="P188"/>
  <c r="Q189"/>
  <c r="R187"/>
  <c r="P189"/>
  <c r="Q187"/>
  <c r="R188"/>
  <c r="R189"/>
  <c r="Q188"/>
  <c r="P187"/>
  <c r="S187" s="1"/>
  <c r="P172"/>
  <c r="Q173"/>
  <c r="R171"/>
  <c r="P173"/>
  <c r="Q171"/>
  <c r="R172"/>
  <c r="R173"/>
  <c r="Q172"/>
  <c r="P171"/>
  <c r="P156"/>
  <c r="Q157"/>
  <c r="R155"/>
  <c r="P157"/>
  <c r="Q155"/>
  <c r="R156"/>
  <c r="Q156"/>
  <c r="P155"/>
  <c r="R157"/>
  <c r="P140"/>
  <c r="Q141"/>
  <c r="R139"/>
  <c r="P141"/>
  <c r="Q139"/>
  <c r="R140"/>
  <c r="P139"/>
  <c r="R141"/>
  <c r="Q140"/>
  <c r="P124"/>
  <c r="Q125"/>
  <c r="R123"/>
  <c r="P125"/>
  <c r="Q123"/>
  <c r="R124"/>
  <c r="R125"/>
  <c r="Q124"/>
  <c r="P123"/>
  <c r="S123" s="1"/>
  <c r="P108"/>
  <c r="Q109"/>
  <c r="R107"/>
  <c r="P109"/>
  <c r="Q107"/>
  <c r="R108"/>
  <c r="R109"/>
  <c r="Q108"/>
  <c r="P107"/>
  <c r="P92"/>
  <c r="Q93"/>
  <c r="R91"/>
  <c r="P93"/>
  <c r="Q91"/>
  <c r="R92"/>
  <c r="Q92"/>
  <c r="P91"/>
  <c r="R93"/>
  <c r="P76"/>
  <c r="Q77"/>
  <c r="R75"/>
  <c r="P77"/>
  <c r="Q75"/>
  <c r="R76"/>
  <c r="P75"/>
  <c r="R77"/>
  <c r="Q76"/>
  <c r="P60"/>
  <c r="Q61"/>
  <c r="R59"/>
  <c r="P61"/>
  <c r="Q59"/>
  <c r="R60"/>
  <c r="R61"/>
  <c r="Q60"/>
  <c r="P59"/>
  <c r="S59" s="1"/>
  <c r="P44"/>
  <c r="Q45"/>
  <c r="R43"/>
  <c r="P45"/>
  <c r="Q43"/>
  <c r="R44"/>
  <c r="R45"/>
  <c r="Q44"/>
  <c r="P43"/>
  <c r="P28"/>
  <c r="Q29"/>
  <c r="R27"/>
  <c r="P29"/>
  <c r="Q27"/>
  <c r="R28"/>
  <c r="Q28"/>
  <c r="P27"/>
  <c r="R29"/>
  <c r="P12"/>
  <c r="Q13"/>
  <c r="R11"/>
  <c r="P13"/>
  <c r="Q11"/>
  <c r="R12"/>
  <c r="P11"/>
  <c r="R13"/>
  <c r="Q12"/>
  <c r="Q3"/>
  <c r="R4"/>
  <c r="P3"/>
  <c r="Q4"/>
  <c r="R5"/>
  <c r="P4"/>
  <c r="Q5"/>
  <c r="R3"/>
  <c r="P5"/>
  <c r="M967" i="6"/>
  <c r="N968"/>
  <c r="O969"/>
  <c r="M968"/>
  <c r="M969"/>
  <c r="O967"/>
  <c r="N969"/>
  <c r="N967"/>
  <c r="O968"/>
  <c r="O963"/>
  <c r="M965"/>
  <c r="M964"/>
  <c r="O965"/>
  <c r="O964"/>
  <c r="N963"/>
  <c r="N965"/>
  <c r="M963"/>
  <c r="N964"/>
  <c r="M935"/>
  <c r="N936"/>
  <c r="O937"/>
  <c r="M936"/>
  <c r="N935"/>
  <c r="M937"/>
  <c r="O935"/>
  <c r="N937"/>
  <c r="O936"/>
  <c r="O931"/>
  <c r="M933"/>
  <c r="M932"/>
  <c r="O933"/>
  <c r="N931"/>
  <c r="N933"/>
  <c r="M931"/>
  <c r="O932"/>
  <c r="N932"/>
  <c r="M603"/>
  <c r="N604"/>
  <c r="O605"/>
  <c r="O603"/>
  <c r="N605"/>
  <c r="N603"/>
  <c r="M605"/>
  <c r="M604"/>
  <c r="O604"/>
  <c r="O535"/>
  <c r="M537"/>
  <c r="N535"/>
  <c r="N537"/>
  <c r="M535"/>
  <c r="O536"/>
  <c r="M536"/>
  <c r="O537"/>
  <c r="N536"/>
  <c r="O383"/>
  <c r="M385"/>
  <c r="M383"/>
  <c r="O384"/>
  <c r="N383"/>
  <c r="N385"/>
  <c r="N384"/>
  <c r="M384"/>
  <c r="O385"/>
  <c r="N1103"/>
  <c r="O1104"/>
  <c r="M1104"/>
  <c r="M1103"/>
  <c r="N1104"/>
  <c r="O1105"/>
  <c r="N1105"/>
  <c r="O1103"/>
  <c r="M1105"/>
  <c r="N1079"/>
  <c r="O1080"/>
  <c r="M1080"/>
  <c r="N1081"/>
  <c r="M1079"/>
  <c r="N1080"/>
  <c r="O1081"/>
  <c r="O1079"/>
  <c r="M1081"/>
  <c r="N1071"/>
  <c r="O1072"/>
  <c r="M1072"/>
  <c r="N1073"/>
  <c r="M1071"/>
  <c r="N1072"/>
  <c r="O1073"/>
  <c r="O1071"/>
  <c r="M1073"/>
  <c r="N1055"/>
  <c r="O1056"/>
  <c r="M1056"/>
  <c r="N1057"/>
  <c r="M1055"/>
  <c r="N1056"/>
  <c r="O1057"/>
  <c r="O1055"/>
  <c r="M1057"/>
  <c r="N1047"/>
  <c r="O1048"/>
  <c r="M1048"/>
  <c r="N1049"/>
  <c r="M1047"/>
  <c r="N1048"/>
  <c r="O1049"/>
  <c r="O1047"/>
  <c r="M1049"/>
  <c r="N1039"/>
  <c r="O1040"/>
  <c r="M1040"/>
  <c r="N1041"/>
  <c r="M1039"/>
  <c r="N1040"/>
  <c r="O1041"/>
  <c r="O1039"/>
  <c r="M1041"/>
  <c r="N1007"/>
  <c r="O1008"/>
  <c r="M1008"/>
  <c r="N1009"/>
  <c r="M1007"/>
  <c r="N1008"/>
  <c r="O1009"/>
  <c r="O1007"/>
  <c r="M1009"/>
  <c r="N999"/>
  <c r="O1000"/>
  <c r="M1000"/>
  <c r="N1001"/>
  <c r="M999"/>
  <c r="N1000"/>
  <c r="O1001"/>
  <c r="O999"/>
  <c r="M1001"/>
  <c r="N991"/>
  <c r="O992"/>
  <c r="M992"/>
  <c r="N993"/>
  <c r="M991"/>
  <c r="N992"/>
  <c r="O993"/>
  <c r="O991"/>
  <c r="M993"/>
  <c r="N983"/>
  <c r="O984"/>
  <c r="M984"/>
  <c r="N985"/>
  <c r="M983"/>
  <c r="N984"/>
  <c r="O985"/>
  <c r="O983"/>
  <c r="M985"/>
  <c r="M959"/>
  <c r="N960"/>
  <c r="O961"/>
  <c r="O959"/>
  <c r="N961"/>
  <c r="O960"/>
  <c r="N959"/>
  <c r="M961"/>
  <c r="M960"/>
  <c r="O923"/>
  <c r="M925"/>
  <c r="N923"/>
  <c r="N925"/>
  <c r="N924"/>
  <c r="M923"/>
  <c r="O924"/>
  <c r="M924"/>
  <c r="O925"/>
  <c r="O503"/>
  <c r="M505"/>
  <c r="N503"/>
  <c r="N505"/>
  <c r="M503"/>
  <c r="O504"/>
  <c r="M504"/>
  <c r="O505"/>
  <c r="N504"/>
  <c r="M951"/>
  <c r="N952"/>
  <c r="O953"/>
  <c r="N951"/>
  <c r="M953"/>
  <c r="O952"/>
  <c r="M952"/>
  <c r="O951"/>
  <c r="N953"/>
  <c r="O947"/>
  <c r="M949"/>
  <c r="M947"/>
  <c r="O948"/>
  <c r="O949"/>
  <c r="N948"/>
  <c r="M948"/>
  <c r="N947"/>
  <c r="N949"/>
  <c r="M919"/>
  <c r="N920"/>
  <c r="O921"/>
  <c r="N919"/>
  <c r="M921"/>
  <c r="M920"/>
  <c r="O920"/>
  <c r="O919"/>
  <c r="N921"/>
  <c r="M911"/>
  <c r="N912"/>
  <c r="O913"/>
  <c r="N911"/>
  <c r="O912"/>
  <c r="O911"/>
  <c r="M913"/>
  <c r="N913"/>
  <c r="M912"/>
  <c r="O599"/>
  <c r="M601"/>
  <c r="N599"/>
  <c r="N601"/>
  <c r="M599"/>
  <c r="O600"/>
  <c r="M600"/>
  <c r="O601"/>
  <c r="N600"/>
  <c r="M539"/>
  <c r="N540"/>
  <c r="O541"/>
  <c r="O539"/>
  <c r="N541"/>
  <c r="N539"/>
  <c r="M541"/>
  <c r="M540"/>
  <c r="O540"/>
  <c r="N1119"/>
  <c r="O1120"/>
  <c r="M1119"/>
  <c r="N1120"/>
  <c r="Q1119" s="1"/>
  <c r="S282" s="1"/>
  <c r="O1121"/>
  <c r="M1120"/>
  <c r="N1121"/>
  <c r="O1119"/>
  <c r="M1121"/>
  <c r="N1111"/>
  <c r="O1112"/>
  <c r="M1111"/>
  <c r="N1112"/>
  <c r="O1113"/>
  <c r="M1112"/>
  <c r="N1113"/>
  <c r="O1111"/>
  <c r="M1113"/>
  <c r="N1095"/>
  <c r="O1096"/>
  <c r="M1095"/>
  <c r="N1096"/>
  <c r="O1097"/>
  <c r="M1096"/>
  <c r="N1097"/>
  <c r="O1095"/>
  <c r="M1097"/>
  <c r="N1087"/>
  <c r="O1088"/>
  <c r="M1087"/>
  <c r="N1088"/>
  <c r="O1089"/>
  <c r="M1088"/>
  <c r="N1089"/>
  <c r="O1087"/>
  <c r="M1089"/>
  <c r="N1063"/>
  <c r="O1064"/>
  <c r="M1063"/>
  <c r="N1064"/>
  <c r="Q1063" s="1"/>
  <c r="S268" s="1"/>
  <c r="O1065"/>
  <c r="M1064"/>
  <c r="N1065"/>
  <c r="O1063"/>
  <c r="M1065"/>
  <c r="N1031"/>
  <c r="O1032"/>
  <c r="M1031"/>
  <c r="N1032"/>
  <c r="O1033"/>
  <c r="M1032"/>
  <c r="N1033"/>
  <c r="O1031"/>
  <c r="M1033"/>
  <c r="N1023"/>
  <c r="O1024"/>
  <c r="M1023"/>
  <c r="N1024"/>
  <c r="O1025"/>
  <c r="M1024"/>
  <c r="N1025"/>
  <c r="O1023"/>
  <c r="M1025"/>
  <c r="N1015"/>
  <c r="O1016"/>
  <c r="M1015"/>
  <c r="N1016"/>
  <c r="O1017"/>
  <c r="M1016"/>
  <c r="N1017"/>
  <c r="O1015"/>
  <c r="M1017"/>
  <c r="O955"/>
  <c r="M957"/>
  <c r="N955"/>
  <c r="N957"/>
  <c r="M955"/>
  <c r="O956"/>
  <c r="N956"/>
  <c r="M956"/>
  <c r="O957"/>
  <c r="M927"/>
  <c r="N928"/>
  <c r="O929"/>
  <c r="Q927" s="1"/>
  <c r="S234" s="1"/>
  <c r="O927"/>
  <c r="N929"/>
  <c r="N927"/>
  <c r="M929"/>
  <c r="O928"/>
  <c r="M928"/>
  <c r="O631"/>
  <c r="M633"/>
  <c r="N631"/>
  <c r="N633"/>
  <c r="M631"/>
  <c r="O632"/>
  <c r="M632"/>
  <c r="O633"/>
  <c r="N632"/>
  <c r="M571"/>
  <c r="N572"/>
  <c r="O573"/>
  <c r="O571"/>
  <c r="N573"/>
  <c r="N571"/>
  <c r="M573"/>
  <c r="M572"/>
  <c r="O572"/>
  <c r="M387"/>
  <c r="N388"/>
  <c r="O389"/>
  <c r="N387"/>
  <c r="M389"/>
  <c r="O387"/>
  <c r="N389"/>
  <c r="O388"/>
  <c r="M388"/>
  <c r="M1116"/>
  <c r="N1117"/>
  <c r="O1115"/>
  <c r="M1117"/>
  <c r="N1115"/>
  <c r="O1116"/>
  <c r="M1115"/>
  <c r="N1116"/>
  <c r="O1117"/>
  <c r="M1108"/>
  <c r="N1109"/>
  <c r="N1107"/>
  <c r="O1107"/>
  <c r="M1109"/>
  <c r="O1108"/>
  <c r="M1107"/>
  <c r="N1108"/>
  <c r="O1109"/>
  <c r="M1100"/>
  <c r="N1101"/>
  <c r="O1100"/>
  <c r="O1099"/>
  <c r="M1101"/>
  <c r="N1099"/>
  <c r="M1099"/>
  <c r="N1100"/>
  <c r="O1101"/>
  <c r="M1092"/>
  <c r="N1093"/>
  <c r="O1092"/>
  <c r="O1091"/>
  <c r="M1093"/>
  <c r="N1091"/>
  <c r="M1091"/>
  <c r="N1092"/>
  <c r="O1093"/>
  <c r="M1084"/>
  <c r="N1085"/>
  <c r="N1083"/>
  <c r="O1083"/>
  <c r="M1085"/>
  <c r="O1084"/>
  <c r="M1083"/>
  <c r="Q1083" s="1"/>
  <c r="S273" s="1"/>
  <c r="N1084"/>
  <c r="O1085"/>
  <c r="M1076"/>
  <c r="N1077"/>
  <c r="N1075"/>
  <c r="O1076"/>
  <c r="O1075"/>
  <c r="M1077"/>
  <c r="M1075"/>
  <c r="N1076"/>
  <c r="O1077"/>
  <c r="M1068"/>
  <c r="N1069"/>
  <c r="N1067"/>
  <c r="O1067"/>
  <c r="M1069"/>
  <c r="O1068"/>
  <c r="M1067"/>
  <c r="N1068"/>
  <c r="O1069"/>
  <c r="M1060"/>
  <c r="N1061"/>
  <c r="N1059"/>
  <c r="O1059"/>
  <c r="M1061"/>
  <c r="O1060"/>
  <c r="M1059"/>
  <c r="N1060"/>
  <c r="O1061"/>
  <c r="M1052"/>
  <c r="N1053"/>
  <c r="O1052"/>
  <c r="O1051"/>
  <c r="M1053"/>
  <c r="N1051"/>
  <c r="M1051"/>
  <c r="N1052"/>
  <c r="O1053"/>
  <c r="M1044"/>
  <c r="N1045"/>
  <c r="O1044"/>
  <c r="O1043"/>
  <c r="M1045"/>
  <c r="N1043"/>
  <c r="M1043"/>
  <c r="N1044"/>
  <c r="O1045"/>
  <c r="M1036"/>
  <c r="N1037"/>
  <c r="O1035"/>
  <c r="M1037"/>
  <c r="N1035"/>
  <c r="O1036"/>
  <c r="M1035"/>
  <c r="N1036"/>
  <c r="O1037"/>
  <c r="M1028"/>
  <c r="N1029"/>
  <c r="N1027"/>
  <c r="O1027"/>
  <c r="M1029"/>
  <c r="O1028"/>
  <c r="M1027"/>
  <c r="N1028"/>
  <c r="O1029"/>
  <c r="M1020"/>
  <c r="N1021"/>
  <c r="N1019"/>
  <c r="O1019"/>
  <c r="M1021"/>
  <c r="O1020"/>
  <c r="M1019"/>
  <c r="Q1019" s="1"/>
  <c r="S257" s="1"/>
  <c r="N1020"/>
  <c r="O1021"/>
  <c r="M1012"/>
  <c r="N1013"/>
  <c r="N1011"/>
  <c r="O1011"/>
  <c r="M1013"/>
  <c r="O1012"/>
  <c r="M1011"/>
  <c r="N1012"/>
  <c r="O1013"/>
  <c r="M1004"/>
  <c r="N1005"/>
  <c r="N1003"/>
  <c r="O1004"/>
  <c r="O1003"/>
  <c r="M1005"/>
  <c r="M1003"/>
  <c r="N1004"/>
  <c r="O1005"/>
  <c r="M996"/>
  <c r="N997"/>
  <c r="O996"/>
  <c r="O995"/>
  <c r="M997"/>
  <c r="N995"/>
  <c r="M995"/>
  <c r="N996"/>
  <c r="O997"/>
  <c r="M988"/>
  <c r="N989"/>
  <c r="N987"/>
  <c r="O988"/>
  <c r="O987"/>
  <c r="M989"/>
  <c r="M987"/>
  <c r="N988"/>
  <c r="O989"/>
  <c r="M980"/>
  <c r="N981"/>
  <c r="O980"/>
  <c r="O979"/>
  <c r="M981"/>
  <c r="N979"/>
  <c r="M979"/>
  <c r="N980"/>
  <c r="O981"/>
  <c r="M975"/>
  <c r="N976"/>
  <c r="O976"/>
  <c r="N977"/>
  <c r="M976"/>
  <c r="O977"/>
  <c r="O975"/>
  <c r="N975"/>
  <c r="M977"/>
  <c r="O971"/>
  <c r="M973"/>
  <c r="N972"/>
  <c r="N973"/>
  <c r="M972"/>
  <c r="O973"/>
  <c r="N971"/>
  <c r="M971"/>
  <c r="O972"/>
  <c r="M943"/>
  <c r="N944"/>
  <c r="O945"/>
  <c r="O944"/>
  <c r="N945"/>
  <c r="M944"/>
  <c r="O943"/>
  <c r="N943"/>
  <c r="M945"/>
  <c r="O939"/>
  <c r="M941"/>
  <c r="N940"/>
  <c r="N941"/>
  <c r="M940"/>
  <c r="O941"/>
  <c r="N939"/>
  <c r="M939"/>
  <c r="O940"/>
  <c r="M635"/>
  <c r="N636"/>
  <c r="O637"/>
  <c r="O635"/>
  <c r="N637"/>
  <c r="N635"/>
  <c r="M637"/>
  <c r="M636"/>
  <c r="O636"/>
  <c r="O567"/>
  <c r="M569"/>
  <c r="N567"/>
  <c r="N569"/>
  <c r="M567"/>
  <c r="O568"/>
  <c r="M568"/>
  <c r="O569"/>
  <c r="N568"/>
  <c r="M507"/>
  <c r="N508"/>
  <c r="O509"/>
  <c r="O507"/>
  <c r="N509"/>
  <c r="N507"/>
  <c r="M509"/>
  <c r="M508"/>
  <c r="O508"/>
  <c r="O915"/>
  <c r="M917"/>
  <c r="M915"/>
  <c r="O916"/>
  <c r="N916"/>
  <c r="M916"/>
  <c r="O917"/>
  <c r="N915"/>
  <c r="N917"/>
  <c r="O907"/>
  <c r="M909"/>
  <c r="M908"/>
  <c r="N909"/>
  <c r="N908"/>
  <c r="N907"/>
  <c r="M907"/>
  <c r="O909"/>
  <c r="O908"/>
  <c r="O899"/>
  <c r="M901"/>
  <c r="N899"/>
  <c r="O900"/>
  <c r="M900"/>
  <c r="N901"/>
  <c r="O901"/>
  <c r="N900"/>
  <c r="M899"/>
  <c r="O891"/>
  <c r="M893"/>
  <c r="N891"/>
  <c r="O892"/>
  <c r="M892"/>
  <c r="N893"/>
  <c r="M891"/>
  <c r="O893"/>
  <c r="N892"/>
  <c r="O883"/>
  <c r="M885"/>
  <c r="N883"/>
  <c r="O884"/>
  <c r="M884"/>
  <c r="N885"/>
  <c r="N884"/>
  <c r="M883"/>
  <c r="O885"/>
  <c r="O875"/>
  <c r="M877"/>
  <c r="N875"/>
  <c r="O876"/>
  <c r="M876"/>
  <c r="N877"/>
  <c r="O877"/>
  <c r="N876"/>
  <c r="M875"/>
  <c r="O867"/>
  <c r="M869"/>
  <c r="N867"/>
  <c r="O868"/>
  <c r="M868"/>
  <c r="N869"/>
  <c r="N868"/>
  <c r="O869"/>
  <c r="M867"/>
  <c r="O859"/>
  <c r="M861"/>
  <c r="N859"/>
  <c r="O860"/>
  <c r="M860"/>
  <c r="N861"/>
  <c r="M859"/>
  <c r="O861"/>
  <c r="N860"/>
  <c r="O851"/>
  <c r="M853"/>
  <c r="N851"/>
  <c r="O852"/>
  <c r="M852"/>
  <c r="N853"/>
  <c r="N852"/>
  <c r="M851"/>
  <c r="O853"/>
  <c r="O843"/>
  <c r="M845"/>
  <c r="N843"/>
  <c r="O844"/>
  <c r="M844"/>
  <c r="N845"/>
  <c r="O845"/>
  <c r="M843"/>
  <c r="N844"/>
  <c r="O835"/>
  <c r="M837"/>
  <c r="N835"/>
  <c r="O836"/>
  <c r="M836"/>
  <c r="N837"/>
  <c r="O837"/>
  <c r="N836"/>
  <c r="M835"/>
  <c r="O827"/>
  <c r="M829"/>
  <c r="N827"/>
  <c r="O828"/>
  <c r="M828"/>
  <c r="N829"/>
  <c r="M827"/>
  <c r="Q827" s="1"/>
  <c r="S209" s="1"/>
  <c r="O829"/>
  <c r="N828"/>
  <c r="O819"/>
  <c r="M821"/>
  <c r="N819"/>
  <c r="O820"/>
  <c r="M820"/>
  <c r="N821"/>
  <c r="N820"/>
  <c r="M819"/>
  <c r="O821"/>
  <c r="O811"/>
  <c r="M813"/>
  <c r="N811"/>
  <c r="O812"/>
  <c r="M812"/>
  <c r="N813"/>
  <c r="O813"/>
  <c r="N812"/>
  <c r="M811"/>
  <c r="O803"/>
  <c r="M805"/>
  <c r="N803"/>
  <c r="O804"/>
  <c r="M804"/>
  <c r="N805"/>
  <c r="N804"/>
  <c r="O805"/>
  <c r="M803"/>
  <c r="O795"/>
  <c r="M797"/>
  <c r="N795"/>
  <c r="O796"/>
  <c r="M796"/>
  <c r="N797"/>
  <c r="M795"/>
  <c r="O797"/>
  <c r="N796"/>
  <c r="O787"/>
  <c r="M789"/>
  <c r="N787"/>
  <c r="O788"/>
  <c r="M788"/>
  <c r="N789"/>
  <c r="N788"/>
  <c r="M787"/>
  <c r="O789"/>
  <c r="O779"/>
  <c r="M781"/>
  <c r="N779"/>
  <c r="O780"/>
  <c r="M780"/>
  <c r="N781"/>
  <c r="O781"/>
  <c r="M779"/>
  <c r="N780"/>
  <c r="O771"/>
  <c r="M773"/>
  <c r="N771"/>
  <c r="O772"/>
  <c r="M772"/>
  <c r="N773"/>
  <c r="N772"/>
  <c r="O773"/>
  <c r="M771"/>
  <c r="O763"/>
  <c r="M765"/>
  <c r="N763"/>
  <c r="O764"/>
  <c r="M764"/>
  <c r="N765"/>
  <c r="M763"/>
  <c r="O765"/>
  <c r="N764"/>
  <c r="O755"/>
  <c r="M757"/>
  <c r="N755"/>
  <c r="O756"/>
  <c r="M756"/>
  <c r="N757"/>
  <c r="N756"/>
  <c r="M755"/>
  <c r="O757"/>
  <c r="O747"/>
  <c r="M749"/>
  <c r="N747"/>
  <c r="O748"/>
  <c r="M748"/>
  <c r="N749"/>
  <c r="O749"/>
  <c r="M747"/>
  <c r="N748"/>
  <c r="O739"/>
  <c r="M741"/>
  <c r="N739"/>
  <c r="O740"/>
  <c r="M740"/>
  <c r="N741"/>
  <c r="O741"/>
  <c r="N740"/>
  <c r="M739"/>
  <c r="O731"/>
  <c r="M733"/>
  <c r="N731"/>
  <c r="O732"/>
  <c r="M732"/>
  <c r="N733"/>
  <c r="M731"/>
  <c r="Q731" s="1"/>
  <c r="S185" s="1"/>
  <c r="O733"/>
  <c r="N732"/>
  <c r="O723"/>
  <c r="M725"/>
  <c r="N723"/>
  <c r="O724"/>
  <c r="M724"/>
  <c r="N725"/>
  <c r="N724"/>
  <c r="M723"/>
  <c r="O725"/>
  <c r="O715"/>
  <c r="M717"/>
  <c r="N715"/>
  <c r="O716"/>
  <c r="M716"/>
  <c r="N717"/>
  <c r="O717"/>
  <c r="N716"/>
  <c r="M715"/>
  <c r="O707"/>
  <c r="M709"/>
  <c r="N707"/>
  <c r="O708"/>
  <c r="M708"/>
  <c r="N709"/>
  <c r="N708"/>
  <c r="O709"/>
  <c r="M707"/>
  <c r="O699"/>
  <c r="M701"/>
  <c r="N699"/>
  <c r="O700"/>
  <c r="M700"/>
  <c r="N701"/>
  <c r="M699"/>
  <c r="O701"/>
  <c r="N700"/>
  <c r="O691"/>
  <c r="M693"/>
  <c r="N691"/>
  <c r="O692"/>
  <c r="M692"/>
  <c r="N693"/>
  <c r="N692"/>
  <c r="M691"/>
  <c r="O693"/>
  <c r="O683"/>
  <c r="M685"/>
  <c r="N683"/>
  <c r="O684"/>
  <c r="M684"/>
  <c r="N685"/>
  <c r="O685"/>
  <c r="M683"/>
  <c r="N684"/>
  <c r="O675"/>
  <c r="M677"/>
  <c r="N675"/>
  <c r="O676"/>
  <c r="M676"/>
  <c r="N677"/>
  <c r="O677"/>
  <c r="N676"/>
  <c r="Q675" s="1"/>
  <c r="S171" s="1"/>
  <c r="M675"/>
  <c r="O667"/>
  <c r="M669"/>
  <c r="N667"/>
  <c r="O668"/>
  <c r="M668"/>
  <c r="N669"/>
  <c r="M667"/>
  <c r="O669"/>
  <c r="N668"/>
  <c r="M643"/>
  <c r="N644"/>
  <c r="O645"/>
  <c r="M644"/>
  <c r="O643"/>
  <c r="N645"/>
  <c r="O644"/>
  <c r="N643"/>
  <c r="M645"/>
  <c r="O639"/>
  <c r="M641"/>
  <c r="M640"/>
  <c r="O641"/>
  <c r="N639"/>
  <c r="N641"/>
  <c r="N640"/>
  <c r="O640"/>
  <c r="M639"/>
  <c r="M611"/>
  <c r="N612"/>
  <c r="O613"/>
  <c r="M612"/>
  <c r="O611"/>
  <c r="N613"/>
  <c r="O612"/>
  <c r="M613"/>
  <c r="N611"/>
  <c r="O607"/>
  <c r="M609"/>
  <c r="M608"/>
  <c r="O609"/>
  <c r="N607"/>
  <c r="N609"/>
  <c r="N608"/>
  <c r="Q607" s="1"/>
  <c r="S154" s="1"/>
  <c r="O608"/>
  <c r="M607"/>
  <c r="M579"/>
  <c r="N580"/>
  <c r="O581"/>
  <c r="M580"/>
  <c r="O579"/>
  <c r="N581"/>
  <c r="O580"/>
  <c r="M581"/>
  <c r="N579"/>
  <c r="O575"/>
  <c r="M577"/>
  <c r="M576"/>
  <c r="O577"/>
  <c r="N575"/>
  <c r="N577"/>
  <c r="N576"/>
  <c r="M575"/>
  <c r="O576"/>
  <c r="M547"/>
  <c r="N548"/>
  <c r="O549"/>
  <c r="M548"/>
  <c r="O547"/>
  <c r="N549"/>
  <c r="O548"/>
  <c r="M549"/>
  <c r="N547"/>
  <c r="O543"/>
  <c r="M545"/>
  <c r="M544"/>
  <c r="O545"/>
  <c r="N543"/>
  <c r="N545"/>
  <c r="N544"/>
  <c r="Q543" s="1"/>
  <c r="S138" s="1"/>
  <c r="O544"/>
  <c r="M543"/>
  <c r="M515"/>
  <c r="N516"/>
  <c r="O517"/>
  <c r="M516"/>
  <c r="O515"/>
  <c r="N517"/>
  <c r="O516"/>
  <c r="N515"/>
  <c r="M517"/>
  <c r="O511"/>
  <c r="M513"/>
  <c r="M512"/>
  <c r="O513"/>
  <c r="N511"/>
  <c r="N513"/>
  <c r="N512"/>
  <c r="M511"/>
  <c r="O512"/>
  <c r="N487"/>
  <c r="O487"/>
  <c r="M489"/>
  <c r="N488"/>
  <c r="Q487" s="1"/>
  <c r="S124" s="1"/>
  <c r="M488"/>
  <c r="O489"/>
  <c r="O488"/>
  <c r="N489"/>
  <c r="M487"/>
  <c r="N471"/>
  <c r="O472"/>
  <c r="O471"/>
  <c r="M473"/>
  <c r="N472"/>
  <c r="M472"/>
  <c r="N473"/>
  <c r="M471"/>
  <c r="O473"/>
  <c r="N455"/>
  <c r="O456"/>
  <c r="O455"/>
  <c r="M457"/>
  <c r="N456"/>
  <c r="M456"/>
  <c r="N457"/>
  <c r="O457"/>
  <c r="M455"/>
  <c r="N439"/>
  <c r="O440"/>
  <c r="O439"/>
  <c r="M441"/>
  <c r="N440"/>
  <c r="M440"/>
  <c r="N441"/>
  <c r="M439"/>
  <c r="O441"/>
  <c r="N423"/>
  <c r="O424"/>
  <c r="O423"/>
  <c r="M425"/>
  <c r="N424"/>
  <c r="M424"/>
  <c r="N425"/>
  <c r="O425"/>
  <c r="M423"/>
  <c r="M395"/>
  <c r="N396"/>
  <c r="O397"/>
  <c r="O395"/>
  <c r="N397"/>
  <c r="M396"/>
  <c r="M397"/>
  <c r="O396"/>
  <c r="N395"/>
  <c r="O391"/>
  <c r="M393"/>
  <c r="N391"/>
  <c r="N393"/>
  <c r="M392"/>
  <c r="O393"/>
  <c r="O392"/>
  <c r="N392"/>
  <c r="M391"/>
  <c r="M355"/>
  <c r="N356"/>
  <c r="O357"/>
  <c r="N355"/>
  <c r="O356"/>
  <c r="M356"/>
  <c r="M357"/>
  <c r="N357"/>
  <c r="O355"/>
  <c r="M323"/>
  <c r="N324"/>
  <c r="O325"/>
  <c r="N323"/>
  <c r="O324"/>
  <c r="M324"/>
  <c r="M325"/>
  <c r="N325"/>
  <c r="O323"/>
  <c r="M291"/>
  <c r="N292"/>
  <c r="O293"/>
  <c r="N291"/>
  <c r="O292"/>
  <c r="M292"/>
  <c r="M293"/>
  <c r="N293"/>
  <c r="O291"/>
  <c r="M259"/>
  <c r="N260"/>
  <c r="O261"/>
  <c r="N259"/>
  <c r="O260"/>
  <c r="M260"/>
  <c r="M261"/>
  <c r="N261"/>
  <c r="O259"/>
  <c r="M227"/>
  <c r="N228"/>
  <c r="O229"/>
  <c r="N227"/>
  <c r="O228"/>
  <c r="M228"/>
  <c r="M229"/>
  <c r="N229"/>
  <c r="O227"/>
  <c r="M903"/>
  <c r="N904"/>
  <c r="O905"/>
  <c r="M904"/>
  <c r="N905"/>
  <c r="N903"/>
  <c r="O904"/>
  <c r="O903"/>
  <c r="M905"/>
  <c r="M895"/>
  <c r="N896"/>
  <c r="O897"/>
  <c r="M896"/>
  <c r="N897"/>
  <c r="N895"/>
  <c r="O896"/>
  <c r="M897"/>
  <c r="O895"/>
  <c r="M887"/>
  <c r="N888"/>
  <c r="O889"/>
  <c r="M888"/>
  <c r="N889"/>
  <c r="N887"/>
  <c r="O888"/>
  <c r="M889"/>
  <c r="O887"/>
  <c r="M879"/>
  <c r="N880"/>
  <c r="O881"/>
  <c r="M880"/>
  <c r="N881"/>
  <c r="N879"/>
  <c r="O880"/>
  <c r="M881"/>
  <c r="O879"/>
  <c r="M871"/>
  <c r="N872"/>
  <c r="O873"/>
  <c r="M872"/>
  <c r="N873"/>
  <c r="N871"/>
  <c r="O872"/>
  <c r="O871"/>
  <c r="M873"/>
  <c r="M863"/>
  <c r="N864"/>
  <c r="O865"/>
  <c r="Q863" s="1"/>
  <c r="S218" s="1"/>
  <c r="M864"/>
  <c r="N865"/>
  <c r="N863"/>
  <c r="O864"/>
  <c r="M865"/>
  <c r="O863"/>
  <c r="M855"/>
  <c r="N856"/>
  <c r="O857"/>
  <c r="M856"/>
  <c r="N857"/>
  <c r="N855"/>
  <c r="O856"/>
  <c r="M857"/>
  <c r="O855"/>
  <c r="M847"/>
  <c r="N848"/>
  <c r="O849"/>
  <c r="M848"/>
  <c r="N849"/>
  <c r="N847"/>
  <c r="O848"/>
  <c r="M849"/>
  <c r="O847"/>
  <c r="M839"/>
  <c r="N840"/>
  <c r="O841"/>
  <c r="M840"/>
  <c r="N841"/>
  <c r="N839"/>
  <c r="O840"/>
  <c r="O839"/>
  <c r="M841"/>
  <c r="M831"/>
  <c r="N832"/>
  <c r="O833"/>
  <c r="M832"/>
  <c r="N833"/>
  <c r="N831"/>
  <c r="O832"/>
  <c r="M833"/>
  <c r="O831"/>
  <c r="M823"/>
  <c r="N824"/>
  <c r="O825"/>
  <c r="M824"/>
  <c r="N825"/>
  <c r="N823"/>
  <c r="O824"/>
  <c r="M825"/>
  <c r="O823"/>
  <c r="M815"/>
  <c r="N816"/>
  <c r="O817"/>
  <c r="M816"/>
  <c r="N817"/>
  <c r="N815"/>
  <c r="O816"/>
  <c r="M817"/>
  <c r="O815"/>
  <c r="M807"/>
  <c r="N808"/>
  <c r="O809"/>
  <c r="M808"/>
  <c r="N809"/>
  <c r="N807"/>
  <c r="O808"/>
  <c r="O807"/>
  <c r="M809"/>
  <c r="M799"/>
  <c r="N800"/>
  <c r="O801"/>
  <c r="M800"/>
  <c r="N801"/>
  <c r="N799"/>
  <c r="O800"/>
  <c r="M801"/>
  <c r="O799"/>
  <c r="M791"/>
  <c r="N792"/>
  <c r="O793"/>
  <c r="M792"/>
  <c r="N793"/>
  <c r="N791"/>
  <c r="O792"/>
  <c r="O791"/>
  <c r="M793"/>
  <c r="M783"/>
  <c r="Q783" s="1"/>
  <c r="S198" s="1"/>
  <c r="N784"/>
  <c r="O785"/>
  <c r="M784"/>
  <c r="N785"/>
  <c r="N783"/>
  <c r="O784"/>
  <c r="M785"/>
  <c r="O783"/>
  <c r="M775"/>
  <c r="N776"/>
  <c r="O777"/>
  <c r="M776"/>
  <c r="N777"/>
  <c r="N775"/>
  <c r="O776"/>
  <c r="O775"/>
  <c r="M777"/>
  <c r="M767"/>
  <c r="N768"/>
  <c r="O769"/>
  <c r="M768"/>
  <c r="N769"/>
  <c r="N767"/>
  <c r="O768"/>
  <c r="M769"/>
  <c r="O767"/>
  <c r="M759"/>
  <c r="N760"/>
  <c r="O761"/>
  <c r="M760"/>
  <c r="N761"/>
  <c r="N759"/>
  <c r="O760"/>
  <c r="O759"/>
  <c r="M761"/>
  <c r="M751"/>
  <c r="N752"/>
  <c r="O753"/>
  <c r="M752"/>
  <c r="N753"/>
  <c r="N751"/>
  <c r="O752"/>
  <c r="M753"/>
  <c r="O751"/>
  <c r="M743"/>
  <c r="N744"/>
  <c r="O745"/>
  <c r="M744"/>
  <c r="N745"/>
  <c r="N743"/>
  <c r="O744"/>
  <c r="O743"/>
  <c r="M745"/>
  <c r="M735"/>
  <c r="N736"/>
  <c r="O737"/>
  <c r="M736"/>
  <c r="N737"/>
  <c r="N735"/>
  <c r="O736"/>
  <c r="M737"/>
  <c r="O735"/>
  <c r="M727"/>
  <c r="N728"/>
  <c r="O729"/>
  <c r="M728"/>
  <c r="N729"/>
  <c r="N727"/>
  <c r="O728"/>
  <c r="M729"/>
  <c r="O727"/>
  <c r="M719"/>
  <c r="N720"/>
  <c r="O721"/>
  <c r="M720"/>
  <c r="N721"/>
  <c r="N719"/>
  <c r="O720"/>
  <c r="M721"/>
  <c r="O719"/>
  <c r="M711"/>
  <c r="N712"/>
  <c r="O713"/>
  <c r="M712"/>
  <c r="N713"/>
  <c r="N711"/>
  <c r="O712"/>
  <c r="O711"/>
  <c r="M713"/>
  <c r="M703"/>
  <c r="N704"/>
  <c r="O705"/>
  <c r="M704"/>
  <c r="N705"/>
  <c r="N703"/>
  <c r="O704"/>
  <c r="M705"/>
  <c r="O703"/>
  <c r="M695"/>
  <c r="N696"/>
  <c r="O697"/>
  <c r="M696"/>
  <c r="N697"/>
  <c r="N695"/>
  <c r="O696"/>
  <c r="O695"/>
  <c r="M697"/>
  <c r="M687"/>
  <c r="N688"/>
  <c r="O689"/>
  <c r="M688"/>
  <c r="N689"/>
  <c r="N687"/>
  <c r="O688"/>
  <c r="M689"/>
  <c r="O687"/>
  <c r="M679"/>
  <c r="N680"/>
  <c r="O681"/>
  <c r="M680"/>
  <c r="N681"/>
  <c r="N679"/>
  <c r="O680"/>
  <c r="O679"/>
  <c r="M681"/>
  <c r="M671"/>
  <c r="N672"/>
  <c r="O673"/>
  <c r="Q671" s="1"/>
  <c r="S170" s="1"/>
  <c r="M672"/>
  <c r="N673"/>
  <c r="N671"/>
  <c r="O672"/>
  <c r="M673"/>
  <c r="O671"/>
  <c r="M663"/>
  <c r="N664"/>
  <c r="O665"/>
  <c r="M664"/>
  <c r="N665"/>
  <c r="N663"/>
  <c r="O664"/>
  <c r="M665"/>
  <c r="O663"/>
  <c r="M659"/>
  <c r="N660"/>
  <c r="N659"/>
  <c r="M661"/>
  <c r="O660"/>
  <c r="O659"/>
  <c r="N661"/>
  <c r="M660"/>
  <c r="O661"/>
  <c r="O655"/>
  <c r="M657"/>
  <c r="M655"/>
  <c r="O656"/>
  <c r="N656"/>
  <c r="N655"/>
  <c r="N657"/>
  <c r="O657"/>
  <c r="M656"/>
  <c r="M627"/>
  <c r="N628"/>
  <c r="O629"/>
  <c r="N627"/>
  <c r="M629"/>
  <c r="O628"/>
  <c r="O627"/>
  <c r="N629"/>
  <c r="M628"/>
  <c r="O623"/>
  <c r="M625"/>
  <c r="M623"/>
  <c r="O624"/>
  <c r="N624"/>
  <c r="N623"/>
  <c r="N625"/>
  <c r="O625"/>
  <c r="M624"/>
  <c r="M595"/>
  <c r="N596"/>
  <c r="O597"/>
  <c r="N595"/>
  <c r="M597"/>
  <c r="O596"/>
  <c r="O595"/>
  <c r="N597"/>
  <c r="M596"/>
  <c r="O591"/>
  <c r="M593"/>
  <c r="M591"/>
  <c r="O592"/>
  <c r="N592"/>
  <c r="N591"/>
  <c r="N593"/>
  <c r="M592"/>
  <c r="O593"/>
  <c r="M563"/>
  <c r="N564"/>
  <c r="O565"/>
  <c r="N563"/>
  <c r="M565"/>
  <c r="O564"/>
  <c r="O563"/>
  <c r="N565"/>
  <c r="M564"/>
  <c r="O559"/>
  <c r="M561"/>
  <c r="M559"/>
  <c r="O560"/>
  <c r="N560"/>
  <c r="N559"/>
  <c r="N561"/>
  <c r="O561"/>
  <c r="M560"/>
  <c r="M531"/>
  <c r="N532"/>
  <c r="O533"/>
  <c r="N531"/>
  <c r="M533"/>
  <c r="O532"/>
  <c r="O531"/>
  <c r="N533"/>
  <c r="M532"/>
  <c r="O527"/>
  <c r="M529"/>
  <c r="M527"/>
  <c r="O528"/>
  <c r="N528"/>
  <c r="N527"/>
  <c r="N529"/>
  <c r="M528"/>
  <c r="O529"/>
  <c r="M499"/>
  <c r="N500"/>
  <c r="O501"/>
  <c r="N499"/>
  <c r="M501"/>
  <c r="O500"/>
  <c r="O499"/>
  <c r="N501"/>
  <c r="M500"/>
  <c r="O495"/>
  <c r="M497"/>
  <c r="M495"/>
  <c r="O496"/>
  <c r="N496"/>
  <c r="N495"/>
  <c r="N497"/>
  <c r="O497"/>
  <c r="M496"/>
  <c r="N479"/>
  <c r="O480"/>
  <c r="O479"/>
  <c r="M481"/>
  <c r="M479"/>
  <c r="O481"/>
  <c r="N481"/>
  <c r="M480"/>
  <c r="N480"/>
  <c r="N463"/>
  <c r="O464"/>
  <c r="O463"/>
  <c r="M465"/>
  <c r="M463"/>
  <c r="O465"/>
  <c r="N465"/>
  <c r="M464"/>
  <c r="N464"/>
  <c r="N447"/>
  <c r="O448"/>
  <c r="O447"/>
  <c r="M449"/>
  <c r="M447"/>
  <c r="O449"/>
  <c r="N449"/>
  <c r="M448"/>
  <c r="N448"/>
  <c r="N431"/>
  <c r="O432"/>
  <c r="O431"/>
  <c r="M433"/>
  <c r="M431"/>
  <c r="O433"/>
  <c r="N433"/>
  <c r="M432"/>
  <c r="N432"/>
  <c r="M363"/>
  <c r="N364"/>
  <c r="O365"/>
  <c r="O363"/>
  <c r="N365"/>
  <c r="M364"/>
  <c r="N363"/>
  <c r="O364"/>
  <c r="M365"/>
  <c r="M339"/>
  <c r="N340"/>
  <c r="O341"/>
  <c r="N339"/>
  <c r="O340"/>
  <c r="M340"/>
  <c r="M341"/>
  <c r="O339"/>
  <c r="N341"/>
  <c r="M307"/>
  <c r="N308"/>
  <c r="O309"/>
  <c r="N307"/>
  <c r="O308"/>
  <c r="M308"/>
  <c r="M309"/>
  <c r="O307"/>
  <c r="N309"/>
  <c r="M275"/>
  <c r="N276"/>
  <c r="O277"/>
  <c r="N275"/>
  <c r="O276"/>
  <c r="M276"/>
  <c r="M277"/>
  <c r="O275"/>
  <c r="N277"/>
  <c r="M243"/>
  <c r="N244"/>
  <c r="O245"/>
  <c r="N243"/>
  <c r="O244"/>
  <c r="M244"/>
  <c r="M245"/>
  <c r="O243"/>
  <c r="N245"/>
  <c r="M211"/>
  <c r="N212"/>
  <c r="O213"/>
  <c r="N211"/>
  <c r="O212"/>
  <c r="M212"/>
  <c r="M213"/>
  <c r="O211"/>
  <c r="N213"/>
  <c r="M651"/>
  <c r="N652"/>
  <c r="O653"/>
  <c r="O652"/>
  <c r="M652"/>
  <c r="N651"/>
  <c r="M653"/>
  <c r="O651"/>
  <c r="N653"/>
  <c r="O647"/>
  <c r="M649"/>
  <c r="N648"/>
  <c r="M648"/>
  <c r="O649"/>
  <c r="M647"/>
  <c r="O648"/>
  <c r="N649"/>
  <c r="N647"/>
  <c r="M619"/>
  <c r="Q619" s="1"/>
  <c r="S157" s="1"/>
  <c r="N620"/>
  <c r="O621"/>
  <c r="O620"/>
  <c r="M620"/>
  <c r="N619"/>
  <c r="M621"/>
  <c r="N621"/>
  <c r="O619"/>
  <c r="O615"/>
  <c r="M617"/>
  <c r="N616"/>
  <c r="M616"/>
  <c r="O617"/>
  <c r="Q615" s="1"/>
  <c r="S156" s="1"/>
  <c r="M615"/>
  <c r="O616"/>
  <c r="N617"/>
  <c r="N615"/>
  <c r="M587"/>
  <c r="N588"/>
  <c r="O589"/>
  <c r="O588"/>
  <c r="M588"/>
  <c r="N587"/>
  <c r="M589"/>
  <c r="N589"/>
  <c r="O587"/>
  <c r="O583"/>
  <c r="M585"/>
  <c r="N584"/>
  <c r="M584"/>
  <c r="O585"/>
  <c r="M583"/>
  <c r="O584"/>
  <c r="N583"/>
  <c r="N585"/>
  <c r="M555"/>
  <c r="Q555" s="1"/>
  <c r="S141" s="1"/>
  <c r="N556"/>
  <c r="O557"/>
  <c r="O556"/>
  <c r="M556"/>
  <c r="N555"/>
  <c r="M557"/>
  <c r="N557"/>
  <c r="O555"/>
  <c r="O551"/>
  <c r="M553"/>
  <c r="N552"/>
  <c r="M552"/>
  <c r="O553"/>
  <c r="Q551" s="1"/>
  <c r="S140" s="1"/>
  <c r="M551"/>
  <c r="O552"/>
  <c r="N553"/>
  <c r="N551"/>
  <c r="M523"/>
  <c r="N524"/>
  <c r="O525"/>
  <c r="O524"/>
  <c r="M524"/>
  <c r="N523"/>
  <c r="M525"/>
  <c r="O523"/>
  <c r="N525"/>
  <c r="O519"/>
  <c r="M521"/>
  <c r="N520"/>
  <c r="M520"/>
  <c r="O521"/>
  <c r="M519"/>
  <c r="O520"/>
  <c r="N519"/>
  <c r="N521"/>
  <c r="M491"/>
  <c r="Q491" s="1"/>
  <c r="S125" s="1"/>
  <c r="N492"/>
  <c r="O493"/>
  <c r="O492"/>
  <c r="M492"/>
  <c r="N491"/>
  <c r="M493"/>
  <c r="N493"/>
  <c r="O491"/>
  <c r="O415"/>
  <c r="M415"/>
  <c r="O416"/>
  <c r="N415"/>
  <c r="M417"/>
  <c r="O417"/>
  <c r="N417"/>
  <c r="M416"/>
  <c r="N416"/>
  <c r="Q415" s="1"/>
  <c r="S106" s="1"/>
  <c r="M403"/>
  <c r="N404"/>
  <c r="O405"/>
  <c r="M404"/>
  <c r="O404"/>
  <c r="N405"/>
  <c r="M405"/>
  <c r="N403"/>
  <c r="O403"/>
  <c r="O399"/>
  <c r="M401"/>
  <c r="M400"/>
  <c r="O401"/>
  <c r="N400"/>
  <c r="N401"/>
  <c r="O400"/>
  <c r="M399"/>
  <c r="N399"/>
  <c r="M371"/>
  <c r="N372"/>
  <c r="O373"/>
  <c r="M372"/>
  <c r="O372"/>
  <c r="O371"/>
  <c r="N371"/>
  <c r="M373"/>
  <c r="N373"/>
  <c r="O367"/>
  <c r="M369"/>
  <c r="M368"/>
  <c r="O369"/>
  <c r="N368"/>
  <c r="N367"/>
  <c r="M367"/>
  <c r="O368"/>
  <c r="N369"/>
  <c r="M484"/>
  <c r="N485"/>
  <c r="M483"/>
  <c r="N484"/>
  <c r="O485"/>
  <c r="M485"/>
  <c r="O484"/>
  <c r="N483"/>
  <c r="O483"/>
  <c r="M476"/>
  <c r="N477"/>
  <c r="M475"/>
  <c r="N476"/>
  <c r="O477"/>
  <c r="O475"/>
  <c r="N475"/>
  <c r="O476"/>
  <c r="M477"/>
  <c r="M468"/>
  <c r="N469"/>
  <c r="M467"/>
  <c r="N468"/>
  <c r="O469"/>
  <c r="M469"/>
  <c r="O468"/>
  <c r="N467"/>
  <c r="O467"/>
  <c r="M460"/>
  <c r="N461"/>
  <c r="M459"/>
  <c r="N460"/>
  <c r="O461"/>
  <c r="O459"/>
  <c r="N459"/>
  <c r="O460"/>
  <c r="M461"/>
  <c r="M452"/>
  <c r="N453"/>
  <c r="M451"/>
  <c r="N452"/>
  <c r="O453"/>
  <c r="M453"/>
  <c r="O452"/>
  <c r="N451"/>
  <c r="O451"/>
  <c r="M444"/>
  <c r="N445"/>
  <c r="M443"/>
  <c r="N444"/>
  <c r="O445"/>
  <c r="O443"/>
  <c r="N443"/>
  <c r="O444"/>
  <c r="M445"/>
  <c r="M436"/>
  <c r="N437"/>
  <c r="M435"/>
  <c r="N436"/>
  <c r="O437"/>
  <c r="M437"/>
  <c r="O436"/>
  <c r="N435"/>
  <c r="O435"/>
  <c r="M428"/>
  <c r="N429"/>
  <c r="M427"/>
  <c r="N428"/>
  <c r="O429"/>
  <c r="O427"/>
  <c r="N427"/>
  <c r="O428"/>
  <c r="M429"/>
  <c r="M420"/>
  <c r="N421"/>
  <c r="M419"/>
  <c r="N420"/>
  <c r="O421"/>
  <c r="M421"/>
  <c r="O420"/>
  <c r="N419"/>
  <c r="O419"/>
  <c r="M411"/>
  <c r="N412"/>
  <c r="O413"/>
  <c r="O412"/>
  <c r="N411"/>
  <c r="M413"/>
  <c r="N413"/>
  <c r="O411"/>
  <c r="M412"/>
  <c r="O407"/>
  <c r="M409"/>
  <c r="N408"/>
  <c r="M407"/>
  <c r="O408"/>
  <c r="O409"/>
  <c r="N409"/>
  <c r="N407"/>
  <c r="M408"/>
  <c r="M379"/>
  <c r="N380"/>
  <c r="O381"/>
  <c r="O380"/>
  <c r="N379"/>
  <c r="M381"/>
  <c r="M380"/>
  <c r="O379"/>
  <c r="N381"/>
  <c r="O375"/>
  <c r="M377"/>
  <c r="N376"/>
  <c r="M375"/>
  <c r="O376"/>
  <c r="M376"/>
  <c r="N375"/>
  <c r="N377"/>
  <c r="O377"/>
  <c r="M347"/>
  <c r="N348"/>
  <c r="O349"/>
  <c r="N347"/>
  <c r="O348"/>
  <c r="N349"/>
  <c r="O347"/>
  <c r="M348"/>
  <c r="M349"/>
  <c r="M331"/>
  <c r="N332"/>
  <c r="O333"/>
  <c r="N331"/>
  <c r="O332"/>
  <c r="N333"/>
  <c r="O331"/>
  <c r="M333"/>
  <c r="M332"/>
  <c r="M315"/>
  <c r="N316"/>
  <c r="O317"/>
  <c r="N315"/>
  <c r="O316"/>
  <c r="N317"/>
  <c r="O315"/>
  <c r="M316"/>
  <c r="M317"/>
  <c r="M299"/>
  <c r="N300"/>
  <c r="O301"/>
  <c r="N299"/>
  <c r="O300"/>
  <c r="N301"/>
  <c r="O299"/>
  <c r="M301"/>
  <c r="M300"/>
  <c r="M283"/>
  <c r="N284"/>
  <c r="O285"/>
  <c r="N283"/>
  <c r="O284"/>
  <c r="N285"/>
  <c r="O283"/>
  <c r="M284"/>
  <c r="M285"/>
  <c r="M267"/>
  <c r="N268"/>
  <c r="O269"/>
  <c r="N267"/>
  <c r="O268"/>
  <c r="N269"/>
  <c r="O267"/>
  <c r="M269"/>
  <c r="M268"/>
  <c r="M251"/>
  <c r="N252"/>
  <c r="O253"/>
  <c r="N251"/>
  <c r="O252"/>
  <c r="N253"/>
  <c r="O251"/>
  <c r="M252"/>
  <c r="M253"/>
  <c r="M235"/>
  <c r="N236"/>
  <c r="O237"/>
  <c r="Q235" s="1"/>
  <c r="S61" s="1"/>
  <c r="N235"/>
  <c r="O236"/>
  <c r="N237"/>
  <c r="O235"/>
  <c r="M237"/>
  <c r="M236"/>
  <c r="M219"/>
  <c r="N220"/>
  <c r="O221"/>
  <c r="N219"/>
  <c r="O220"/>
  <c r="N221"/>
  <c r="O219"/>
  <c r="M220"/>
  <c r="M221"/>
  <c r="M203"/>
  <c r="N204"/>
  <c r="O205"/>
  <c r="N203"/>
  <c r="O204"/>
  <c r="N205"/>
  <c r="O203"/>
  <c r="M205"/>
  <c r="M204"/>
  <c r="O359"/>
  <c r="M361"/>
  <c r="N359"/>
  <c r="N361"/>
  <c r="M360"/>
  <c r="O361"/>
  <c r="M359"/>
  <c r="N360"/>
  <c r="Q359" s="1"/>
  <c r="S92" s="1"/>
  <c r="O360"/>
  <c r="O351"/>
  <c r="M353"/>
  <c r="M352"/>
  <c r="N353"/>
  <c r="O352"/>
  <c r="M351"/>
  <c r="O353"/>
  <c r="N352"/>
  <c r="N351"/>
  <c r="O343"/>
  <c r="M345"/>
  <c r="M344"/>
  <c r="N345"/>
  <c r="N343"/>
  <c r="N344"/>
  <c r="O345"/>
  <c r="O344"/>
  <c r="M343"/>
  <c r="O335"/>
  <c r="M337"/>
  <c r="M336"/>
  <c r="N337"/>
  <c r="O336"/>
  <c r="M335"/>
  <c r="O337"/>
  <c r="N335"/>
  <c r="N336"/>
  <c r="O327"/>
  <c r="M329"/>
  <c r="M328"/>
  <c r="N329"/>
  <c r="N327"/>
  <c r="N328"/>
  <c r="M327"/>
  <c r="O328"/>
  <c r="O329"/>
  <c r="Q327" s="1"/>
  <c r="S84" s="1"/>
  <c r="O319"/>
  <c r="M321"/>
  <c r="M320"/>
  <c r="N321"/>
  <c r="O320"/>
  <c r="M319"/>
  <c r="O321"/>
  <c r="N320"/>
  <c r="N319"/>
  <c r="O311"/>
  <c r="M313"/>
  <c r="M312"/>
  <c r="N313"/>
  <c r="N311"/>
  <c r="N312"/>
  <c r="O313"/>
  <c r="O312"/>
  <c r="M311"/>
  <c r="O303"/>
  <c r="M305"/>
  <c r="M304"/>
  <c r="N305"/>
  <c r="O304"/>
  <c r="M303"/>
  <c r="O305"/>
  <c r="N303"/>
  <c r="N304"/>
  <c r="O295"/>
  <c r="M297"/>
  <c r="M296"/>
  <c r="N297"/>
  <c r="N295"/>
  <c r="N296"/>
  <c r="M295"/>
  <c r="O296"/>
  <c r="O297"/>
  <c r="O287"/>
  <c r="M289"/>
  <c r="M288"/>
  <c r="N289"/>
  <c r="O288"/>
  <c r="M287"/>
  <c r="O289"/>
  <c r="N288"/>
  <c r="N287"/>
  <c r="O279"/>
  <c r="M281"/>
  <c r="M280"/>
  <c r="N281"/>
  <c r="N279"/>
  <c r="N280"/>
  <c r="O281"/>
  <c r="O280"/>
  <c r="M279"/>
  <c r="O271"/>
  <c r="M273"/>
  <c r="M272"/>
  <c r="N273"/>
  <c r="O272"/>
  <c r="M271"/>
  <c r="O273"/>
  <c r="N271"/>
  <c r="N272"/>
  <c r="O263"/>
  <c r="M265"/>
  <c r="M264"/>
  <c r="N265"/>
  <c r="N263"/>
  <c r="N264"/>
  <c r="M263"/>
  <c r="O264"/>
  <c r="O265"/>
  <c r="O255"/>
  <c r="M257"/>
  <c r="M256"/>
  <c r="N257"/>
  <c r="O256"/>
  <c r="M255"/>
  <c r="O257"/>
  <c r="N256"/>
  <c r="N255"/>
  <c r="O247"/>
  <c r="M249"/>
  <c r="M248"/>
  <c r="N249"/>
  <c r="N247"/>
  <c r="N248"/>
  <c r="O249"/>
  <c r="O248"/>
  <c r="M247"/>
  <c r="O239"/>
  <c r="M241"/>
  <c r="M240"/>
  <c r="N241"/>
  <c r="O240"/>
  <c r="M239"/>
  <c r="O241"/>
  <c r="N239"/>
  <c r="N240"/>
  <c r="O231"/>
  <c r="M233"/>
  <c r="M232"/>
  <c r="N233"/>
  <c r="N231"/>
  <c r="N232"/>
  <c r="M231"/>
  <c r="O232"/>
  <c r="O233"/>
  <c r="O223"/>
  <c r="M225"/>
  <c r="M224"/>
  <c r="N225"/>
  <c r="O224"/>
  <c r="M223"/>
  <c r="O225"/>
  <c r="N224"/>
  <c r="N223"/>
  <c r="O215"/>
  <c r="M217"/>
  <c r="M216"/>
  <c r="N217"/>
  <c r="N215"/>
  <c r="N216"/>
  <c r="O217"/>
  <c r="O216"/>
  <c r="M215"/>
  <c r="O207"/>
  <c r="M209"/>
  <c r="M208"/>
  <c r="N209"/>
  <c r="O208"/>
  <c r="M207"/>
  <c r="O209"/>
  <c r="N207"/>
  <c r="N208"/>
  <c r="O199"/>
  <c r="M201"/>
  <c r="N199"/>
  <c r="O200"/>
  <c r="M200"/>
  <c r="N201"/>
  <c r="M199"/>
  <c r="N200"/>
  <c r="O201"/>
  <c r="O191"/>
  <c r="M193"/>
  <c r="N191"/>
  <c r="O192"/>
  <c r="M192"/>
  <c r="N193"/>
  <c r="M191"/>
  <c r="N192"/>
  <c r="O193"/>
  <c r="O183"/>
  <c r="M185"/>
  <c r="N183"/>
  <c r="O184"/>
  <c r="M184"/>
  <c r="N185"/>
  <c r="N184"/>
  <c r="Q183" s="1"/>
  <c r="S48" s="1"/>
  <c r="O185"/>
  <c r="M183"/>
  <c r="O175"/>
  <c r="M177"/>
  <c r="N175"/>
  <c r="O176"/>
  <c r="M176"/>
  <c r="N177"/>
  <c r="O177"/>
  <c r="M175"/>
  <c r="N176"/>
  <c r="O167"/>
  <c r="M169"/>
  <c r="N167"/>
  <c r="O168"/>
  <c r="M168"/>
  <c r="N169"/>
  <c r="M167"/>
  <c r="O169"/>
  <c r="N168"/>
  <c r="O159"/>
  <c r="M161"/>
  <c r="N159"/>
  <c r="O160"/>
  <c r="M160"/>
  <c r="N161"/>
  <c r="M159"/>
  <c r="N160"/>
  <c r="O161"/>
  <c r="O151"/>
  <c r="M153"/>
  <c r="N151"/>
  <c r="O152"/>
  <c r="M152"/>
  <c r="N153"/>
  <c r="N152"/>
  <c r="O153"/>
  <c r="M151"/>
  <c r="O143"/>
  <c r="M145"/>
  <c r="N143"/>
  <c r="O144"/>
  <c r="M144"/>
  <c r="N145"/>
  <c r="O145"/>
  <c r="N144"/>
  <c r="M143"/>
  <c r="O135"/>
  <c r="M137"/>
  <c r="N135"/>
  <c r="O136"/>
  <c r="M136"/>
  <c r="N137"/>
  <c r="M135"/>
  <c r="N136"/>
  <c r="O137"/>
  <c r="O127"/>
  <c r="M129"/>
  <c r="N127"/>
  <c r="O128"/>
  <c r="M128"/>
  <c r="N129"/>
  <c r="M127"/>
  <c r="N128"/>
  <c r="O129"/>
  <c r="O119"/>
  <c r="M121"/>
  <c r="N119"/>
  <c r="O120"/>
  <c r="M120"/>
  <c r="N121"/>
  <c r="N120"/>
  <c r="Q119" s="1"/>
  <c r="S32" s="1"/>
  <c r="O121"/>
  <c r="M119"/>
  <c r="O111"/>
  <c r="M113"/>
  <c r="N111"/>
  <c r="O112"/>
  <c r="M112"/>
  <c r="N113"/>
  <c r="O113"/>
  <c r="M111"/>
  <c r="N112"/>
  <c r="O103"/>
  <c r="M105"/>
  <c r="N103"/>
  <c r="O104"/>
  <c r="M104"/>
  <c r="N105"/>
  <c r="M103"/>
  <c r="O105"/>
  <c r="N104"/>
  <c r="O95"/>
  <c r="M97"/>
  <c r="N95"/>
  <c r="O96"/>
  <c r="M96"/>
  <c r="N97"/>
  <c r="M95"/>
  <c r="N96"/>
  <c r="O97"/>
  <c r="O87"/>
  <c r="M89"/>
  <c r="N87"/>
  <c r="O88"/>
  <c r="M88"/>
  <c r="N89"/>
  <c r="N88"/>
  <c r="O89"/>
  <c r="M87"/>
  <c r="O79"/>
  <c r="M81"/>
  <c r="N79"/>
  <c r="O80"/>
  <c r="M80"/>
  <c r="N81"/>
  <c r="O81"/>
  <c r="N80"/>
  <c r="M79"/>
  <c r="O71"/>
  <c r="M73"/>
  <c r="N71"/>
  <c r="O72"/>
  <c r="M72"/>
  <c r="N73"/>
  <c r="M71"/>
  <c r="N72"/>
  <c r="O73"/>
  <c r="O63"/>
  <c r="M65"/>
  <c r="N63"/>
  <c r="O64"/>
  <c r="M64"/>
  <c r="N65"/>
  <c r="M63"/>
  <c r="N64"/>
  <c r="O65"/>
  <c r="O55"/>
  <c r="M57"/>
  <c r="N55"/>
  <c r="O56"/>
  <c r="M56"/>
  <c r="N57"/>
  <c r="N56"/>
  <c r="Q55" s="1"/>
  <c r="S16" s="1"/>
  <c r="O57"/>
  <c r="M55"/>
  <c r="O47"/>
  <c r="M49"/>
  <c r="N47"/>
  <c r="O48"/>
  <c r="M48"/>
  <c r="N49"/>
  <c r="O49"/>
  <c r="M47"/>
  <c r="N48"/>
  <c r="O39"/>
  <c r="M41"/>
  <c r="N39"/>
  <c r="O40"/>
  <c r="M40"/>
  <c r="N41"/>
  <c r="M39"/>
  <c r="O41"/>
  <c r="N40"/>
  <c r="O31"/>
  <c r="M33"/>
  <c r="N31"/>
  <c r="O32"/>
  <c r="M32"/>
  <c r="N33"/>
  <c r="M31"/>
  <c r="N32"/>
  <c r="O33"/>
  <c r="O23"/>
  <c r="M25"/>
  <c r="N23"/>
  <c r="O24"/>
  <c r="M24"/>
  <c r="N25"/>
  <c r="N24"/>
  <c r="M23"/>
  <c r="O25"/>
  <c r="O15"/>
  <c r="M17"/>
  <c r="N15"/>
  <c r="O16"/>
  <c r="M16"/>
  <c r="N17"/>
  <c r="O17"/>
  <c r="N16"/>
  <c r="M15"/>
  <c r="O7"/>
  <c r="M9"/>
  <c r="N7"/>
  <c r="O8"/>
  <c r="M8"/>
  <c r="N9"/>
  <c r="O9"/>
  <c r="M7"/>
  <c r="N8"/>
  <c r="M195"/>
  <c r="N196"/>
  <c r="O197"/>
  <c r="M196"/>
  <c r="N197"/>
  <c r="N195"/>
  <c r="O196"/>
  <c r="M197"/>
  <c r="O195"/>
  <c r="M187"/>
  <c r="N188"/>
  <c r="O189"/>
  <c r="M188"/>
  <c r="N189"/>
  <c r="N187"/>
  <c r="O188"/>
  <c r="O187"/>
  <c r="M189"/>
  <c r="M179"/>
  <c r="N180"/>
  <c r="O181"/>
  <c r="M180"/>
  <c r="N181"/>
  <c r="N179"/>
  <c r="O180"/>
  <c r="O179"/>
  <c r="M181"/>
  <c r="M171"/>
  <c r="N172"/>
  <c r="O173"/>
  <c r="M172"/>
  <c r="N173"/>
  <c r="N171"/>
  <c r="O172"/>
  <c r="O171"/>
  <c r="M173"/>
  <c r="M163"/>
  <c r="N164"/>
  <c r="O165"/>
  <c r="Q163" s="1"/>
  <c r="S43" s="1"/>
  <c r="M164"/>
  <c r="N165"/>
  <c r="N163"/>
  <c r="O164"/>
  <c r="M165"/>
  <c r="O163"/>
  <c r="M155"/>
  <c r="N156"/>
  <c r="O157"/>
  <c r="M156"/>
  <c r="N157"/>
  <c r="N155"/>
  <c r="O156"/>
  <c r="M157"/>
  <c r="O155"/>
  <c r="M147"/>
  <c r="N148"/>
  <c r="O149"/>
  <c r="M148"/>
  <c r="N149"/>
  <c r="N147"/>
  <c r="O148"/>
  <c r="O147"/>
  <c r="M149"/>
  <c r="M139"/>
  <c r="N140"/>
  <c r="O141"/>
  <c r="M140"/>
  <c r="N141"/>
  <c r="N139"/>
  <c r="O140"/>
  <c r="O139"/>
  <c r="M141"/>
  <c r="M131"/>
  <c r="N132"/>
  <c r="O133"/>
  <c r="M132"/>
  <c r="N133"/>
  <c r="N131"/>
  <c r="O132"/>
  <c r="M133"/>
  <c r="O131"/>
  <c r="M123"/>
  <c r="N124"/>
  <c r="O125"/>
  <c r="M124"/>
  <c r="N125"/>
  <c r="N123"/>
  <c r="O124"/>
  <c r="O123"/>
  <c r="M125"/>
  <c r="M115"/>
  <c r="N116"/>
  <c r="O117"/>
  <c r="M116"/>
  <c r="N117"/>
  <c r="N115"/>
  <c r="O116"/>
  <c r="O115"/>
  <c r="M117"/>
  <c r="M107"/>
  <c r="Q107" s="1"/>
  <c r="S29" s="1"/>
  <c r="N108"/>
  <c r="O109"/>
  <c r="M108"/>
  <c r="N109"/>
  <c r="N107"/>
  <c r="O108"/>
  <c r="O107"/>
  <c r="M109"/>
  <c r="M99"/>
  <c r="N100"/>
  <c r="O101"/>
  <c r="M100"/>
  <c r="N101"/>
  <c r="N99"/>
  <c r="O100"/>
  <c r="M101"/>
  <c r="O99"/>
  <c r="M91"/>
  <c r="N92"/>
  <c r="O93"/>
  <c r="M92"/>
  <c r="N93"/>
  <c r="N91"/>
  <c r="O92"/>
  <c r="M93"/>
  <c r="O91"/>
  <c r="M83"/>
  <c r="N84"/>
  <c r="O85"/>
  <c r="M84"/>
  <c r="N85"/>
  <c r="N83"/>
  <c r="O84"/>
  <c r="O83"/>
  <c r="M85"/>
  <c r="M75"/>
  <c r="N76"/>
  <c r="O77"/>
  <c r="M76"/>
  <c r="N77"/>
  <c r="N75"/>
  <c r="O76"/>
  <c r="O75"/>
  <c r="M77"/>
  <c r="M67"/>
  <c r="N68"/>
  <c r="O69"/>
  <c r="M68"/>
  <c r="N69"/>
  <c r="N67"/>
  <c r="O68"/>
  <c r="M69"/>
  <c r="O67"/>
  <c r="M59"/>
  <c r="N60"/>
  <c r="O61"/>
  <c r="M60"/>
  <c r="N61"/>
  <c r="N59"/>
  <c r="O60"/>
  <c r="O59"/>
  <c r="M61"/>
  <c r="M51"/>
  <c r="N52"/>
  <c r="O53"/>
  <c r="M52"/>
  <c r="N53"/>
  <c r="N51"/>
  <c r="O52"/>
  <c r="O51"/>
  <c r="M53"/>
  <c r="M43"/>
  <c r="Q43" s="1"/>
  <c r="S13" s="1"/>
  <c r="N44"/>
  <c r="O45"/>
  <c r="M44"/>
  <c r="N45"/>
  <c r="N43"/>
  <c r="O44"/>
  <c r="O43"/>
  <c r="M45"/>
  <c r="M35"/>
  <c r="N36"/>
  <c r="O37"/>
  <c r="M36"/>
  <c r="N37"/>
  <c r="N35"/>
  <c r="O36"/>
  <c r="M37"/>
  <c r="O35"/>
  <c r="M27"/>
  <c r="N28"/>
  <c r="O29"/>
  <c r="M28"/>
  <c r="N29"/>
  <c r="N27"/>
  <c r="O28"/>
  <c r="M29"/>
  <c r="O27"/>
  <c r="M19"/>
  <c r="N20"/>
  <c r="O21"/>
  <c r="M20"/>
  <c r="N21"/>
  <c r="N19"/>
  <c r="O20"/>
  <c r="O19"/>
  <c r="M21"/>
  <c r="M11"/>
  <c r="Q11" s="1"/>
  <c r="S5" s="1"/>
  <c r="N12"/>
  <c r="O13"/>
  <c r="M12"/>
  <c r="N13"/>
  <c r="N11"/>
  <c r="O12"/>
  <c r="O11"/>
  <c r="M13"/>
  <c r="O3"/>
  <c r="M5"/>
  <c r="N3"/>
  <c r="O4"/>
  <c r="M3"/>
  <c r="N4"/>
  <c r="O5"/>
  <c r="M4"/>
  <c r="N5"/>
  <c r="Q227"/>
  <c r="S59" s="1"/>
  <c r="Q171"/>
  <c r="S45" s="1"/>
  <c r="Q423"/>
  <c r="S108" s="1"/>
  <c r="Q679"/>
  <c r="S172" s="1"/>
  <c r="Q355"/>
  <c r="S91" s="1"/>
  <c r="Q547"/>
  <c r="S139" s="1"/>
  <c r="Q611"/>
  <c r="S155" s="1"/>
  <c r="Q479"/>
  <c r="S122" s="1"/>
  <c r="Q363"/>
  <c r="S93" s="1"/>
  <c r="Q683"/>
  <c r="S173" s="1"/>
  <c r="Q775"/>
  <c r="S196" s="1"/>
  <c r="Q871"/>
  <c r="S220" s="1"/>
  <c r="Q935"/>
  <c r="S236" s="1"/>
  <c r="Q999"/>
  <c r="S252" s="1"/>
  <c r="Q851"/>
  <c r="S215" s="1"/>
  <c r="Q915"/>
  <c r="S231" s="1"/>
  <c r="Q979"/>
  <c r="S247" s="1"/>
  <c r="Q1043"/>
  <c r="S263" s="1"/>
  <c r="Q1107"/>
  <c r="S279" s="1"/>
  <c r="Q719"/>
  <c r="S182" s="1"/>
  <c r="Q991"/>
  <c r="S250" s="1"/>
  <c r="Q1055"/>
  <c r="S266" s="1"/>
  <c r="Q891"/>
  <c r="S225" s="1"/>
  <c r="Q955"/>
  <c r="S241" s="1"/>
  <c r="S11" i="10" l="1"/>
  <c r="S27"/>
  <c r="S43"/>
  <c r="S75"/>
  <c r="S91"/>
  <c r="S107"/>
  <c r="S139"/>
  <c r="S155"/>
  <c r="S171"/>
  <c r="S203"/>
  <c r="S219"/>
  <c r="S235"/>
  <c r="S267"/>
  <c r="S283"/>
  <c r="S299"/>
  <c r="S331"/>
  <c r="S347"/>
  <c r="S363"/>
  <c r="S47"/>
  <c r="S111"/>
  <c r="S175"/>
  <c r="S239"/>
  <c r="S303"/>
  <c r="S367"/>
  <c r="S19"/>
  <c r="S83"/>
  <c r="S147"/>
  <c r="S211"/>
  <c r="S275"/>
  <c r="S339"/>
  <c r="S403"/>
  <c r="S87"/>
  <c r="S343"/>
  <c r="S471"/>
  <c r="S535"/>
  <c r="S599"/>
  <c r="S663"/>
  <c r="S103"/>
  <c r="S359"/>
  <c r="S475"/>
  <c r="S539"/>
  <c r="S603"/>
  <c r="S667"/>
  <c r="S119"/>
  <c r="S375"/>
  <c r="S463"/>
  <c r="S527"/>
  <c r="S591"/>
  <c r="S655"/>
  <c r="S719"/>
  <c r="S735"/>
  <c r="S783"/>
  <c r="S831"/>
  <c r="S627"/>
  <c r="S727"/>
  <c r="S795"/>
  <c r="S915"/>
  <c r="S931"/>
  <c r="S879"/>
  <c r="S515"/>
  <c r="S871"/>
  <c r="S935"/>
  <c r="S999"/>
  <c r="S1063"/>
  <c r="S199"/>
  <c r="S595"/>
  <c r="S763"/>
  <c r="S891"/>
  <c r="S939"/>
  <c r="S955"/>
  <c r="S1067"/>
  <c r="S419"/>
  <c r="S675"/>
  <c r="S743"/>
  <c r="S803"/>
  <c r="S847"/>
  <c r="S1023"/>
  <c r="S1087"/>
  <c r="S31"/>
  <c r="S95"/>
  <c r="S159"/>
  <c r="S223"/>
  <c r="S287"/>
  <c r="S351"/>
  <c r="S67"/>
  <c r="S131"/>
  <c r="S195"/>
  <c r="S259"/>
  <c r="S323"/>
  <c r="S387"/>
  <c r="S23"/>
  <c r="S279"/>
  <c r="S423"/>
  <c r="S439"/>
  <c r="S455"/>
  <c r="S487"/>
  <c r="S503"/>
  <c r="S519"/>
  <c r="S551"/>
  <c r="S567"/>
  <c r="S583"/>
  <c r="S615"/>
  <c r="S647"/>
  <c r="S679"/>
  <c r="S695"/>
  <c r="S39"/>
  <c r="S295"/>
  <c r="S459"/>
  <c r="S523"/>
  <c r="S587"/>
  <c r="S651"/>
  <c r="S55"/>
  <c r="S311"/>
  <c r="S447"/>
  <c r="S511"/>
  <c r="S575"/>
  <c r="S639"/>
  <c r="S703"/>
  <c r="S799"/>
  <c r="S327"/>
  <c r="S563"/>
  <c r="S791"/>
  <c r="S1059"/>
  <c r="S863"/>
  <c r="S959"/>
  <c r="S991"/>
  <c r="S391"/>
  <c r="S451"/>
  <c r="S707"/>
  <c r="S715"/>
  <c r="S855"/>
  <c r="S919"/>
  <c r="S983"/>
  <c r="S1047"/>
  <c r="S1111"/>
  <c r="S911"/>
  <c r="S399"/>
  <c r="S531"/>
  <c r="S759"/>
  <c r="S875"/>
  <c r="S923"/>
  <c r="S1003"/>
  <c r="S1115"/>
  <c r="S263"/>
  <c r="S611"/>
  <c r="S975"/>
  <c r="S1071"/>
  <c r="S15"/>
  <c r="S79"/>
  <c r="S143"/>
  <c r="S207"/>
  <c r="S271"/>
  <c r="S335"/>
  <c r="S723"/>
  <c r="S883"/>
  <c r="S711"/>
  <c r="S779"/>
  <c r="S967"/>
  <c r="S1031"/>
  <c r="S1095"/>
  <c r="S943"/>
  <c r="S755"/>
  <c r="S823"/>
  <c r="S859"/>
  <c r="S987"/>
  <c r="S547"/>
  <c r="S767"/>
  <c r="S867"/>
  <c r="S899"/>
  <c r="S947"/>
  <c r="S775"/>
  <c r="Q247" i="6"/>
  <c r="S64" s="1"/>
  <c r="Q483"/>
  <c r="S123" s="1"/>
  <c r="Q7"/>
  <c r="S4" s="1"/>
  <c r="Q159"/>
  <c r="S42" s="1"/>
  <c r="Q223"/>
  <c r="S58" s="1"/>
  <c r="Q335"/>
  <c r="S86" s="1"/>
  <c r="Q35"/>
  <c r="S11" s="1"/>
  <c r="Q99"/>
  <c r="S27" s="1"/>
  <c r="Q15"/>
  <c r="S6" s="1"/>
  <c r="Q31"/>
  <c r="S10" s="1"/>
  <c r="Q95"/>
  <c r="S26" s="1"/>
  <c r="Q283"/>
  <c r="S73" s="1"/>
  <c r="Q419"/>
  <c r="S107" s="1"/>
  <c r="Q427"/>
  <c r="S109" s="1"/>
  <c r="Q1067"/>
  <c r="S269" s="1"/>
  <c r="Q1003"/>
  <c r="S253" s="1"/>
  <c r="Q939"/>
  <c r="S237" s="1"/>
  <c r="Q875"/>
  <c r="S221" s="1"/>
  <c r="Q811"/>
  <c r="S205" s="1"/>
  <c r="Q1103"/>
  <c r="S278" s="1"/>
  <c r="Q1039"/>
  <c r="S262" s="1"/>
  <c r="Q975"/>
  <c r="S246" s="1"/>
  <c r="Q911"/>
  <c r="S230" s="1"/>
  <c r="Q847"/>
  <c r="S214" s="1"/>
  <c r="Q799"/>
  <c r="S202" s="1"/>
  <c r="Q735"/>
  <c r="S186" s="1"/>
  <c r="Q1091"/>
  <c r="S275" s="1"/>
  <c r="Q1027"/>
  <c r="S259" s="1"/>
  <c r="Q963"/>
  <c r="S243" s="1"/>
  <c r="Q899"/>
  <c r="S227" s="1"/>
  <c r="Q835"/>
  <c r="S211" s="1"/>
  <c r="Q1111"/>
  <c r="S280" s="1"/>
  <c r="Q1047"/>
  <c r="S264" s="1"/>
  <c r="Q983"/>
  <c r="S248" s="1"/>
  <c r="Q919"/>
  <c r="S232" s="1"/>
  <c r="Q855"/>
  <c r="S216" s="1"/>
  <c r="Q791"/>
  <c r="S200" s="1"/>
  <c r="Q727"/>
  <c r="S184" s="1"/>
  <c r="Q667"/>
  <c r="S169" s="1"/>
  <c r="Q603"/>
  <c r="S153" s="1"/>
  <c r="Q539"/>
  <c r="S137" s="1"/>
  <c r="Q475"/>
  <c r="S121" s="1"/>
  <c r="Q411"/>
  <c r="S105" s="1"/>
  <c r="Q787"/>
  <c r="S199" s="1"/>
  <c r="Q655"/>
  <c r="S166" s="1"/>
  <c r="Q591"/>
  <c r="S150" s="1"/>
  <c r="Q527"/>
  <c r="S134" s="1"/>
  <c r="Q463"/>
  <c r="S118" s="1"/>
  <c r="Q399"/>
  <c r="S102" s="1"/>
  <c r="Q351"/>
  <c r="S90" s="1"/>
  <c r="Q287"/>
  <c r="S74" s="1"/>
  <c r="Q779"/>
  <c r="S197" s="1"/>
  <c r="Q659"/>
  <c r="S167" s="1"/>
  <c r="Q595"/>
  <c r="S151" s="1"/>
  <c r="Q531"/>
  <c r="S135" s="1"/>
  <c r="Q467"/>
  <c r="S119" s="1"/>
  <c r="Q403"/>
  <c r="S103" s="1"/>
  <c r="Q803"/>
  <c r="S203" s="1"/>
  <c r="Q663"/>
  <c r="S168" s="1"/>
  <c r="Q599"/>
  <c r="S152" s="1"/>
  <c r="Q535"/>
  <c r="S136" s="1"/>
  <c r="Q471"/>
  <c r="S120" s="1"/>
  <c r="Q407"/>
  <c r="S104" s="1"/>
  <c r="Q343"/>
  <c r="S88" s="1"/>
  <c r="Q231"/>
  <c r="S60" s="1"/>
  <c r="Q167"/>
  <c r="S44" s="1"/>
  <c r="Q103"/>
  <c r="S28" s="1"/>
  <c r="Q39"/>
  <c r="S12" s="1"/>
  <c r="Q219"/>
  <c r="S57" s="1"/>
  <c r="Q155"/>
  <c r="S41" s="1"/>
  <c r="Q91"/>
  <c r="S25" s="1"/>
  <c r="Q331"/>
  <c r="S85" s="1"/>
  <c r="Q271"/>
  <c r="S70" s="1"/>
  <c r="Q207"/>
  <c r="S54" s="1"/>
  <c r="Q143"/>
  <c r="S38" s="1"/>
  <c r="Q79"/>
  <c r="S22" s="1"/>
  <c r="Q323"/>
  <c r="S83" s="1"/>
  <c r="Q275"/>
  <c r="S71" s="1"/>
  <c r="Q211"/>
  <c r="S55" s="1"/>
  <c r="Q147"/>
  <c r="S39" s="1"/>
  <c r="Q83"/>
  <c r="S23" s="1"/>
  <c r="Q3"/>
  <c r="S3" s="1"/>
  <c r="Q1099"/>
  <c r="S277" s="1"/>
  <c r="Q1035"/>
  <c r="S261" s="1"/>
  <c r="Q971"/>
  <c r="S245" s="1"/>
  <c r="Q907"/>
  <c r="S229" s="1"/>
  <c r="Q843"/>
  <c r="S213" s="1"/>
  <c r="Q1071"/>
  <c r="S270" s="1"/>
  <c r="Q1007"/>
  <c r="S254" s="1"/>
  <c r="Q943"/>
  <c r="S238" s="1"/>
  <c r="Q879"/>
  <c r="S222" s="1"/>
  <c r="Q815"/>
  <c r="S206" s="1"/>
  <c r="Q767"/>
  <c r="S194" s="1"/>
  <c r="Q1059"/>
  <c r="S267" s="1"/>
  <c r="Q995"/>
  <c r="S251" s="1"/>
  <c r="Q931"/>
  <c r="S235" s="1"/>
  <c r="Q867"/>
  <c r="S219" s="1"/>
  <c r="Q1079"/>
  <c r="S272" s="1"/>
  <c r="Q1015"/>
  <c r="S256" s="1"/>
  <c r="Q951"/>
  <c r="S240" s="1"/>
  <c r="Q887"/>
  <c r="S224" s="1"/>
  <c r="Q823"/>
  <c r="S208" s="1"/>
  <c r="Q759"/>
  <c r="S192" s="1"/>
  <c r="Q763"/>
  <c r="S193" s="1"/>
  <c r="Q699"/>
  <c r="S177" s="1"/>
  <c r="Q635"/>
  <c r="S161" s="1"/>
  <c r="Q571"/>
  <c r="S145" s="1"/>
  <c r="Q507"/>
  <c r="S129" s="1"/>
  <c r="Q443"/>
  <c r="S113" s="1"/>
  <c r="Q379"/>
  <c r="S97" s="1"/>
  <c r="Q723"/>
  <c r="S183" s="1"/>
  <c r="Q687"/>
  <c r="S174" s="1"/>
  <c r="Q623"/>
  <c r="S158" s="1"/>
  <c r="Q559"/>
  <c r="S142" s="1"/>
  <c r="Q495"/>
  <c r="S126" s="1"/>
  <c r="Q431"/>
  <c r="S110" s="1"/>
  <c r="Q367"/>
  <c r="S94" s="1"/>
  <c r="Q319"/>
  <c r="S82" s="1"/>
  <c r="Q715"/>
  <c r="S181" s="1"/>
  <c r="Q691"/>
  <c r="S175" s="1"/>
  <c r="Q627"/>
  <c r="S159" s="1"/>
  <c r="Q563"/>
  <c r="S143" s="1"/>
  <c r="Q499"/>
  <c r="S127" s="1"/>
  <c r="Q435"/>
  <c r="S111" s="1"/>
  <c r="Q371"/>
  <c r="S95" s="1"/>
  <c r="Q739"/>
  <c r="S187" s="1"/>
  <c r="Q695"/>
  <c r="S176" s="1"/>
  <c r="Q631"/>
  <c r="S160" s="1"/>
  <c r="Q567"/>
  <c r="S144" s="1"/>
  <c r="Q503"/>
  <c r="S128" s="1"/>
  <c r="Q439"/>
  <c r="S112" s="1"/>
  <c r="Q375"/>
  <c r="S96" s="1"/>
  <c r="Q311"/>
  <c r="S80" s="1"/>
  <c r="Q279"/>
  <c r="S72" s="1"/>
  <c r="Q315"/>
  <c r="S81" s="1"/>
  <c r="Q263"/>
  <c r="S68" s="1"/>
  <c r="Q199"/>
  <c r="S52" s="1"/>
  <c r="Q135"/>
  <c r="S36" s="1"/>
  <c r="Q71"/>
  <c r="S20" s="1"/>
  <c r="Q307"/>
  <c r="S79" s="1"/>
  <c r="Q251"/>
  <c r="S65" s="1"/>
  <c r="Q187"/>
  <c r="S49" s="1"/>
  <c r="Q123"/>
  <c r="S33" s="1"/>
  <c r="Q59"/>
  <c r="S17" s="1"/>
  <c r="Q239"/>
  <c r="S62" s="1"/>
  <c r="Q175"/>
  <c r="S46" s="1"/>
  <c r="Q111"/>
  <c r="S30" s="1"/>
  <c r="Q47"/>
  <c r="S14" s="1"/>
  <c r="Q243"/>
  <c r="S63" s="1"/>
  <c r="Q179"/>
  <c r="S47" s="1"/>
  <c r="Q115"/>
  <c r="S31" s="1"/>
  <c r="Q51"/>
  <c r="S15" s="1"/>
  <c r="Q23"/>
  <c r="S8" s="1"/>
  <c r="Q27"/>
  <c r="S9" s="1"/>
  <c r="Q19"/>
  <c r="S7" s="1"/>
  <c r="Q1115"/>
  <c r="S281" s="1"/>
  <c r="Q1051"/>
  <c r="S265" s="1"/>
  <c r="Q987"/>
  <c r="S249" s="1"/>
  <c r="Q923"/>
  <c r="S233" s="1"/>
  <c r="Q859"/>
  <c r="S217" s="1"/>
  <c r="Q1087"/>
  <c r="S274" s="1"/>
  <c r="Q1023"/>
  <c r="S258" s="1"/>
  <c r="Q959"/>
  <c r="S242" s="1"/>
  <c r="Q895"/>
  <c r="S226" s="1"/>
  <c r="Q831"/>
  <c r="S210" s="1"/>
  <c r="Q751"/>
  <c r="S190" s="1"/>
  <c r="Q1075"/>
  <c r="S271" s="1"/>
  <c r="Q1011"/>
  <c r="S255" s="1"/>
  <c r="Q947"/>
  <c r="S239" s="1"/>
  <c r="Q883"/>
  <c r="S223" s="1"/>
  <c r="Q819"/>
  <c r="S207" s="1"/>
  <c r="Q1095"/>
  <c r="S276" s="1"/>
  <c r="Q1031"/>
  <c r="S260" s="1"/>
  <c r="Q967"/>
  <c r="S244" s="1"/>
  <c r="Q903"/>
  <c r="S228" s="1"/>
  <c r="Q839"/>
  <c r="S212" s="1"/>
  <c r="Q807"/>
  <c r="S204" s="1"/>
  <c r="Q743"/>
  <c r="S188" s="1"/>
  <c r="Q795"/>
  <c r="S201" s="1"/>
  <c r="Q651"/>
  <c r="S165" s="1"/>
  <c r="Q587"/>
  <c r="S149" s="1"/>
  <c r="Q523"/>
  <c r="S133" s="1"/>
  <c r="Q459"/>
  <c r="S117" s="1"/>
  <c r="Q395"/>
  <c r="S101" s="1"/>
  <c r="Q755"/>
  <c r="S191" s="1"/>
  <c r="Q703"/>
  <c r="S178" s="1"/>
  <c r="Q639"/>
  <c r="S162" s="1"/>
  <c r="Q575"/>
  <c r="S146" s="1"/>
  <c r="Q511"/>
  <c r="S130" s="1"/>
  <c r="Q447"/>
  <c r="S114" s="1"/>
  <c r="Q383"/>
  <c r="S98" s="1"/>
  <c r="Q303"/>
  <c r="S78" s="1"/>
  <c r="Q747"/>
  <c r="S189" s="1"/>
  <c r="Q707"/>
  <c r="S179" s="1"/>
  <c r="Q643"/>
  <c r="S163" s="1"/>
  <c r="Q579"/>
  <c r="S147" s="1"/>
  <c r="Q515"/>
  <c r="S131" s="1"/>
  <c r="Q451"/>
  <c r="S115" s="1"/>
  <c r="Q387"/>
  <c r="S99" s="1"/>
  <c r="Q771"/>
  <c r="S195" s="1"/>
  <c r="Q711"/>
  <c r="S180" s="1"/>
  <c r="Q647"/>
  <c r="S164" s="1"/>
  <c r="Q583"/>
  <c r="S148" s="1"/>
  <c r="Q519"/>
  <c r="S132" s="1"/>
  <c r="Q455"/>
  <c r="S116" s="1"/>
  <c r="Q391"/>
  <c r="S100" s="1"/>
  <c r="Q295"/>
  <c r="S76" s="1"/>
  <c r="Q347"/>
  <c r="S89" s="1"/>
  <c r="Q215"/>
  <c r="S56" s="1"/>
  <c r="Q151"/>
  <c r="S40" s="1"/>
  <c r="Q87"/>
  <c r="S24" s="1"/>
  <c r="Q339"/>
  <c r="S87" s="1"/>
  <c r="Q267"/>
  <c r="S69" s="1"/>
  <c r="Q203"/>
  <c r="S53" s="1"/>
  <c r="Q139"/>
  <c r="S37" s="1"/>
  <c r="Q75"/>
  <c r="S21" s="1"/>
  <c r="Q299"/>
  <c r="S77" s="1"/>
  <c r="Q255"/>
  <c r="S66" s="1"/>
  <c r="Q191"/>
  <c r="S50" s="1"/>
  <c r="Q127"/>
  <c r="S34" s="1"/>
  <c r="Q63"/>
  <c r="S18" s="1"/>
  <c r="Q291"/>
  <c r="S75" s="1"/>
  <c r="Q259"/>
  <c r="S67" s="1"/>
  <c r="Q195"/>
  <c r="S51" s="1"/>
  <c r="Q131"/>
  <c r="S35" s="1"/>
  <c r="Q67"/>
  <c r="S19" s="1"/>
  <c r="U4" l="1"/>
  <c r="U3"/>
  <c r="AA10" l="1"/>
  <c r="T263"/>
  <c r="T154"/>
  <c r="T48"/>
  <c r="T209"/>
  <c r="T220"/>
  <c r="T139"/>
  <c r="T4"/>
  <c r="T10"/>
  <c r="T109"/>
  <c r="T231"/>
  <c r="T122"/>
  <c r="T45"/>
  <c r="T16"/>
  <c r="T241"/>
  <c r="T252"/>
  <c r="T171"/>
  <c r="T59"/>
  <c r="T218"/>
  <c r="T141"/>
  <c r="T124"/>
  <c r="T273"/>
  <c r="T215"/>
  <c r="T106"/>
  <c r="T58"/>
  <c r="T6"/>
  <c r="T107"/>
  <c r="T182"/>
  <c r="T93"/>
  <c r="T92"/>
  <c r="T29"/>
  <c r="T140"/>
  <c r="T247"/>
  <c r="T138"/>
  <c r="T61"/>
  <c r="T282"/>
  <c r="T196"/>
  <c r="T123"/>
  <c r="T5"/>
  <c r="T279"/>
  <c r="T170"/>
  <c r="T64"/>
  <c r="T27"/>
  <c r="T73"/>
  <c r="T250"/>
  <c r="T173"/>
  <c r="T172"/>
  <c r="T13"/>
  <c r="T84"/>
  <c r="T198"/>
  <c r="T125"/>
  <c r="T108"/>
  <c r="T257"/>
  <c r="T268"/>
  <c r="T86"/>
  <c r="T42"/>
  <c r="T234"/>
  <c r="T157"/>
  <c r="T156"/>
  <c r="T11"/>
  <c r="T26"/>
  <c r="T225"/>
  <c r="T236"/>
  <c r="T155"/>
  <c r="T43"/>
  <c r="T32"/>
  <c r="T266"/>
  <c r="T185"/>
  <c r="T91"/>
  <c r="T186"/>
  <c r="T121"/>
  <c r="T203"/>
  <c r="T54"/>
  <c r="T267"/>
  <c r="T97"/>
  <c r="T187"/>
  <c r="T49"/>
  <c r="T249"/>
  <c r="T244"/>
  <c r="T114"/>
  <c r="T100"/>
  <c r="T75"/>
  <c r="T202"/>
  <c r="T137"/>
  <c r="T103"/>
  <c r="T70"/>
  <c r="T254"/>
  <c r="T177"/>
  <c r="T159"/>
  <c r="T52"/>
  <c r="T8"/>
  <c r="T239"/>
  <c r="T191"/>
  <c r="T180"/>
  <c r="T77"/>
  <c r="T278"/>
  <c r="T216"/>
  <c r="T197"/>
  <c r="T12"/>
  <c r="T261"/>
  <c r="T240"/>
  <c r="T110"/>
  <c r="T96"/>
  <c r="T14"/>
  <c r="T226"/>
  <c r="T165"/>
  <c r="T147"/>
  <c r="T87"/>
  <c r="T269"/>
  <c r="T211"/>
  <c r="T134"/>
  <c r="T104"/>
  <c r="T55"/>
  <c r="T251"/>
  <c r="T183"/>
  <c r="T176"/>
  <c r="T33"/>
  <c r="T233"/>
  <c r="T228"/>
  <c r="T98"/>
  <c r="T76"/>
  <c r="T67"/>
  <c r="T246"/>
  <c r="T184"/>
  <c r="T151"/>
  <c r="T41"/>
  <c r="T238"/>
  <c r="T161"/>
  <c r="T143"/>
  <c r="T36"/>
  <c r="T9"/>
  <c r="T223"/>
  <c r="T178"/>
  <c r="T164"/>
  <c r="T66"/>
  <c r="T262"/>
  <c r="T200"/>
  <c r="T167"/>
  <c r="T57"/>
  <c r="T245"/>
  <c r="T224"/>
  <c r="T94"/>
  <c r="T80"/>
  <c r="T63"/>
  <c r="T210"/>
  <c r="T149"/>
  <c r="T131"/>
  <c r="T69"/>
  <c r="T253"/>
  <c r="T280"/>
  <c r="T118"/>
  <c r="T88"/>
  <c r="T39"/>
  <c r="T235"/>
  <c r="T174"/>
  <c r="T160"/>
  <c r="T17"/>
  <c r="T217"/>
  <c r="T212"/>
  <c r="T78"/>
  <c r="T89"/>
  <c r="T51"/>
  <c r="T275"/>
  <c r="T105"/>
  <c r="T168"/>
  <c r="T38"/>
  <c r="T222"/>
  <c r="T145"/>
  <c r="T127"/>
  <c r="T20"/>
  <c r="T7"/>
  <c r="T207"/>
  <c r="T162"/>
  <c r="T148"/>
  <c r="T50"/>
  <c r="T221"/>
  <c r="T248"/>
  <c r="T90"/>
  <c r="T44"/>
  <c r="T229"/>
  <c r="T208"/>
  <c r="T82"/>
  <c r="T72"/>
  <c r="T47"/>
  <c r="T190"/>
  <c r="T133"/>
  <c r="T115"/>
  <c r="T53"/>
  <c r="T237"/>
  <c r="T264"/>
  <c r="T102"/>
  <c r="T60"/>
  <c r="T23"/>
  <c r="T219"/>
  <c r="T158"/>
  <c r="T144"/>
  <c r="T62"/>
  <c r="T274"/>
  <c r="T204"/>
  <c r="T189"/>
  <c r="T56"/>
  <c r="T35"/>
  <c r="T259"/>
  <c r="T199"/>
  <c r="T152"/>
  <c r="T22"/>
  <c r="T206"/>
  <c r="T129"/>
  <c r="T111"/>
  <c r="T79"/>
  <c r="T281"/>
  <c r="T276"/>
  <c r="T146"/>
  <c r="T132"/>
  <c r="T34"/>
  <c r="T230"/>
  <c r="T169"/>
  <c r="T135"/>
  <c r="T25"/>
  <c r="T213"/>
  <c r="T192"/>
  <c r="T181"/>
  <c r="T81"/>
  <c r="T31"/>
  <c r="T271"/>
  <c r="T117"/>
  <c r="T99"/>
  <c r="T37"/>
  <c r="T227"/>
  <c r="T150"/>
  <c r="T120"/>
  <c r="T71"/>
  <c r="T272"/>
  <c r="T142"/>
  <c r="T128"/>
  <c r="T46"/>
  <c r="T258"/>
  <c r="T188"/>
  <c r="T179"/>
  <c r="T40"/>
  <c r="T19"/>
  <c r="T243"/>
  <c r="T166"/>
  <c r="T136"/>
  <c r="T83"/>
  <c r="T194"/>
  <c r="T113"/>
  <c r="T95"/>
  <c r="T65"/>
  <c r="T265"/>
  <c r="T260"/>
  <c r="T130"/>
  <c r="T116"/>
  <c r="T18"/>
  <c r="T214"/>
  <c r="T153"/>
  <c r="T119"/>
  <c r="T85"/>
  <c r="T270"/>
  <c r="T193"/>
  <c r="T175"/>
  <c r="T68"/>
  <c r="T15"/>
  <c r="T255"/>
  <c r="T101"/>
  <c r="T195"/>
  <c r="T21"/>
  <c r="T205"/>
  <c r="T232"/>
  <c r="T74"/>
  <c r="T28"/>
  <c r="T277"/>
  <c r="T256"/>
  <c r="T126"/>
  <c r="T112"/>
  <c r="T30"/>
  <c r="T242"/>
  <c r="T201"/>
  <c r="T163"/>
  <c r="T24"/>
  <c r="T3"/>
  <c r="Z9"/>
  <c r="AA27"/>
  <c r="AB20"/>
  <c r="Z8"/>
  <c r="Y16"/>
  <c r="AC8"/>
  <c r="X33"/>
  <c r="AB22"/>
  <c r="AD19"/>
  <c r="AA28"/>
  <c r="AE25"/>
  <c r="AB34"/>
  <c r="X17"/>
  <c r="AC37"/>
  <c r="Z19"/>
  <c r="AE6"/>
  <c r="AB36"/>
  <c r="AD32"/>
  <c r="Z6"/>
  <c r="Z12"/>
  <c r="AA24"/>
  <c r="AE31"/>
  <c r="AD12"/>
  <c r="AA22"/>
  <c r="AD23"/>
  <c r="AB8"/>
  <c r="AC33"/>
  <c r="AD25"/>
  <c r="AD7"/>
  <c r="AC31"/>
  <c r="AA6"/>
  <c r="AE36"/>
  <c r="AB6"/>
  <c r="X34"/>
  <c r="AB5"/>
  <c r="X20"/>
  <c r="AC26"/>
  <c r="Y32"/>
  <c r="AC15"/>
  <c r="AC18"/>
  <c r="AB35"/>
  <c r="Y33"/>
  <c r="X15"/>
  <c r="AE10"/>
  <c r="Z31"/>
  <c r="AC20"/>
  <c r="X21"/>
  <c r="AD3"/>
  <c r="AC17"/>
  <c r="AC6"/>
  <c r="Z11"/>
  <c r="X7"/>
  <c r="AD18"/>
  <c r="AB23"/>
  <c r="Y15"/>
  <c r="AE27"/>
  <c r="Y12"/>
  <c r="Y18"/>
  <c r="AE16"/>
  <c r="AD30"/>
  <c r="AA5"/>
  <c r="Z26"/>
  <c r="X14"/>
  <c r="AD16"/>
  <c r="AB25"/>
  <c r="AB7"/>
  <c r="Z17"/>
  <c r="AE32"/>
  <c r="AE11"/>
  <c r="AA21"/>
  <c r="AA7"/>
  <c r="X30"/>
  <c r="AC32"/>
  <c r="Z28"/>
  <c r="X24"/>
  <c r="AE22"/>
  <c r="Y37"/>
  <c r="AE8"/>
  <c r="AE33"/>
  <c r="AD4"/>
  <c r="AE14"/>
  <c r="AE35"/>
  <c r="AD6"/>
  <c r="AB13"/>
  <c r="AC24"/>
  <c r="AA13"/>
  <c r="AC22"/>
  <c r="AA14"/>
  <c r="AB12"/>
  <c r="Z18"/>
  <c r="X12"/>
  <c r="Z15"/>
  <c r="X22"/>
  <c r="Y4"/>
  <c r="AE28"/>
  <c r="AC34"/>
  <c r="AD24"/>
  <c r="AE34"/>
  <c r="AD5"/>
  <c r="AD10"/>
  <c r="AB17"/>
  <c r="Z23"/>
  <c r="AA17"/>
  <c r="AB15"/>
  <c r="Z21"/>
  <c r="AA19"/>
  <c r="Z3"/>
  <c r="X16"/>
  <c r="X13"/>
  <c r="X10"/>
  <c r="X11"/>
  <c r="AE24"/>
  <c r="AC30"/>
  <c r="AD20"/>
  <c r="AE30"/>
  <c r="AC36"/>
  <c r="AD22"/>
  <c r="AB29"/>
  <c r="Z35"/>
  <c r="AA29"/>
  <c r="Z4"/>
  <c r="AA30"/>
  <c r="AB28"/>
  <c r="Z34"/>
  <c r="X28"/>
  <c r="X25"/>
  <c r="Y3"/>
  <c r="Y20"/>
  <c r="X4"/>
  <c r="AD15"/>
  <c r="AE5"/>
  <c r="AC7"/>
  <c r="AD21"/>
  <c r="AD26"/>
  <c r="AB33"/>
  <c r="AA4"/>
  <c r="AA33"/>
  <c r="AB31"/>
  <c r="Z37"/>
  <c r="AA35"/>
  <c r="Z14"/>
  <c r="X32"/>
  <c r="X29"/>
  <c r="X26"/>
  <c r="X27"/>
  <c r="X3"/>
  <c r="AD11"/>
  <c r="AD36"/>
  <c r="AC11"/>
  <c r="AD17"/>
  <c r="AE3"/>
  <c r="AC9"/>
  <c r="AA16"/>
  <c r="AB10"/>
  <c r="Z20"/>
  <c r="AB11"/>
  <c r="AC28"/>
  <c r="AA15"/>
  <c r="Y9"/>
  <c r="Y6"/>
  <c r="Y19"/>
  <c r="Y36"/>
  <c r="AD31"/>
  <c r="AE21"/>
  <c r="AC23"/>
  <c r="AD37"/>
  <c r="AE7"/>
  <c r="AC10"/>
  <c r="AA20"/>
  <c r="AB14"/>
  <c r="Z16"/>
  <c r="AA18"/>
  <c r="AB16"/>
  <c r="Z22"/>
  <c r="Y13"/>
  <c r="Y10"/>
  <c r="Y7"/>
  <c r="Y8"/>
  <c r="X6"/>
  <c r="AD27"/>
  <c r="AE17"/>
  <c r="AC27"/>
  <c r="AD33"/>
  <c r="AE19"/>
  <c r="AC25"/>
  <c r="AA32"/>
  <c r="AB26"/>
  <c r="Z32"/>
  <c r="AB27"/>
  <c r="Z33"/>
  <c r="AA31"/>
  <c r="Y25"/>
  <c r="Y22"/>
  <c r="Y35"/>
  <c r="Z13"/>
  <c r="X23"/>
  <c r="AE12"/>
  <c r="AE37"/>
  <c r="AD8"/>
  <c r="AE18"/>
  <c r="AE23"/>
  <c r="AC21"/>
  <c r="AA36"/>
  <c r="AB30"/>
  <c r="Z36"/>
  <c r="AA34"/>
  <c r="AB32"/>
  <c r="AA3"/>
  <c r="Y29"/>
  <c r="Y26"/>
  <c r="Y23"/>
  <c r="Y24"/>
  <c r="X5"/>
  <c r="AD9"/>
  <c r="AB18"/>
  <c r="AB4"/>
  <c r="Y27"/>
  <c r="AE29"/>
  <c r="AC29"/>
  <c r="AC14"/>
  <c r="Y21"/>
  <c r="X35"/>
  <c r="AA37"/>
  <c r="AA23"/>
  <c r="Y11"/>
  <c r="AE13"/>
  <c r="AC13"/>
  <c r="AC4"/>
  <c r="Y5"/>
  <c r="X19"/>
  <c r="AC19"/>
  <c r="AA8"/>
  <c r="Z25"/>
  <c r="Y30"/>
  <c r="AE20"/>
  <c r="AE15"/>
  <c r="AA25"/>
  <c r="AA11"/>
  <c r="X18"/>
  <c r="Z27"/>
  <c r="AC12"/>
  <c r="Y14"/>
  <c r="AE4"/>
  <c r="AD34"/>
  <c r="AA9"/>
  <c r="Z30"/>
  <c r="Z5"/>
  <c r="AE9"/>
  <c r="AB37"/>
  <c r="AB19"/>
  <c r="Y17"/>
  <c r="X8"/>
  <c r="AD29"/>
  <c r="AC16"/>
  <c r="AC5"/>
  <c r="Z7"/>
  <c r="X31"/>
  <c r="AE26"/>
  <c r="AA12"/>
  <c r="Z29"/>
  <c r="X37"/>
  <c r="AD28"/>
  <c r="AB21"/>
  <c r="AB3"/>
  <c r="X36"/>
  <c r="X9"/>
  <c r="AD13"/>
  <c r="AC3"/>
  <c r="AB24"/>
  <c r="Y31"/>
  <c r="AD35"/>
  <c r="AD14"/>
  <c r="Z24"/>
  <c r="Z10"/>
  <c r="Y28"/>
  <c r="AC35"/>
  <c r="AB9"/>
  <c r="AA26"/>
  <c r="Y34"/>
  <c r="Q12" i="4" l="1"/>
  <c r="Q13"/>
  <c r="Q14"/>
  <c r="Q15"/>
  <c r="Q16"/>
  <c r="Q17"/>
  <c r="Q18"/>
  <c r="Q11"/>
  <c r="P18"/>
  <c r="P17"/>
  <c r="P16"/>
  <c r="P15"/>
  <c r="P14"/>
  <c r="P13"/>
  <c r="P12"/>
  <c r="P11"/>
  <c r="O12"/>
  <c r="O13"/>
  <c r="O14"/>
  <c r="O15"/>
  <c r="O16"/>
  <c r="O17"/>
  <c r="O18"/>
  <c r="O11"/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W11"/>
  <c r="R3" i="4"/>
  <c r="R4"/>
  <c r="R5"/>
  <c r="R6"/>
  <c r="R7"/>
  <c r="R8"/>
  <c r="R9"/>
  <c r="R2"/>
  <c r="U6"/>
  <c r="U7"/>
  <c r="O3"/>
  <c r="O4"/>
  <c r="O5"/>
  <c r="O6"/>
  <c r="O7"/>
  <c r="O8"/>
  <c r="O9"/>
  <c r="O2"/>
  <c r="U3"/>
  <c r="U8"/>
  <c r="V3" i="1"/>
  <c r="V4"/>
  <c r="V5"/>
  <c r="V6"/>
  <c r="V7"/>
  <c r="V8"/>
  <c r="V9"/>
  <c r="V2"/>
  <c r="AB16" i="2" l="1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P3"/>
  <c r="P4"/>
  <c r="U4" s="1"/>
  <c r="P5"/>
  <c r="U5" s="1"/>
  <c r="P6"/>
  <c r="P7"/>
  <c r="P8"/>
  <c r="P9"/>
  <c r="U9" s="1"/>
  <c r="P2"/>
  <c r="U2" s="1"/>
  <c r="AD70" i="2" l="1"/>
  <c r="AD66"/>
  <c r="AC62"/>
  <c r="AD58"/>
  <c r="AD54"/>
  <c r="AC50"/>
  <c r="AC46"/>
  <c r="AC42"/>
  <c r="AD38"/>
  <c r="AC34"/>
  <c r="AD30"/>
  <c r="AC26"/>
  <c r="AD63"/>
  <c r="AD59"/>
  <c r="AC55"/>
  <c r="AC51"/>
  <c r="AC47"/>
  <c r="AD43"/>
  <c r="AD39"/>
  <c r="AC20"/>
  <c r="AC16"/>
  <c r="AC12"/>
  <c r="AD11"/>
  <c r="Q7" i="4"/>
  <c r="Q4"/>
  <c r="Q9"/>
  <c r="Q5"/>
  <c r="Q6"/>
  <c r="Q2"/>
  <c r="F3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6"/>
  <c r="M6" s="1"/>
  <c r="J7"/>
  <c r="M7" s="1"/>
  <c r="J8"/>
  <c r="M8" s="1"/>
  <c r="AD42" i="2" l="1"/>
  <c r="AC58"/>
  <c r="AD26"/>
  <c r="AD51"/>
  <c r="AC30"/>
  <c r="AD62"/>
  <c r="AC11"/>
  <c r="AD47"/>
  <c r="AD16"/>
  <c r="AC38"/>
  <c r="AC54"/>
  <c r="AC63"/>
  <c r="AD12"/>
  <c r="AD46"/>
  <c r="AC39"/>
  <c r="AD55"/>
  <c r="AC70"/>
  <c r="AD20"/>
  <c r="AD34"/>
  <c r="AD50"/>
  <c r="AC66"/>
  <c r="AC43"/>
  <c r="AC59"/>
  <c r="AD29"/>
  <c r="AC29"/>
  <c r="AD45"/>
  <c r="AC45"/>
  <c r="AD61"/>
  <c r="AC61"/>
  <c r="AC35"/>
  <c r="AD35"/>
  <c r="AC28"/>
  <c r="AD28"/>
  <c r="AC44"/>
  <c r="AD44"/>
  <c r="AC60"/>
  <c r="AD60"/>
  <c r="AD25"/>
  <c r="AC25"/>
  <c r="AD41"/>
  <c r="AC41"/>
  <c r="AD57"/>
  <c r="AC57"/>
  <c r="AD31"/>
  <c r="AC31"/>
  <c r="AC24"/>
  <c r="AD24"/>
  <c r="AC40"/>
  <c r="AD40"/>
  <c r="AC56"/>
  <c r="AD56"/>
  <c r="AD37"/>
  <c r="AC37"/>
  <c r="AD53"/>
  <c r="AC53"/>
  <c r="AD69"/>
  <c r="AC69"/>
  <c r="AC27"/>
  <c r="AD27"/>
  <c r="AC36"/>
  <c r="AD36"/>
  <c r="AC52"/>
  <c r="AD52"/>
  <c r="AC68"/>
  <c r="AD68"/>
  <c r="AD33"/>
  <c r="AC33"/>
  <c r="AD49"/>
  <c r="AC49"/>
  <c r="AD65"/>
  <c r="AC65"/>
  <c r="AC67"/>
  <c r="AD67"/>
  <c r="AC32"/>
  <c r="AD32"/>
  <c r="AC48"/>
  <c r="AD48"/>
  <c r="AC64"/>
  <c r="AD64"/>
  <c r="AD23"/>
  <c r="AC23"/>
  <c r="AD17"/>
  <c r="AC17"/>
  <c r="AC22"/>
  <c r="AD22"/>
  <c r="AC19"/>
  <c r="AD19"/>
  <c r="AD13"/>
  <c r="AC13"/>
  <c r="AD18"/>
  <c r="AC18"/>
  <c r="AD15"/>
  <c r="AC15"/>
  <c r="AC14"/>
  <c r="AD14"/>
  <c r="AD21"/>
  <c r="AC2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V2" a="1"/>
  <c r="R2" a="1"/>
  <c r="Z2" a="1"/>
  <c r="I9" i="4" l="1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I4" i="4" l="1"/>
  <c r="L4" s="1"/>
  <c r="U7" i="2"/>
  <c r="T7"/>
  <c r="S7"/>
  <c r="R7"/>
  <c r="F2" i="4"/>
  <c r="I2" s="1"/>
  <c r="L2" l="1"/>
  <c r="L7" i="2" a="1"/>
  <c r="N7" s="1"/>
  <c r="L7" l="1"/>
  <c r="M7"/>
  <c r="P7" l="1"/>
</calcChain>
</file>

<file path=xl/sharedStrings.xml><?xml version="1.0" encoding="utf-8"?>
<sst xmlns="http://schemas.openxmlformats.org/spreadsheetml/2006/main" count="914" uniqueCount="322">
  <si>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</si>
  <si>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</si>
  <si>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</si>
  <si>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</si>
  <si>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</si>
  <si>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</si>
  <si>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</si>
  <si>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</si>
  <si>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</si>
  <si>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</si>
  <si>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</si>
  <si>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</si>
  <si>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</si>
  <si>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</si>
  <si>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</si>
  <si>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</si>
  <si>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</si>
  <si>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</si>
  <si>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</si>
  <si>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</si>
  <si>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</si>
  <si>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</si>
  <si>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</si>
  <si>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</si>
  <si>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</si>
  <si>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</si>
  <si>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</si>
  <si>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</si>
  <si>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</si>
  <si>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</si>
  <si>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</si>
  <si>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</si>
  <si>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</si>
  <si>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</si>
  <si>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</si>
  <si>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</si>
  <si>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</si>
  <si>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</si>
  <si>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</si>
  <si>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</si>
  <si>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</si>
  <si>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</si>
  <si>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</si>
  <si>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</si>
  <si>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</si>
  <si>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</si>
  <si>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</si>
  <si>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</si>
  <si>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</si>
  <si>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</si>
  <si>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</si>
  <si>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</si>
  <si>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</si>
  <si>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</si>
  <si>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</si>
  <si>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</si>
  <si>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</si>
  <si>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</si>
  <si>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</si>
  <si>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</si>
  <si>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</si>
  <si>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</si>
  <si>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</si>
  <si>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</si>
  <si>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</si>
  <si>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</si>
  <si>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</si>
  <si>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</si>
  <si>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</si>
  <si>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</si>
  <si>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</si>
  <si>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</si>
  <si>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</si>
  <si>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</si>
  <si>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</si>
  <si>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</si>
  <si>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</si>
  <si>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</si>
  <si>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</si>
  <si>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</si>
  <si>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</si>
  <si>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</si>
  <si>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</si>
  <si>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</si>
  <si>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</si>
  <si>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</si>
  <si>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</si>
  <si>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</si>
  <si>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</si>
  <si>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</si>
  <si>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</si>
  <si>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</si>
  <si>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</si>
  <si>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</si>
  <si>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</si>
  <si>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</si>
  <si>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</si>
  <si>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</si>
  <si>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</si>
  <si>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</si>
  <si>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</si>
  <si>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</si>
  <si>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</si>
  <si>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</si>
  <si>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</si>
  <si>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</si>
  <si>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</si>
  <si>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</si>
  <si>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</si>
  <si>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</si>
  <si>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</si>
  <si>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</si>
  <si>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</si>
  <si>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</si>
  <si>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</si>
  <si>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</si>
  <si>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</si>
  <si>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</si>
  <si>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</si>
  <si>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</si>
  <si>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</si>
  <si>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</si>
  <si>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</si>
  <si>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</si>
  <si>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</si>
  <si>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</si>
  <si>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</si>
  <si>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</si>
  <si>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</si>
  <si>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</si>
  <si>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</si>
  <si>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</si>
  <si>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</si>
  <si>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</si>
  <si>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</si>
  <si>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</si>
  <si>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</si>
  <si>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</si>
  <si>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</si>
  <si>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</si>
  <si>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</si>
  <si>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</si>
  <si>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</si>
  <si>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</si>
  <si>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</si>
  <si>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</si>
  <si>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</si>
  <si>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</si>
  <si>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</si>
  <si>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</si>
  <si>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</si>
  <si>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</si>
  <si>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</si>
  <si>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</si>
  <si>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</si>
  <si>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</si>
  <si>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</si>
  <si>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</si>
  <si>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</si>
  <si>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</si>
  <si>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</si>
  <si>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</si>
  <si>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</si>
  <si>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</si>
  <si>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</si>
  <si>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</si>
  <si>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</si>
  <si>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</si>
  <si>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</si>
  <si>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</si>
  <si>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</si>
  <si>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</si>
  <si>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</si>
  <si>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</si>
  <si>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</si>
  <si>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</si>
  <si>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</si>
  <si>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</si>
  <si>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</si>
  <si>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</si>
  <si>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</si>
  <si>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</si>
  <si>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</si>
  <si>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</si>
  <si>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</si>
  <si>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</si>
  <si>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</si>
  <si>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</si>
  <si>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</si>
  <si>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</si>
  <si>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</si>
  <si>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</si>
  <si>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</si>
  <si>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</si>
  <si>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</si>
  <si>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</si>
  <si>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</si>
  <si>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</si>
  <si>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</si>
  <si>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</si>
  <si>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</si>
  <si>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</si>
  <si>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</si>
  <si>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</si>
  <si>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</si>
  <si>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</si>
  <si>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</si>
  <si>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</si>
  <si>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</si>
  <si>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</si>
  <si>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</si>
  <si>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</si>
  <si>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</si>
  <si>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</si>
  <si>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</si>
  <si>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</si>
  <si>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</si>
  <si>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</si>
  <si>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</si>
  <si>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</si>
  <si>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</si>
  <si>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</si>
  <si>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</si>
  <si>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</si>
  <si>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</si>
  <si>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</si>
  <si>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</si>
  <si>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</si>
  <si>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</si>
  <si>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</si>
  <si>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</si>
  <si>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</si>
  <si>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</si>
  <si>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</si>
  <si>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</si>
  <si>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</si>
  <si>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</si>
  <si>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</si>
  <si>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</si>
  <si>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</si>
  <si>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</si>
  <si>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</si>
  <si>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</si>
  <si>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</si>
  <si>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</si>
  <si>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</si>
  <si>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</si>
  <si>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</si>
  <si>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</si>
  <si>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</si>
  <si>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</si>
  <si>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</si>
  <si>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</si>
  <si>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</si>
  <si>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</si>
  <si>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</si>
  <si>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</si>
  <si>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</si>
  <si>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</si>
  <si>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</si>
  <si>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</si>
  <si>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</si>
  <si>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</si>
  <si>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</si>
  <si>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</si>
  <si>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</si>
  <si>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</si>
  <si>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</si>
  <si>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</si>
  <si>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</si>
  <si>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</si>
  <si>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</si>
  <si>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</si>
  <si>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</si>
  <si>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</si>
  <si>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</si>
  <si>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</si>
  <si>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</si>
  <si>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</si>
  <si>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</si>
  <si>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</si>
  <si>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</si>
  <si>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</si>
  <si>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</si>
  <si>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</si>
  <si>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</si>
  <si>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</si>
  <si>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</si>
  <si>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</si>
  <si>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</si>
  <si>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</si>
  <si>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</si>
  <si>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</si>
  <si>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</si>
  <si>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</si>
  <si>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</si>
  <si>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</si>
  <si>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</si>
  <si>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</si>
  <si>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</si>
  <si>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</si>
  <si>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</si>
  <si>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</si>
  <si>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</si>
  <si>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</si>
  <si>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</si>
  <si>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</si>
  <si>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</si>
  <si>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</si>
  <si>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</si>
  <si>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</si>
  <si>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</si>
  <si>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</si>
  <si>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</si>
  <si>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</si>
  <si>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</si>
  <si>
    <t>Matrizen</t>
  </si>
  <si>
    <t>SVDD</t>
  </si>
  <si>
    <t>Cond(A)</t>
  </si>
  <si>
    <t>MAX|MIN</t>
  </si>
  <si>
    <t>Konditionszahlen Skaliert</t>
  </si>
  <si>
    <t>Cond(A)/max(Cond(A))</t>
  </si>
</sst>
</file>

<file path=xl/styles.xml><?xml version="1.0" encoding="utf-8"?>
<styleSheet xmlns="http://schemas.openxmlformats.org/spreadsheetml/2006/main">
  <numFmts count="1">
    <numFmt numFmtId="164" formatCode="0.000"/>
  </numFmts>
  <fonts count="7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6" borderId="0" xfId="0" applyFill="1"/>
    <xf numFmtId="0" fontId="0" fillId="7" borderId="0" xfId="0" applyFill="1"/>
    <xf numFmtId="0" fontId="2" fillId="0" borderId="0" xfId="0" applyFont="1" applyBorder="1"/>
    <xf numFmtId="0" fontId="6" fillId="0" borderId="0" xfId="0" applyFont="1"/>
    <xf numFmtId="164" fontId="6" fillId="0" borderId="0" xfId="0" applyNumberFormat="1" applyFont="1"/>
    <xf numFmtId="0" fontId="0" fillId="4" borderId="0" xfId="0" applyFill="1" applyBorder="1"/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NormeriungsPlayground!$L$2:$L$9</c:f>
              <c:numCache>
                <c:formatCode>General</c:formatCode>
                <c:ptCount val="8"/>
                <c:pt idx="0">
                  <c:v>4.2469235514825581</c:v>
                </c:pt>
                <c:pt idx="1">
                  <c:v>#N/A</c:v>
                </c:pt>
                <c:pt idx="2">
                  <c:v>3.9794266806179617</c:v>
                </c:pt>
                <c:pt idx="3">
                  <c:v>3.4207292102979743</c:v>
                </c:pt>
                <c:pt idx="4">
                  <c:v>1.3039384905169404</c:v>
                </c:pt>
                <c:pt idx="5">
                  <c:v>1.2335648731518469</c:v>
                </c:pt>
                <c:pt idx="6">
                  <c:v>#N/A</c:v>
                </c:pt>
                <c:pt idx="7">
                  <c:v>4.5465959616069425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NormeriungsPlayground!$M$2:$M$9</c:f>
              <c:numCache>
                <c:formatCode>General</c:formatCode>
                <c:ptCount val="8"/>
                <c:pt idx="0">
                  <c:v>4.4684601933635912</c:v>
                </c:pt>
                <c:pt idx="1">
                  <c:v>#N/A</c:v>
                </c:pt>
                <c:pt idx="2">
                  <c:v>1.3685568225333942</c:v>
                </c:pt>
                <c:pt idx="3">
                  <c:v>4.6378535724565975</c:v>
                </c:pt>
                <c:pt idx="4">
                  <c:v>4.4486377856453485</c:v>
                </c:pt>
                <c:pt idx="5">
                  <c:v>4.4544925509592481</c:v>
                </c:pt>
                <c:pt idx="6">
                  <c:v>#N/A</c:v>
                </c:pt>
                <c:pt idx="7">
                  <c:v>4.4425624293944033</c:v>
                </c:pt>
              </c:numCache>
            </c:numRef>
          </c:yVal>
        </c:ser>
        <c:axId val="77475200"/>
        <c:axId val="80627968"/>
      </c:scatterChart>
      <c:valAx>
        <c:axId val="77475200"/>
        <c:scaling>
          <c:orientation val="minMax"/>
        </c:scaling>
        <c:axPos val="b"/>
        <c:numFmt formatCode="General" sourceLinked="1"/>
        <c:tickLblPos val="nextTo"/>
        <c:crossAx val="80627968"/>
        <c:crosses val="autoZero"/>
        <c:crossBetween val="midCat"/>
      </c:valAx>
      <c:valAx>
        <c:axId val="80627968"/>
        <c:scaling>
          <c:orientation val="minMax"/>
        </c:scaling>
        <c:axPos val="l"/>
        <c:majorGridlines/>
        <c:numFmt formatCode="General" sourceLinked="1"/>
        <c:tickLblPos val="nextTo"/>
        <c:crossAx val="774752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NormeriungsPlayground!$I$2:$I$9</c:f>
              <c:numCache>
                <c:formatCode>General</c:formatCode>
                <c:ptCount val="8"/>
                <c:pt idx="0">
                  <c:v>-0.46546542890213205</c:v>
                </c:pt>
                <c:pt idx="1">
                  <c:v>#N/A</c:v>
                </c:pt>
                <c:pt idx="2">
                  <c:v>-0.73296229976672811</c:v>
                </c:pt>
                <c:pt idx="3">
                  <c:v>-1.2916597700867156</c:v>
                </c:pt>
                <c:pt idx="4">
                  <c:v>0.26685783627795612</c:v>
                </c:pt>
                <c:pt idx="5">
                  <c:v>0.33723145364304968</c:v>
                </c:pt>
                <c:pt idx="6">
                  <c:v>#N/A</c:v>
                </c:pt>
                <c:pt idx="7">
                  <c:v>-0.16579301877774696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NormeriungsPlayground!$J$2:$J$9</c:f>
              <c:numCache>
                <c:formatCode>General</c:formatCode>
                <c:ptCount val="8"/>
                <c:pt idx="0">
                  <c:v>-0.2439287870210983</c:v>
                </c:pt>
                <c:pt idx="1">
                  <c:v>#N/A</c:v>
                </c:pt>
                <c:pt idx="2">
                  <c:v>0.20223950426150231</c:v>
                </c:pt>
                <c:pt idx="3">
                  <c:v>-7.4535407928091865E-2</c:v>
                </c:pt>
                <c:pt idx="4">
                  <c:v>-0.26375119473934089</c:v>
                </c:pt>
                <c:pt idx="5">
                  <c:v>-0.25789642942544172</c:v>
                </c:pt>
                <c:pt idx="6">
                  <c:v>#N/A</c:v>
                </c:pt>
                <c:pt idx="7">
                  <c:v>-0.26982655099028685</c:v>
                </c:pt>
              </c:numCache>
            </c:numRef>
          </c:yVal>
        </c:ser>
        <c:axId val="130774144"/>
        <c:axId val="130776448"/>
      </c:scatterChart>
      <c:valAx>
        <c:axId val="130774144"/>
        <c:scaling>
          <c:orientation val="minMax"/>
        </c:scaling>
        <c:axPos val="b"/>
        <c:numFmt formatCode="General" sourceLinked="1"/>
        <c:tickLblPos val="nextTo"/>
        <c:crossAx val="130776448"/>
        <c:crosses val="autoZero"/>
        <c:crossBetween val="midCat"/>
      </c:valAx>
      <c:valAx>
        <c:axId val="130776448"/>
        <c:scaling>
          <c:orientation val="minMax"/>
        </c:scaling>
        <c:axPos val="l"/>
        <c:majorGridlines/>
        <c:numFmt formatCode="General" sourceLinked="1"/>
        <c:tickLblPos val="nextTo"/>
        <c:crossAx val="1307741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NormeriungsPlayground!$F$2:$F$9</c:f>
              <c:numCache>
                <c:formatCode>General</c:formatCode>
                <c:ptCount val="8"/>
                <c:pt idx="0">
                  <c:v>-44.88387632510134</c:v>
                </c:pt>
                <c:pt idx="1">
                  <c:v>#N/A</c:v>
                </c:pt>
                <c:pt idx="2">
                  <c:v>-66.907413577178119</c:v>
                </c:pt>
                <c:pt idx="3">
                  <c:v>-96.129369746214721</c:v>
                </c:pt>
                <c:pt idx="4">
                  <c:v>26.370179898073946</c:v>
                </c:pt>
                <c:pt idx="5">
                  <c:v>33.087575741707823</c:v>
                </c:pt>
                <c:pt idx="6">
                  <c:v>#N/A</c:v>
                </c:pt>
                <c:pt idx="7">
                  <c:v>-16.503452753959483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NormeriungsPlayground!$G$2:$G$9</c:f>
              <c:numCache>
                <c:formatCode>General</c:formatCode>
                <c:ptCount val="8"/>
                <c:pt idx="0">
                  <c:v>-24.151696212715134</c:v>
                </c:pt>
                <c:pt idx="1">
                  <c:v>#N/A</c:v>
                </c:pt>
                <c:pt idx="2">
                  <c:v>20.086369403719438</c:v>
                </c:pt>
                <c:pt idx="3">
                  <c:v>-7.4466413183687452</c:v>
                </c:pt>
                <c:pt idx="4">
                  <c:v>-26.07038516450244</c:v>
                </c:pt>
                <c:pt idx="5">
                  <c:v>-25.504711507815838</c:v>
                </c:pt>
                <c:pt idx="6">
                  <c:v>#N/A</c:v>
                </c:pt>
                <c:pt idx="7">
                  <c:v>-26.65642675698555</c:v>
                </c:pt>
              </c:numCache>
            </c:numRef>
          </c:yVal>
        </c:ser>
        <c:axId val="206293632"/>
        <c:axId val="206455168"/>
      </c:scatterChart>
      <c:valAx>
        <c:axId val="206293632"/>
        <c:scaling>
          <c:orientation val="minMax"/>
        </c:scaling>
        <c:axPos val="b"/>
        <c:numFmt formatCode="General" sourceLinked="1"/>
        <c:tickLblPos val="nextTo"/>
        <c:crossAx val="206455168"/>
        <c:crosses val="autoZero"/>
        <c:crossBetween val="midCat"/>
      </c:valAx>
      <c:valAx>
        <c:axId val="206455168"/>
        <c:scaling>
          <c:orientation val="minMax"/>
        </c:scaling>
        <c:axPos val="l"/>
        <c:majorGridlines/>
        <c:numFmt formatCode="General" sourceLinked="1"/>
        <c:tickLblPos val="nextTo"/>
        <c:crossAx val="2062936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NormeriungsPlayground!$A$2:$A$9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NormeriungsPlayground!$C$2:$C$9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76989952"/>
        <c:axId val="76991488"/>
      </c:scatterChart>
      <c:valAx>
        <c:axId val="76989952"/>
        <c:scaling>
          <c:orientation val="minMax"/>
        </c:scaling>
        <c:axPos val="b"/>
        <c:numFmt formatCode="General" sourceLinked="1"/>
        <c:tickLblPos val="nextTo"/>
        <c:crossAx val="76991488"/>
        <c:crosses val="autoZero"/>
        <c:crossBetween val="midCat"/>
      </c:valAx>
      <c:valAx>
        <c:axId val="76991488"/>
        <c:scaling>
          <c:orientation val="minMax"/>
        </c:scaling>
        <c:axPos val="l"/>
        <c:majorGridlines/>
        <c:numFmt formatCode="0.00" sourceLinked="1"/>
        <c:tickLblPos val="nextTo"/>
        <c:crossAx val="7698995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 (skaliert)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val>
            <c:numRef>
              <c:f>Konditionsbetrachtung!$T$3:$T$282</c:f>
              <c:numCache>
                <c:formatCode>0.000</c:formatCode>
                <c:ptCount val="280"/>
                <c:pt idx="0">
                  <c:v>1.5336782812660701E-2</c:v>
                </c:pt>
                <c:pt idx="1">
                  <c:v>1.3703923729638771E-2</c:v>
                </c:pt>
                <c:pt idx="2">
                  <c:v>9.8409055444257914E-3</c:v>
                </c:pt>
                <c:pt idx="3">
                  <c:v>8.819236834364386E-3</c:v>
                </c:pt>
                <c:pt idx="4">
                  <c:v>8.2405544482734606E-3</c:v>
                </c:pt>
                <c:pt idx="5">
                  <c:v>1.9942170277701576E-2</c:v>
                </c:pt>
                <c:pt idx="6">
                  <c:v>8.9442603959650216E-2</c:v>
                </c:pt>
                <c:pt idx="7">
                  <c:v>3.2618343755356854E-2</c:v>
                </c:pt>
                <c:pt idx="8">
                  <c:v>0.13465634296262302</c:v>
                </c:pt>
                <c:pt idx="9">
                  <c:v>1.355892694520951E-2</c:v>
                </c:pt>
                <c:pt idx="10">
                  <c:v>1.6674517209435975E-2</c:v>
                </c:pt>
                <c:pt idx="11">
                  <c:v>1.0046079880098919E-2</c:v>
                </c:pt>
                <c:pt idx="12">
                  <c:v>2.8320040795731825E-2</c:v>
                </c:pt>
                <c:pt idx="13">
                  <c:v>0.13026538576888708</c:v>
                </c:pt>
                <c:pt idx="14">
                  <c:v>1.801968798697123E-2</c:v>
                </c:pt>
                <c:pt idx="15">
                  <c:v>1.5231680345957378E-2</c:v>
                </c:pt>
                <c:pt idx="16">
                  <c:v>1.7259776011384141E-2</c:v>
                </c:pt>
                <c:pt idx="17">
                  <c:v>1.145445909848478E-2</c:v>
                </c:pt>
                <c:pt idx="18">
                  <c:v>9.5485934136941425E-3</c:v>
                </c:pt>
                <c:pt idx="19">
                  <c:v>2.2410105833204103E-2</c:v>
                </c:pt>
                <c:pt idx="20">
                  <c:v>4.4924524768842573E-2</c:v>
                </c:pt>
                <c:pt idx="21">
                  <c:v>6.5806067533622808E-2</c:v>
                </c:pt>
                <c:pt idx="22">
                  <c:v>2.1806277725616042E-2</c:v>
                </c:pt>
                <c:pt idx="23">
                  <c:v>1.4387829046645664E-2</c:v>
                </c:pt>
                <c:pt idx="24">
                  <c:v>9.1546381328110008E-2</c:v>
                </c:pt>
                <c:pt idx="25">
                  <c:v>2.7253363391114047E-2</c:v>
                </c:pt>
                <c:pt idx="26">
                  <c:v>2.4397833370327186E-2</c:v>
                </c:pt>
                <c:pt idx="27">
                  <c:v>1.1732103266293335E-2</c:v>
                </c:pt>
                <c:pt idx="28">
                  <c:v>6.0055362414661063E-2</c:v>
                </c:pt>
                <c:pt idx="29">
                  <c:v>7.8447783332148968E-2</c:v>
                </c:pt>
                <c:pt idx="30">
                  <c:v>1.9699528957106784E-2</c:v>
                </c:pt>
                <c:pt idx="31">
                  <c:v>5.1483195504256937E-2</c:v>
                </c:pt>
                <c:pt idx="32">
                  <c:v>1.7513729704369988E-2</c:v>
                </c:pt>
                <c:pt idx="33">
                  <c:v>5.1136865959742352E-2</c:v>
                </c:pt>
                <c:pt idx="34">
                  <c:v>2.3811779819316502E-2</c:v>
                </c:pt>
                <c:pt idx="35">
                  <c:v>1.5004110023245382E-2</c:v>
                </c:pt>
                <c:pt idx="36">
                  <c:v>2.430594412855628E-2</c:v>
                </c:pt>
                <c:pt idx="37">
                  <c:v>1.4948686652881996E-2</c:v>
                </c:pt>
                <c:pt idx="38">
                  <c:v>1.9714123157769166E-2</c:v>
                </c:pt>
                <c:pt idx="39">
                  <c:v>1.918500900523681E-2</c:v>
                </c:pt>
                <c:pt idx="40">
                  <c:v>1.972536015117031E-2</c:v>
                </c:pt>
                <c:pt idx="41">
                  <c:v>5.5090514329588038E-2</c:v>
                </c:pt>
                <c:pt idx="42">
                  <c:v>2.9231422237427546E-2</c:v>
                </c:pt>
                <c:pt idx="43">
                  <c:v>0.11552301599668371</c:v>
                </c:pt>
                <c:pt idx="44">
                  <c:v>1.9171596037393906E-2</c:v>
                </c:pt>
                <c:pt idx="45">
                  <c:v>2.657182496218673E-2</c:v>
                </c:pt>
                <c:pt idx="46">
                  <c:v>1.8615339614409417E-2</c:v>
                </c:pt>
                <c:pt idx="47">
                  <c:v>2.9716789763527488E-2</c:v>
                </c:pt>
                <c:pt idx="48">
                  <c:v>0.13136597818387966</c:v>
                </c:pt>
                <c:pt idx="49">
                  <c:v>2.2342776624725558E-2</c:v>
                </c:pt>
                <c:pt idx="50">
                  <c:v>0.60793491221522156</c:v>
                </c:pt>
                <c:pt idx="51">
                  <c:v>0.1750559082305424</c:v>
                </c:pt>
                <c:pt idx="52">
                  <c:v>0.67466101632144204</c:v>
                </c:pt>
                <c:pt idx="53">
                  <c:v>5.7258708676589498E-2</c:v>
                </c:pt>
                <c:pt idx="54">
                  <c:v>0.5419187639002091</c:v>
                </c:pt>
                <c:pt idx="55">
                  <c:v>0.80815354961439589</c:v>
                </c:pt>
                <c:pt idx="56">
                  <c:v>7.1672177386395905E-2</c:v>
                </c:pt>
                <c:pt idx="57">
                  <c:v>0.20643962444156405</c:v>
                </c:pt>
                <c:pt idx="58">
                  <c:v>2.6267786047992282E-2</c:v>
                </c:pt>
                <c:pt idx="59">
                  <c:v>3.6030552847745478E-2</c:v>
                </c:pt>
                <c:pt idx="60">
                  <c:v>0.22639701414612359</c:v>
                </c:pt>
                <c:pt idx="61">
                  <c:v>0.96471261314730661</c:v>
                </c:pt>
                <c:pt idx="62">
                  <c:v>5.2873302258695784E-2</c:v>
                </c:pt>
                <c:pt idx="63">
                  <c:v>0.21349574641802063</c:v>
                </c:pt>
                <c:pt idx="64">
                  <c:v>7.8191236532930336E-2</c:v>
                </c:pt>
                <c:pt idx="65">
                  <c:v>3.7564548402984371E-2</c:v>
                </c:pt>
                <c:pt idx="66">
                  <c:v>0.25843338961505929</c:v>
                </c:pt>
                <c:pt idx="67">
                  <c:v>2.7888913274089527E-2</c:v>
                </c:pt>
                <c:pt idx="68">
                  <c:v>4.8187362799926178E-2</c:v>
                </c:pt>
                <c:pt idx="69">
                  <c:v>2.8349083335173924E-2</c:v>
                </c:pt>
                <c:pt idx="70">
                  <c:v>2.4262381951518065E-2</c:v>
                </c:pt>
                <c:pt idx="71">
                  <c:v>1.4099934575997819E-2</c:v>
                </c:pt>
                <c:pt idx="72">
                  <c:v>1.9815873627349826E-2</c:v>
                </c:pt>
                <c:pt idx="73">
                  <c:v>1.4469727406152539E-2</c:v>
                </c:pt>
                <c:pt idx="74">
                  <c:v>1.789671945876245E-2</c:v>
                </c:pt>
                <c:pt idx="75">
                  <c:v>1.5648549031082402E-2</c:v>
                </c:pt>
                <c:pt idx="76">
                  <c:v>2.7072591763625069E-2</c:v>
                </c:pt>
                <c:pt idx="77">
                  <c:v>1.7293523903019282E-2</c:v>
                </c:pt>
                <c:pt idx="78">
                  <c:v>1.7792531684204322E-2</c:v>
                </c:pt>
                <c:pt idx="79">
                  <c:v>2.0248897982786965E-2</c:v>
                </c:pt>
                <c:pt idx="80">
                  <c:v>2.994297221707172E-2</c:v>
                </c:pt>
                <c:pt idx="81">
                  <c:v>5.4979172080853671E-2</c:v>
                </c:pt>
                <c:pt idx="82">
                  <c:v>2.3691503944813942E-2</c:v>
                </c:pt>
                <c:pt idx="83">
                  <c:v>1.7459801323122286E-2</c:v>
                </c:pt>
                <c:pt idx="84">
                  <c:v>9.5866849071662555E-2</c:v>
                </c:pt>
                <c:pt idx="85">
                  <c:v>0.59772310963732833</c:v>
                </c:pt>
                <c:pt idx="86">
                  <c:v>0.37361439863664958</c:v>
                </c:pt>
                <c:pt idx="87">
                  <c:v>0.77454773871610005</c:v>
                </c:pt>
                <c:pt idx="88">
                  <c:v>9.2033477169074077E-2</c:v>
                </c:pt>
                <c:pt idx="89">
                  <c:v>0.4383326341475472</c:v>
                </c:pt>
                <c:pt idx="90">
                  <c:v>0.42458566350062293</c:v>
                </c:pt>
                <c:pt idx="91">
                  <c:v>4.1606878152651461E-2</c:v>
                </c:pt>
                <c:pt idx="92">
                  <c:v>0.21886993930156612</c:v>
                </c:pt>
                <c:pt idx="93">
                  <c:v>3.2347584499998847E-2</c:v>
                </c:pt>
                <c:pt idx="94">
                  <c:v>3.030796813915583E-2</c:v>
                </c:pt>
                <c:pt idx="95">
                  <c:v>0.25089064374917386</c:v>
                </c:pt>
                <c:pt idx="96">
                  <c:v>0.5736762821779684</c:v>
                </c:pt>
                <c:pt idx="97">
                  <c:v>3.8865493922581019E-2</c:v>
                </c:pt>
                <c:pt idx="98">
                  <c:v>0.19945550665518111</c:v>
                </c:pt>
                <c:pt idx="99">
                  <c:v>4.0499916396391965E-2</c:v>
                </c:pt>
                <c:pt idx="100">
                  <c:v>3.1902171896247125E-2</c:v>
                </c:pt>
                <c:pt idx="101">
                  <c:v>0.30758559532981433</c:v>
                </c:pt>
                <c:pt idx="102">
                  <c:v>3.0046911810632397E-2</c:v>
                </c:pt>
                <c:pt idx="103">
                  <c:v>4.5552785562294688E-2</c:v>
                </c:pt>
                <c:pt idx="104">
                  <c:v>3.1766095061888357E-2</c:v>
                </c:pt>
                <c:pt idx="105">
                  <c:v>1.9362250914312061E-2</c:v>
                </c:pt>
                <c:pt idx="106">
                  <c:v>2.5555664588939285E-2</c:v>
                </c:pt>
                <c:pt idx="107">
                  <c:v>3.6748329675407206E-2</c:v>
                </c:pt>
                <c:pt idx="108">
                  <c:v>2.8005797822053164E-2</c:v>
                </c:pt>
                <c:pt idx="109">
                  <c:v>9.5450856301941625E-2</c:v>
                </c:pt>
                <c:pt idx="110">
                  <c:v>3.0562749313218177E-2</c:v>
                </c:pt>
                <c:pt idx="111">
                  <c:v>1.9054127624452848E-2</c:v>
                </c:pt>
                <c:pt idx="112">
                  <c:v>2.1547678242081508E-2</c:v>
                </c:pt>
                <c:pt idx="113">
                  <c:v>1.7468874982632849E-2</c:v>
                </c:pt>
                <c:pt idx="114">
                  <c:v>2.5271796590221867E-2</c:v>
                </c:pt>
                <c:pt idx="115">
                  <c:v>3.3352825251033107E-2</c:v>
                </c:pt>
                <c:pt idx="116">
                  <c:v>1.5909665639637201E-2</c:v>
                </c:pt>
                <c:pt idx="117">
                  <c:v>4.0032065060613756E-2</c:v>
                </c:pt>
                <c:pt idx="118">
                  <c:v>4.831593181272522E-2</c:v>
                </c:pt>
                <c:pt idx="119">
                  <c:v>1.8985530615708787E-2</c:v>
                </c:pt>
                <c:pt idx="120">
                  <c:v>0.65864537986320526</c:v>
                </c:pt>
                <c:pt idx="121">
                  <c:v>0.14970911663691269</c:v>
                </c:pt>
                <c:pt idx="122">
                  <c:v>0.63789107528408984</c:v>
                </c:pt>
                <c:pt idx="123">
                  <c:v>4.8152451358483651E-2</c:v>
                </c:pt>
                <c:pt idx="124">
                  <c:v>0.15162279072084342</c:v>
                </c:pt>
                <c:pt idx="125">
                  <c:v>0.87940584063251204</c:v>
                </c:pt>
                <c:pt idx="126">
                  <c:v>3.9941119727580875E-2</c:v>
                </c:pt>
                <c:pt idx="127">
                  <c:v>0.11899908264968116</c:v>
                </c:pt>
                <c:pt idx="128">
                  <c:v>4.0578130937060662E-2</c:v>
                </c:pt>
                <c:pt idx="129">
                  <c:v>2.6706464988649242E-2</c:v>
                </c:pt>
                <c:pt idx="130">
                  <c:v>0.25748703149278518</c:v>
                </c:pt>
                <c:pt idx="131">
                  <c:v>0.84655852150073518</c:v>
                </c:pt>
                <c:pt idx="132">
                  <c:v>5.2853725022231381E-2</c:v>
                </c:pt>
                <c:pt idx="133">
                  <c:v>0.13941840026981189</c:v>
                </c:pt>
                <c:pt idx="134">
                  <c:v>2.319630119141312E-2</c:v>
                </c:pt>
                <c:pt idx="135">
                  <c:v>2.9392592055362154E-2</c:v>
                </c:pt>
                <c:pt idx="136">
                  <c:v>0.18480644062785115</c:v>
                </c:pt>
                <c:pt idx="137">
                  <c:v>2.5029163578922573E-2</c:v>
                </c:pt>
                <c:pt idx="138">
                  <c:v>4.0493045478177732E-2</c:v>
                </c:pt>
                <c:pt idx="139">
                  <c:v>2.2066168261391506E-2</c:v>
                </c:pt>
                <c:pt idx="140">
                  <c:v>2.1962840362186178E-2</c:v>
                </c:pt>
                <c:pt idx="141">
                  <c:v>3.892277227524156E-2</c:v>
                </c:pt>
                <c:pt idx="142">
                  <c:v>2.6048568045796396E-2</c:v>
                </c:pt>
                <c:pt idx="143">
                  <c:v>2.0868158521525047E-2</c:v>
                </c:pt>
                <c:pt idx="144">
                  <c:v>1.8170519031720771E-2</c:v>
                </c:pt>
                <c:pt idx="145">
                  <c:v>2.442459690561612E-2</c:v>
                </c:pt>
                <c:pt idx="146">
                  <c:v>2.4852049241858729E-2</c:v>
                </c:pt>
                <c:pt idx="147">
                  <c:v>2.6078578952299498E-2</c:v>
                </c:pt>
                <c:pt idx="148">
                  <c:v>5.1485403731096113E-2</c:v>
                </c:pt>
                <c:pt idx="149">
                  <c:v>4.0578725315396108E-2</c:v>
                </c:pt>
                <c:pt idx="150">
                  <c:v>2.5831762995424664E-2</c:v>
                </c:pt>
                <c:pt idx="151">
                  <c:v>1.648345872287494E-2</c:v>
                </c:pt>
                <c:pt idx="152">
                  <c:v>4.0410519638896636E-2</c:v>
                </c:pt>
                <c:pt idx="153">
                  <c:v>1.6999562983922491E-2</c:v>
                </c:pt>
                <c:pt idx="154">
                  <c:v>3.4487660100739788E-2</c:v>
                </c:pt>
                <c:pt idx="155">
                  <c:v>0.73227083674382443</c:v>
                </c:pt>
                <c:pt idx="156">
                  <c:v>0.48778549025408341</c:v>
                </c:pt>
                <c:pt idx="157">
                  <c:v>0.46414217656235307</c:v>
                </c:pt>
                <c:pt idx="158">
                  <c:v>4.1992345101478749E-2</c:v>
                </c:pt>
                <c:pt idx="159">
                  <c:v>0.37673919277628115</c:v>
                </c:pt>
                <c:pt idx="160">
                  <c:v>1</c:v>
                </c:pt>
                <c:pt idx="161">
                  <c:v>7.2405904742255153E-2</c:v>
                </c:pt>
                <c:pt idx="162">
                  <c:v>0.21252256666386157</c:v>
                </c:pt>
                <c:pt idx="163">
                  <c:v>2.7184304062169474E-2</c:v>
                </c:pt>
                <c:pt idx="164">
                  <c:v>3.1508468548462294E-2</c:v>
                </c:pt>
                <c:pt idx="165">
                  <c:v>0.2513022090295477</c:v>
                </c:pt>
                <c:pt idx="166">
                  <c:v>0.51165120458658575</c:v>
                </c:pt>
                <c:pt idx="167">
                  <c:v>3.3217200832355034E-2</c:v>
                </c:pt>
                <c:pt idx="168">
                  <c:v>0.2011014919711801</c:v>
                </c:pt>
                <c:pt idx="169">
                  <c:v>2.209867156618953E-2</c:v>
                </c:pt>
                <c:pt idx="170">
                  <c:v>2.8075792636970399E-2</c:v>
                </c:pt>
                <c:pt idx="171">
                  <c:v>0.19278277628652071</c:v>
                </c:pt>
                <c:pt idx="172">
                  <c:v>3.2399379973522317E-2</c:v>
                </c:pt>
                <c:pt idx="173">
                  <c:v>3.2705768170894309E-2</c:v>
                </c:pt>
                <c:pt idx="174">
                  <c:v>3.3735806337950536E-2</c:v>
                </c:pt>
                <c:pt idx="175">
                  <c:v>2.5010007206860682E-2</c:v>
                </c:pt>
                <c:pt idx="176">
                  <c:v>9.2173598574872215E-2</c:v>
                </c:pt>
                <c:pt idx="177">
                  <c:v>2.5069499977497037E-2</c:v>
                </c:pt>
                <c:pt idx="178">
                  <c:v>2.8345044464716026E-2</c:v>
                </c:pt>
                <c:pt idx="179">
                  <c:v>0.11276387152576128</c:v>
                </c:pt>
                <c:pt idx="180">
                  <c:v>2.7395696671057335E-2</c:v>
                </c:pt>
                <c:pt idx="181">
                  <c:v>4.230282868225306E-2</c:v>
                </c:pt>
                <c:pt idx="182">
                  <c:v>2.857110263425184E-2</c:v>
                </c:pt>
                <c:pt idx="183">
                  <c:v>1.7191487820803077E-2</c:v>
                </c:pt>
                <c:pt idx="184">
                  <c:v>3.2153409820854795E-2</c:v>
                </c:pt>
                <c:pt idx="185">
                  <c:v>4.0127816326724443E-2</c:v>
                </c:pt>
                <c:pt idx="186">
                  <c:v>4.6322824862731198E-2</c:v>
                </c:pt>
                <c:pt idx="187">
                  <c:v>5.1918473603133668E-2</c:v>
                </c:pt>
                <c:pt idx="188">
                  <c:v>1.5018858654001056E-2</c:v>
                </c:pt>
                <c:pt idx="189">
                  <c:v>1.6203189428448256E-2</c:v>
                </c:pt>
                <c:pt idx="190">
                  <c:v>0.29166087142131808</c:v>
                </c:pt>
                <c:pt idx="191">
                  <c:v>0.60925967236998224</c:v>
                </c:pt>
                <c:pt idx="192">
                  <c:v>0.17870488480945407</c:v>
                </c:pt>
                <c:pt idx="193">
                  <c:v>1.9971109014539093E-2</c:v>
                </c:pt>
                <c:pt idx="194">
                  <c:v>0.22541967703557822</c:v>
                </c:pt>
                <c:pt idx="195">
                  <c:v>0.16181692781849299</c:v>
                </c:pt>
                <c:pt idx="196">
                  <c:v>5.8755103727122351E-2</c:v>
                </c:pt>
                <c:pt idx="197">
                  <c:v>0.17460915510679409</c:v>
                </c:pt>
                <c:pt idx="198">
                  <c:v>1.569293436344138E-2</c:v>
                </c:pt>
                <c:pt idx="199">
                  <c:v>1.3876872694516344E-2</c:v>
                </c:pt>
                <c:pt idx="200">
                  <c:v>0.27323799408201355</c:v>
                </c:pt>
                <c:pt idx="201">
                  <c:v>0.12125549801415815</c:v>
                </c:pt>
                <c:pt idx="202">
                  <c:v>1.9093245093403738E-2</c:v>
                </c:pt>
                <c:pt idx="203">
                  <c:v>0.35955397995403837</c:v>
                </c:pt>
                <c:pt idx="204">
                  <c:v>3.1490959924010874E-2</c:v>
                </c:pt>
                <c:pt idx="205">
                  <c:v>2.369548951173462E-2</c:v>
                </c:pt>
                <c:pt idx="206">
                  <c:v>0.13453730374554668</c:v>
                </c:pt>
                <c:pt idx="207">
                  <c:v>1.5424698692479847E-2</c:v>
                </c:pt>
                <c:pt idx="208">
                  <c:v>1.2387959479199174E-2</c:v>
                </c:pt>
                <c:pt idx="209">
                  <c:v>3.2476833988909069E-2</c:v>
                </c:pt>
                <c:pt idx="210">
                  <c:v>2.3341724401396424E-2</c:v>
                </c:pt>
                <c:pt idx="211">
                  <c:v>5.5384402535239102E-2</c:v>
                </c:pt>
                <c:pt idx="212">
                  <c:v>2.3842428961043022E-2</c:v>
                </c:pt>
                <c:pt idx="213">
                  <c:v>3.2792985086490992E-2</c:v>
                </c:pt>
                <c:pt idx="214">
                  <c:v>1.4548917644954664E-2</c:v>
                </c:pt>
                <c:pt idx="215">
                  <c:v>2.2384001864481501E-2</c:v>
                </c:pt>
                <c:pt idx="216">
                  <c:v>4.7660501653429659E-2</c:v>
                </c:pt>
                <c:pt idx="217">
                  <c:v>2.1459542910633806E-2</c:v>
                </c:pt>
                <c:pt idx="218">
                  <c:v>7.3184635344138674E-2</c:v>
                </c:pt>
                <c:pt idx="219">
                  <c:v>2.508710546058562E-2</c:v>
                </c:pt>
                <c:pt idx="220">
                  <c:v>5.5504702010778076E-2</c:v>
                </c:pt>
                <c:pt idx="221">
                  <c:v>1.3855473107336369E-2</c:v>
                </c:pt>
                <c:pt idx="222">
                  <c:v>2.6806885055392846E-2</c:v>
                </c:pt>
                <c:pt idx="223">
                  <c:v>2.344258462831458E-2</c:v>
                </c:pt>
                <c:pt idx="224">
                  <c:v>1.2281577148058649E-2</c:v>
                </c:pt>
                <c:pt idx="225">
                  <c:v>0.83231410122923211</c:v>
                </c:pt>
                <c:pt idx="226">
                  <c:v>0.58817011971193511</c:v>
                </c:pt>
                <c:pt idx="227">
                  <c:v>0.16726641483211668</c:v>
                </c:pt>
                <c:pt idx="228">
                  <c:v>1.9527748813789415E-2</c:v>
                </c:pt>
                <c:pt idx="229">
                  <c:v>0.8895341647228705</c:v>
                </c:pt>
                <c:pt idx="230">
                  <c:v>0.26461568854962608</c:v>
                </c:pt>
                <c:pt idx="231">
                  <c:v>3.9257640353950386E-2</c:v>
                </c:pt>
                <c:pt idx="232">
                  <c:v>0.13460430823580563</c:v>
                </c:pt>
                <c:pt idx="233">
                  <c:v>1.7988935441623929E-2</c:v>
                </c:pt>
                <c:pt idx="234">
                  <c:v>1.7985407414187721E-2</c:v>
                </c:pt>
                <c:pt idx="235">
                  <c:v>0.52212909871340785</c:v>
                </c:pt>
                <c:pt idx="236">
                  <c:v>0.12307522391520889</c:v>
                </c:pt>
                <c:pt idx="237">
                  <c:v>1.5648464984812552E-2</c:v>
                </c:pt>
                <c:pt idx="238">
                  <c:v>0.18766812099091879</c:v>
                </c:pt>
                <c:pt idx="239">
                  <c:v>2.4327217524234036E-2</c:v>
                </c:pt>
                <c:pt idx="240">
                  <c:v>1.281220911030421E-2</c:v>
                </c:pt>
                <c:pt idx="241">
                  <c:v>0.11229969358682459</c:v>
                </c:pt>
                <c:pt idx="242">
                  <c:v>1.4948746899190457E-2</c:v>
                </c:pt>
                <c:pt idx="243">
                  <c:v>1.8253236958906145E-2</c:v>
                </c:pt>
                <c:pt idx="244">
                  <c:v>1.1840049678925628E-2</c:v>
                </c:pt>
                <c:pt idx="245">
                  <c:v>2.597480451106688E-2</c:v>
                </c:pt>
                <c:pt idx="246">
                  <c:v>0.20787065149449493</c:v>
                </c:pt>
                <c:pt idx="247">
                  <c:v>2.0097929563129127E-2</c:v>
                </c:pt>
                <c:pt idx="248">
                  <c:v>0.13377779964876377</c:v>
                </c:pt>
                <c:pt idx="249">
                  <c:v>1.5884781103247064E-2</c:v>
                </c:pt>
                <c:pt idx="250">
                  <c:v>2.1660776571855587E-2</c:v>
                </c:pt>
                <c:pt idx="251">
                  <c:v>9.950010775389849E-2</c:v>
                </c:pt>
                <c:pt idx="252">
                  <c:v>1.6179639175729368E-2</c:v>
                </c:pt>
                <c:pt idx="253">
                  <c:v>9.0335027987372432E-2</c:v>
                </c:pt>
                <c:pt idx="254">
                  <c:v>1.5401193422517572E-2</c:v>
                </c:pt>
                <c:pt idx="255">
                  <c:v>6.3757318749568581E-2</c:v>
                </c:pt>
                <c:pt idx="256">
                  <c:v>1.3049591060688084E-2</c:v>
                </c:pt>
                <c:pt idx="257">
                  <c:v>1.0843799329409515E-2</c:v>
                </c:pt>
                <c:pt idx="258">
                  <c:v>3.7147025463066023E-2</c:v>
                </c:pt>
                <c:pt idx="259">
                  <c:v>9.7798148907344857E-3</c:v>
                </c:pt>
                <c:pt idx="260">
                  <c:v>9.3220902659601271E-2</c:v>
                </c:pt>
                <c:pt idx="261">
                  <c:v>6.6102215324609331E-2</c:v>
                </c:pt>
                <c:pt idx="262">
                  <c:v>2.3556093362609387E-2</c:v>
                </c:pt>
                <c:pt idx="263">
                  <c:v>2.5062365623137801E-2</c:v>
                </c:pt>
                <c:pt idx="264">
                  <c:v>5.9125878436778453E-2</c:v>
                </c:pt>
                <c:pt idx="265">
                  <c:v>9.0846358434435087E-2</c:v>
                </c:pt>
                <c:pt idx="266">
                  <c:v>3.5894953664488839E-2</c:v>
                </c:pt>
                <c:pt idx="267">
                  <c:v>1.6180061132722912E-2</c:v>
                </c:pt>
                <c:pt idx="268">
                  <c:v>2.6525812314482047E-2</c:v>
                </c:pt>
                <c:pt idx="269">
                  <c:v>1.2705495299507265E-2</c:v>
                </c:pt>
                <c:pt idx="270">
                  <c:v>4.4698354057810204E-2</c:v>
                </c:pt>
                <c:pt idx="271">
                  <c:v>2.4883189416143571E-2</c:v>
                </c:pt>
                <c:pt idx="272">
                  <c:v>1.9709027480147207E-2</c:v>
                </c:pt>
                <c:pt idx="273">
                  <c:v>2.4342321627775467E-2</c:v>
                </c:pt>
                <c:pt idx="274">
                  <c:v>4.2171202231574667E-2</c:v>
                </c:pt>
                <c:pt idx="275">
                  <c:v>1.5548454557733824E-2</c:v>
                </c:pt>
                <c:pt idx="276">
                  <c:v>1.641288666792869E-2</c:v>
                </c:pt>
                <c:pt idx="277">
                  <c:v>2.0272471410022648E-2</c:v>
                </c:pt>
                <c:pt idx="278">
                  <c:v>1.3672314884193609E-2</c:v>
                </c:pt>
                <c:pt idx="279">
                  <c:v>2.1341099073656038E-2</c:v>
                </c:pt>
              </c:numCache>
            </c:numRef>
          </c:val>
        </c:ser>
        <c:marker val="1"/>
        <c:axId val="77499008"/>
        <c:axId val="77525760"/>
      </c:lineChart>
      <c:catAx>
        <c:axId val="77499008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77525760"/>
        <c:crosses val="autoZero"/>
        <c:auto val="1"/>
        <c:lblAlgn val="ctr"/>
        <c:lblOffset val="100"/>
        <c:tickMarkSkip val="70"/>
      </c:catAx>
      <c:valAx>
        <c:axId val="77525760"/>
        <c:scaling>
          <c:orientation val="minMax"/>
          <c:max val="1.100000000000000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Cond(A)/max(C</a:t>
                </a:r>
              </a:p>
              <a:p>
                <a:pPr>
                  <a:defRPr/>
                </a:pPr>
                <a:r>
                  <a:rPr lang="de-DE"/>
                  <a:t>ond(A))</a:t>
                </a:r>
              </a:p>
            </c:rich>
          </c:tx>
        </c:title>
        <c:numFmt formatCode="0.000" sourceLinked="1"/>
        <c:tickLblPos val="nextTo"/>
        <c:crossAx val="77499008"/>
        <c:crosses val="autoZero"/>
        <c:crossBetween val="between"/>
      </c:valAx>
    </c:plotArea>
    <c:legend>
      <c:legendPos val="r"/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Konditionsplot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v>||Kondition||</c:v>
          </c:tx>
          <c:spPr>
            <a:ln w="15875">
              <a:solidFill>
                <a:srgbClr val="4F81BD"/>
              </a:solidFill>
              <a:prstDash val="solid"/>
            </a:ln>
          </c:spPr>
          <c:marker>
            <c:symbol val="plus"/>
            <c:size val="6"/>
          </c:marker>
          <c:dLbls>
            <c:dLbl>
              <c:idx val="160"/>
              <c:dLblPos val="l"/>
              <c:showVal val="1"/>
              <c:separator>, </c:separator>
            </c:dLbl>
            <c:delete val="1"/>
          </c:dLbls>
          <c:val>
            <c:numRef>
              <c:f>Konditionsbetrachtung!$S$3:$S$282</c:f>
              <c:numCache>
                <c:formatCode>0.000</c:formatCode>
                <c:ptCount val="280"/>
                <c:pt idx="0">
                  <c:v>4.1355852183090951</c:v>
                </c:pt>
                <c:pt idx="1">
                  <c:v>3.6952824527412931</c:v>
                </c:pt>
                <c:pt idx="2">
                  <c:v>2.653614125037143</c:v>
                </c:pt>
                <c:pt idx="3">
                  <c:v>2.3781197096209636</c:v>
                </c:pt>
                <c:pt idx="4">
                  <c:v>2.2220771841939322</c:v>
                </c:pt>
                <c:pt idx="5">
                  <c:v>5.3774344742877576</c:v>
                </c:pt>
                <c:pt idx="6">
                  <c:v>24.118324901702923</c:v>
                </c:pt>
                <c:pt idx="7">
                  <c:v>8.7955826152157766</c:v>
                </c:pt>
                <c:pt idx="8">
                  <c:v>36.310273693650416</c:v>
                </c:pt>
                <c:pt idx="9">
                  <c:v>3.6561838643533173</c:v>
                </c:pt>
                <c:pt idx="10">
                  <c:v>4.4963071940262225</c:v>
                </c:pt>
                <c:pt idx="11">
                  <c:v>2.7089396753921831</c:v>
                </c:pt>
                <c:pt idx="12">
                  <c:v>7.6365391312743336</c:v>
                </c:pt>
                <c:pt idx="13">
                  <c:v>35.126245864185961</c:v>
                </c:pt>
                <c:pt idx="14">
                  <c:v>4.8590344003529484</c:v>
                </c:pt>
                <c:pt idx="15">
                  <c:v>4.1072441892278677</c:v>
                </c:pt>
                <c:pt idx="16">
                  <c:v>4.6541230593082208</c:v>
                </c:pt>
                <c:pt idx="17">
                  <c:v>3.0887111273633301</c:v>
                </c:pt>
                <c:pt idx="18">
                  <c:v>2.574791744766602</c:v>
                </c:pt>
                <c:pt idx="19">
                  <c:v>6.0429167939989181</c:v>
                </c:pt>
                <c:pt idx="20">
                  <c:v>12.113961763885378</c:v>
                </c:pt>
                <c:pt idx="21">
                  <c:v>17.744699360444759</c:v>
                </c:pt>
                <c:pt idx="22">
                  <c:v>5.8800936891376248</c:v>
                </c:pt>
                <c:pt idx="23">
                  <c:v>3.879698490595195</c:v>
                </c:pt>
                <c:pt idx="24">
                  <c:v>24.685611450250331</c:v>
                </c:pt>
                <c:pt idx="25">
                  <c:v>7.3489080575917889</c:v>
                </c:pt>
                <c:pt idx="26">
                  <c:v>6.5789103410788252</c:v>
                </c:pt>
                <c:pt idx="27">
                  <c:v>3.1635782706465303</c:v>
                </c:pt>
                <c:pt idx="28">
                  <c:v>16.194013576122387</c:v>
                </c:pt>
                <c:pt idx="29">
                  <c:v>21.15355593936761</c:v>
                </c:pt>
                <c:pt idx="30">
                  <c:v>5.3120058983562757</c:v>
                </c:pt>
                <c:pt idx="31">
                  <c:v>13.882516621605925</c:v>
                </c:pt>
                <c:pt idx="32">
                  <c:v>4.7226020324850646</c:v>
                </c:pt>
                <c:pt idx="33">
                  <c:v>13.789128369163835</c:v>
                </c:pt>
                <c:pt idx="34">
                  <c:v>6.4208801705859262</c:v>
                </c:pt>
                <c:pt idx="35">
                  <c:v>4.045879529231728</c:v>
                </c:pt>
                <c:pt idx="36">
                  <c:v>6.5541322768243271</c:v>
                </c:pt>
                <c:pt idx="37">
                  <c:v>4.0309345388759619</c:v>
                </c:pt>
                <c:pt idx="38">
                  <c:v>5.3159412452454919</c:v>
                </c:pt>
                <c:pt idx="39">
                  <c:v>5.1732648642378285</c:v>
                </c:pt>
                <c:pt idx="40">
                  <c:v>5.3189713164394092</c:v>
                </c:pt>
                <c:pt idx="41">
                  <c:v>14.85523525458103</c:v>
                </c:pt>
                <c:pt idx="42">
                  <c:v>7.8822944284939442</c:v>
                </c:pt>
                <c:pt idx="43">
                  <c:v>31.150944964544813</c:v>
                </c:pt>
                <c:pt idx="44">
                  <c:v>5.1696480384522427</c:v>
                </c:pt>
                <c:pt idx="45">
                  <c:v>7.1651302544625262</c:v>
                </c:pt>
                <c:pt idx="46">
                  <c:v>5.0196527057554077</c:v>
                </c:pt>
                <c:pt idx="47">
                  <c:v>8.0131744696932721</c:v>
                </c:pt>
                <c:pt idx="48">
                  <c:v>35.423022168475093</c:v>
                </c:pt>
                <c:pt idx="49">
                  <c:v>6.0247613775243192</c:v>
                </c:pt>
                <c:pt idx="50">
                  <c:v>163.93051054852472</c:v>
                </c:pt>
                <c:pt idx="51">
                  <c:v>47.204073716051319</c:v>
                </c:pt>
                <c:pt idx="52">
                  <c:v>181.92329907450147</c:v>
                </c:pt>
                <c:pt idx="53">
                  <c:v>15.439891932673806</c:v>
                </c:pt>
                <c:pt idx="54">
                  <c:v>146.1291626076848</c:v>
                </c:pt>
                <c:pt idx="55">
                  <c:v>217.91974984155769</c:v>
                </c:pt>
                <c:pt idx="56">
                  <c:v>19.326504194772792</c:v>
                </c:pt>
                <c:pt idx="57">
                  <c:v>55.666737264417236</c:v>
                </c:pt>
                <c:pt idx="58">
                  <c:v>7.0831457304138894</c:v>
                </c:pt>
                <c:pt idx="59">
                  <c:v>9.7156896322241337</c:v>
                </c:pt>
                <c:pt idx="60">
                  <c:v>61.048275678723819</c:v>
                </c:pt>
                <c:pt idx="61">
                  <c:v>260.13612317407507</c:v>
                </c:pt>
                <c:pt idx="62">
                  <c:v>14.257360877780899</c:v>
                </c:pt>
                <c:pt idx="63">
                  <c:v>57.569430554194433</c:v>
                </c:pt>
                <c:pt idx="64">
                  <c:v>21.084377731420556</c:v>
                </c:pt>
                <c:pt idx="65">
                  <c:v>10.129333707431407</c:v>
                </c:pt>
                <c:pt idx="66">
                  <c:v>69.686929720832254</c:v>
                </c:pt>
                <c:pt idx="67">
                  <c:v>7.5202849841374082</c:v>
                </c:pt>
                <c:pt idx="68">
                  <c:v>12.993790662547674</c:v>
                </c:pt>
                <c:pt idx="69">
                  <c:v>7.6443704931894123</c:v>
                </c:pt>
                <c:pt idx="70">
                  <c:v>6.5423856740565105</c:v>
                </c:pt>
                <c:pt idx="71">
                  <c:v>3.8020673386262636</c:v>
                </c:pt>
                <c:pt idx="72">
                  <c:v>5.3433784035526699</c:v>
                </c:pt>
                <c:pt idx="73">
                  <c:v>3.9017824992896908</c:v>
                </c:pt>
                <c:pt idx="74">
                  <c:v>4.8258757624698037</c:v>
                </c:pt>
                <c:pt idx="75">
                  <c:v>4.2196534208925307</c:v>
                </c:pt>
                <c:pt idx="76">
                  <c:v>7.3001627320782827</c:v>
                </c:pt>
                <c:pt idx="77">
                  <c:v>4.6632232261098379</c:v>
                </c:pt>
                <c:pt idx="78">
                  <c:v>4.797781381421685</c:v>
                </c:pt>
                <c:pt idx="79">
                  <c:v>5.4601440346102681</c:v>
                </c:pt>
                <c:pt idx="80">
                  <c:v>8.0741648888016542</c:v>
                </c:pt>
                <c:pt idx="81">
                  <c:v>14.825211659433096</c:v>
                </c:pt>
                <c:pt idx="82">
                  <c:v>6.3884476105902683</c:v>
                </c:pt>
                <c:pt idx="83">
                  <c:v>4.7080601680628069</c:v>
                </c:pt>
                <c:pt idx="84">
                  <c:v>25.850631699586273</c:v>
                </c:pt>
                <c:pt idx="85">
                  <c:v>161.17688351283616</c:v>
                </c:pt>
                <c:pt idx="86">
                  <c:v>100.74565201990467</c:v>
                </c:pt>
                <c:pt idx="87">
                  <c:v>208.85789531196536</c:v>
                </c:pt>
                <c:pt idx="88">
                  <c:v>24.816957534001865</c:v>
                </c:pt>
                <c:pt idx="89">
                  <c:v>118.19701593391721</c:v>
                </c:pt>
                <c:pt idx="90">
                  <c:v>114.49012581893058</c:v>
                </c:pt>
                <c:pt idx="91">
                  <c:v>11.219353652582738</c:v>
                </c:pt>
                <c:pt idx="92">
                  <c:v>59.018589280702926</c:v>
                </c:pt>
                <c:pt idx="93">
                  <c:v>8.7225719983310803</c:v>
                </c:pt>
                <c:pt idx="94">
                  <c:v>8.1725865564064186</c:v>
                </c:pt>
                <c:pt idx="95">
                  <c:v>67.653017609703767</c:v>
                </c:pt>
                <c:pt idx="96">
                  <c:v>154.69262241304</c:v>
                </c:pt>
                <c:pt idx="97">
                  <c:v>10.48013551028591</c:v>
                </c:pt>
                <c:pt idx="98">
                  <c:v>53.783460006526404</c:v>
                </c:pt>
                <c:pt idx="99">
                  <c:v>10.920859846395361</c:v>
                </c:pt>
                <c:pt idx="100">
                  <c:v>8.6024658585607803</c:v>
                </c:pt>
                <c:pt idx="101">
                  <c:v>82.940891642587076</c:v>
                </c:pt>
                <c:pt idx="102">
                  <c:v>8.1021923474921262</c:v>
                </c:pt>
                <c:pt idx="103">
                  <c:v>12.28337317711207</c:v>
                </c:pt>
                <c:pt idx="104">
                  <c:v>8.5657725473492619</c:v>
                </c:pt>
                <c:pt idx="105">
                  <c:v>5.2210583961793118</c:v>
                </c:pt>
                <c:pt idx="106">
                  <c:v>6.8911211698737791</c:v>
                </c:pt>
                <c:pt idx="107">
                  <c:v>9.9092391709234864</c:v>
                </c:pt>
                <c:pt idx="108">
                  <c:v>7.5518030681261905</c:v>
                </c:pt>
                <c:pt idx="109">
                  <c:v>25.738458659751533</c:v>
                </c:pt>
                <c:pt idx="110">
                  <c:v>8.2412886610281166</c:v>
                </c:pt>
                <c:pt idx="111">
                  <c:v>5.1379725144449369</c:v>
                </c:pt>
                <c:pt idx="112">
                  <c:v>5.810361971956044</c:v>
                </c:pt>
                <c:pt idx="113">
                  <c:v>4.710506893207592</c:v>
                </c:pt>
                <c:pt idx="114">
                  <c:v>6.8145757617665703</c:v>
                </c:pt>
                <c:pt idx="115">
                  <c:v>8.9936365913164718</c:v>
                </c:pt>
                <c:pt idx="116">
                  <c:v>4.2900638844026995</c:v>
                </c:pt>
                <c:pt idx="117">
                  <c:v>10.794703070737476</c:v>
                </c:pt>
                <c:pt idx="118">
                  <c:v>13.028459479036709</c:v>
                </c:pt>
                <c:pt idx="119">
                  <c:v>5.1194752338322145</c:v>
                </c:pt>
                <c:pt idx="120">
                  <c:v>177.60466000869823</c:v>
                </c:pt>
                <c:pt idx="121">
                  <c:v>40.369275445344705</c:v>
                </c:pt>
                <c:pt idx="122">
                  <c:v>172.0082323692053</c:v>
                </c:pt>
                <c:pt idx="123">
                  <c:v>12.984376742891696</c:v>
                </c:pt>
                <c:pt idx="124">
                  <c:v>40.88530037383439</c:v>
                </c:pt>
                <c:pt idx="125">
                  <c:v>237.13303108212696</c:v>
                </c:pt>
                <c:pt idx="126">
                  <c:v>10.770179532811747</c:v>
                </c:pt>
                <c:pt idx="127">
                  <c:v>32.088271263260225</c:v>
                </c:pt>
                <c:pt idx="128">
                  <c:v>10.941950508120014</c:v>
                </c:pt>
                <c:pt idx="129">
                  <c:v>7.2014361283888002</c:v>
                </c:pt>
                <c:pt idx="130">
                  <c:v>69.431742912131241</c:v>
                </c:pt>
                <c:pt idx="131">
                  <c:v>228.27570493219164</c:v>
                </c:pt>
                <c:pt idx="132">
                  <c:v>14.252081848226494</c:v>
                </c:pt>
                <c:pt idx="133">
                  <c:v>37.594369194572131</c:v>
                </c:pt>
                <c:pt idx="134">
                  <c:v>6.2549154864123224</c:v>
                </c:pt>
                <c:pt idx="135">
                  <c:v>7.9257540982845152</c:v>
                </c:pt>
                <c:pt idx="136">
                  <c:v>49.833318593905744</c:v>
                </c:pt>
                <c:pt idx="137">
                  <c:v>6.749149426448394</c:v>
                </c:pt>
                <c:pt idx="138">
                  <c:v>10.919007093562509</c:v>
                </c:pt>
                <c:pt idx="139">
                  <c:v>5.9501735403854479</c:v>
                </c:pt>
                <c:pt idx="140">
                  <c:v>5.9223110259446923</c:v>
                </c:pt>
                <c:pt idx="141">
                  <c:v>10.495580699246693</c:v>
                </c:pt>
                <c:pt idx="142">
                  <c:v>7.0240332854805123</c:v>
                </c:pt>
                <c:pt idx="143">
                  <c:v>5.6271285163995781</c:v>
                </c:pt>
                <c:pt idx="144">
                  <c:v>4.8997062053036835</c:v>
                </c:pt>
                <c:pt idx="145">
                  <c:v>6.5861271662945571</c:v>
                </c:pt>
                <c:pt idx="146">
                  <c:v>6.7013902944805617</c:v>
                </c:pt>
                <c:pt idx="147">
                  <c:v>7.0321257689458081</c:v>
                </c:pt>
                <c:pt idx="148">
                  <c:v>13.883112073102259</c:v>
                </c:pt>
                <c:pt idx="149">
                  <c:v>10.942110783080427</c:v>
                </c:pt>
                <c:pt idx="150">
                  <c:v>6.9655714964257749</c:v>
                </c:pt>
                <c:pt idx="151">
                  <c:v>4.4447880023870185</c:v>
                </c:pt>
                <c:pt idx="152">
                  <c:v>10.896753884057729</c:v>
                </c:pt>
                <c:pt idx="153">
                  <c:v>4.5839562477202325</c:v>
                </c:pt>
                <c:pt idx="154">
                  <c:v>9.2996464166492459</c:v>
                </c:pt>
                <c:pt idx="155">
                  <c:v>197.45786878696865</c:v>
                </c:pt>
                <c:pt idx="156">
                  <c:v>131.53204865985026</c:v>
                </c:pt>
                <c:pt idx="157">
                  <c:v>125.15659561929162</c:v>
                </c:pt>
                <c:pt idx="158">
                  <c:v>11.323295361557118</c:v>
                </c:pt>
                <c:pt idx="159">
                  <c:v>101.58825718762284</c:v>
                </c:pt>
                <c:pt idx="160">
                  <c:v>269.6514170426355</c:v>
                </c:pt>
                <c:pt idx="161">
                  <c:v>19.524354816003182</c:v>
                </c:pt>
                <c:pt idx="162">
                  <c:v>57.307011254448241</c:v>
                </c:pt>
                <c:pt idx="163">
                  <c:v>7.3302861116818709</c:v>
                </c:pt>
                <c:pt idx="164">
                  <c:v>8.4963031929361694</c:v>
                </c:pt>
                <c:pt idx="165">
                  <c:v>67.763996770762134</c:v>
                </c:pt>
                <c:pt idx="166">
                  <c:v>137.96747234834424</c:v>
                </c:pt>
                <c:pt idx="167">
                  <c:v>8.9570652746343455</c:v>
                </c:pt>
                <c:pt idx="168">
                  <c:v>54.227302279416904</c:v>
                </c:pt>
                <c:pt idx="169">
                  <c:v>5.9589381025828034</c:v>
                </c:pt>
                <c:pt idx="170">
                  <c:v>7.5706772691542605</c:v>
                </c:pt>
                <c:pt idx="171">
                  <c:v>51.984148807073701</c:v>
                </c:pt>
                <c:pt idx="172">
                  <c:v>8.7365387211630789</c:v>
                </c:pt>
                <c:pt idx="173">
                  <c:v>8.8191567327495761</c:v>
                </c:pt>
                <c:pt idx="174">
                  <c:v>9.0969079841042859</c:v>
                </c:pt>
                <c:pt idx="175">
                  <c:v>6.7439838835765089</c:v>
                </c:pt>
                <c:pt idx="176">
                  <c:v>24.854741469633339</c:v>
                </c:pt>
                <c:pt idx="177">
                  <c:v>6.7600261934823944</c:v>
                </c:pt>
                <c:pt idx="178">
                  <c:v>7.6432814060471879</c:v>
                </c:pt>
                <c:pt idx="179">
                  <c:v>30.406937748135228</c:v>
                </c:pt>
                <c:pt idx="180">
                  <c:v>7.3872884282208222</c:v>
                </c:pt>
                <c:pt idx="181">
                  <c:v>11.407017699081383</c:v>
                </c:pt>
                <c:pt idx="182">
                  <c:v>7.7042383117965842</c:v>
                </c:pt>
                <c:pt idx="183">
                  <c:v>4.6357090519507596</c:v>
                </c:pt>
                <c:pt idx="184">
                  <c:v>8.6702125209460892</c:v>
                </c:pt>
                <c:pt idx="185">
                  <c:v>10.82052253532785</c:v>
                </c:pt>
                <c:pt idx="186">
                  <c:v>12.491015365653295</c:v>
                </c:pt>
                <c:pt idx="187">
                  <c:v>13.999889977775659</c:v>
                </c:pt>
                <c:pt idx="188">
                  <c:v>4.0498565184144342</c:v>
                </c:pt>
                <c:pt idx="189">
                  <c:v>4.3692129899913237</c:v>
                </c:pt>
                <c:pt idx="190">
                  <c:v>78.646767274648326</c:v>
                </c:pt>
                <c:pt idx="191">
                  <c:v>164.28773400149754</c:v>
                </c:pt>
                <c:pt idx="192">
                  <c:v>48.188025421310236</c:v>
                </c:pt>
                <c:pt idx="193">
                  <c:v>5.3852378456834185</c:v>
                </c:pt>
                <c:pt idx="194">
                  <c:v>60.784735341936909</c:v>
                </c:pt>
                <c:pt idx="195">
                  <c:v>43.634163887742503</c:v>
                </c:pt>
                <c:pt idx="196">
                  <c:v>15.843396978505577</c:v>
                </c:pt>
                <c:pt idx="197">
                  <c:v>47.083606103164364</c:v>
                </c:pt>
                <c:pt idx="198">
                  <c:v>4.2316219886590369</c:v>
                </c:pt>
                <c:pt idx="199">
                  <c:v>3.7419183861965877</c:v>
                </c:pt>
                <c:pt idx="200">
                  <c:v>73.679012294102208</c:v>
                </c:pt>
                <c:pt idx="201">
                  <c:v>32.69671686372822</c:v>
                </c:pt>
                <c:pt idx="202">
                  <c:v>5.148520595378665</c:v>
                </c:pt>
                <c:pt idx="203">
                  <c:v>96.954240197925813</c:v>
                </c:pt>
                <c:pt idx="204">
                  <c:v>8.4915819675423769</c:v>
                </c:pt>
                <c:pt idx="205">
                  <c:v>6.3895223243581478</c:v>
                </c:pt>
                <c:pt idx="206">
                  <c:v>36.278174600082131</c:v>
                </c:pt>
                <c:pt idx="207">
                  <c:v>4.1592918598828774</c:v>
                </c:pt>
                <c:pt idx="208">
                  <c:v>3.3404308278328063</c:v>
                </c:pt>
                <c:pt idx="209">
                  <c:v>8.7574243061677581</c:v>
                </c:pt>
                <c:pt idx="210">
                  <c:v>6.2941290610552088</c:v>
                </c:pt>
                <c:pt idx="211">
                  <c:v>14.934482625686957</c:v>
                </c:pt>
                <c:pt idx="212">
                  <c:v>6.4291447550836223</c:v>
                </c:pt>
                <c:pt idx="213">
                  <c:v>8.8426748976303085</c:v>
                </c:pt>
                <c:pt idx="214">
                  <c:v>3.9231362593986283</c:v>
                </c:pt>
                <c:pt idx="215">
                  <c:v>6.0358778218424316</c:v>
                </c:pt>
                <c:pt idx="216">
                  <c:v>12.851721807810179</c:v>
                </c:pt>
                <c:pt idx="217">
                  <c:v>5.786596154939649</c:v>
                </c:pt>
                <c:pt idx="218">
                  <c:v>19.734340626295541</c:v>
                </c:pt>
                <c:pt idx="219">
                  <c:v>6.7647735369449515</c:v>
                </c:pt>
                <c:pt idx="220">
                  <c:v>14.966921549735527</c:v>
                </c:pt>
                <c:pt idx="221">
                  <c:v>3.7361479571893801</c:v>
                </c:pt>
                <c:pt idx="222">
                  <c:v>7.2285145416857297</c:v>
                </c:pt>
                <c:pt idx="223">
                  <c:v>6.3213261641669307</c:v>
                </c:pt>
                <c:pt idx="224">
                  <c:v>3.3117446814924647</c:v>
                </c:pt>
                <c:pt idx="225">
                  <c:v>224.43467682103</c:v>
                </c:pt>
                <c:pt idx="226">
                  <c:v>158.60090624245987</c:v>
                </c:pt>
                <c:pt idx="227">
                  <c:v>45.103625783121565</c:v>
                </c:pt>
                <c:pt idx="228">
                  <c:v>5.2656851392909605</c:v>
                </c:pt>
                <c:pt idx="229">
                  <c:v>239.86414802535919</c:v>
                </c:pt>
                <c:pt idx="230">
                  <c:v>71.353995389119376</c:v>
                </c:pt>
                <c:pt idx="231">
                  <c:v>10.585878351192873</c:v>
                </c:pt>
                <c:pt idx="232">
                  <c:v>36.296242455828683</c:v>
                </c:pt>
                <c:pt idx="233">
                  <c:v>4.8507419329223804</c:v>
                </c:pt>
                <c:pt idx="234">
                  <c:v>4.8497905953248415</c:v>
                </c:pt>
                <c:pt idx="235">
                  <c:v>140.79285134726453</c:v>
                </c:pt>
                <c:pt idx="236">
                  <c:v>33.187408531575741</c:v>
                </c:pt>
                <c:pt idx="237">
                  <c:v>4.219630757696768</c:v>
                </c:pt>
                <c:pt idx="238">
                  <c:v>50.60497475893002</c:v>
                </c:pt>
                <c:pt idx="239">
                  <c:v>6.5598686781141424</c:v>
                </c:pt>
                <c:pt idx="240">
                  <c:v>3.4548303420400943</c:v>
                </c:pt>
                <c:pt idx="241">
                  <c:v>30.281771509141016</c:v>
                </c:pt>
                <c:pt idx="242">
                  <c:v>4.03095078437841</c:v>
                </c:pt>
                <c:pt idx="243">
                  <c:v>4.9220112115840484</c:v>
                </c:pt>
                <c:pt idx="244">
                  <c:v>3.192686173777497</c:v>
                </c:pt>
                <c:pt idx="245">
                  <c:v>7.0041428438146252</c:v>
                </c:pt>
                <c:pt idx="246">
                  <c:v>56.052615737066397</c:v>
                </c:pt>
                <c:pt idx="247">
                  <c:v>5.419435186320845</c:v>
                </c:pt>
                <c:pt idx="248">
                  <c:v>36.073373244134935</c:v>
                </c:pt>
                <c:pt idx="249">
                  <c:v>4.2833537339026497</c:v>
                </c:pt>
                <c:pt idx="250">
                  <c:v>5.8408590968447793</c:v>
                </c:pt>
                <c:pt idx="251">
                  <c:v>26.830345051733651</c:v>
                </c:pt>
                <c:pt idx="252">
                  <c:v>4.3628626309739627</c:v>
                </c:pt>
                <c:pt idx="253">
                  <c:v>24.358968305381115</c:v>
                </c:pt>
                <c:pt idx="254">
                  <c:v>4.1529536305295807</c:v>
                </c:pt>
                <c:pt idx="255">
                  <c:v>17.192251347660161</c:v>
                </c:pt>
                <c:pt idx="256">
                  <c:v>3.5188407213414505</c:v>
                </c:pt>
                <c:pt idx="257">
                  <c:v>2.924045855301256</c:v>
                </c:pt>
                <c:pt idx="258">
                  <c:v>10.016748055034617</c:v>
                </c:pt>
                <c:pt idx="259">
                  <c:v>2.6371409437012217</c:v>
                </c:pt>
                <c:pt idx="260">
                  <c:v>25.137148500155071</c:v>
                </c:pt>
                <c:pt idx="261">
                  <c:v>17.824556031938322</c:v>
                </c:pt>
                <c:pt idx="262">
                  <c:v>6.3519339552162419</c:v>
                </c:pt>
                <c:pt idx="263">
                  <c:v>6.7581024047197422</c:v>
                </c:pt>
                <c:pt idx="264">
                  <c:v>15.943376904367916</c:v>
                </c:pt>
                <c:pt idx="265">
                  <c:v>24.496849285008604</c:v>
                </c:pt>
                <c:pt idx="266">
                  <c:v>9.6791251203091573</c:v>
                </c:pt>
                <c:pt idx="267">
                  <c:v>4.3629764122752031</c:v>
                </c:pt>
                <c:pt idx="268">
                  <c:v>7.1527228788070749</c:v>
                </c:pt>
                <c:pt idx="269">
                  <c:v>3.4260548117406784</c:v>
                </c:pt>
                <c:pt idx="270">
                  <c:v>12.052974511161958</c:v>
                </c:pt>
                <c:pt idx="271">
                  <c:v>6.7097872866034241</c:v>
                </c:pt>
                <c:pt idx="272">
                  <c:v>5.3145671885539381</c:v>
                </c:pt>
                <c:pt idx="273">
                  <c:v>6.5639415210372487</c:v>
                </c:pt>
                <c:pt idx="274">
                  <c:v>11.371524440135662</c:v>
                </c:pt>
                <c:pt idx="275">
                  <c:v>4.1926628043159502</c:v>
                </c:pt>
                <c:pt idx="276">
                  <c:v>4.4257581477671515</c:v>
                </c:pt>
                <c:pt idx="277">
                  <c:v>5.4665006426689224</c:v>
                </c:pt>
                <c:pt idx="278">
                  <c:v>3.6867590827759233</c:v>
                </c:pt>
                <c:pt idx="279">
                  <c:v>5.7546576064586263</c:v>
                </c:pt>
              </c:numCache>
            </c:numRef>
          </c:val>
        </c:ser>
        <c:marker val="1"/>
        <c:axId val="77583872"/>
        <c:axId val="77585792"/>
      </c:lineChart>
      <c:catAx>
        <c:axId val="77583872"/>
        <c:scaling>
          <c:orientation val="minMax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Permutation; Neue</a:t>
                </a:r>
                <a:r>
                  <a:rPr lang="de-DE" baseline="0"/>
                  <a:t> Referenzantenne / 35 Einträge</a:t>
                </a:r>
                <a:endParaRPr lang="de-DE"/>
              </a:p>
            </c:rich>
          </c:tx>
        </c:title>
        <c:tickLblPos val="nextTo"/>
        <c:crossAx val="77585792"/>
        <c:crosses val="autoZero"/>
        <c:auto val="1"/>
        <c:lblAlgn val="ctr"/>
        <c:lblOffset val="100"/>
        <c:tickMarkSkip val="70"/>
      </c:catAx>
      <c:valAx>
        <c:axId val="7758579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DE"/>
                  <a:t>Cond(A)</a:t>
                </a:r>
              </a:p>
            </c:rich>
          </c:tx>
        </c:title>
        <c:numFmt formatCode="0.000" sourceLinked="1"/>
        <c:tickLblPos val="nextTo"/>
        <c:crossAx val="77583872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136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136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180975</xdr:colOff>
      <xdr:row>22</xdr:row>
      <xdr:rowOff>104775</xdr:rowOff>
    </xdr:from>
    <xdr:to>
      <xdr:col>21</xdr:col>
      <xdr:colOff>352425</xdr:colOff>
      <xdr:row>36</xdr:row>
      <xdr:rowOff>180975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21</xdr:row>
      <xdr:rowOff>85725</xdr:rowOff>
    </xdr:from>
    <xdr:to>
      <xdr:col>11</xdr:col>
      <xdr:colOff>180975</xdr:colOff>
      <xdr:row>35</xdr:row>
      <xdr:rowOff>161925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08077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Analyse der Kondition"/>
      <sheetName val="Tabelle2"/>
    </sheetNames>
    <sheetDataSet>
      <sheetData sheetId="0" refreshError="1">
        <row r="4">
          <cell r="I4">
            <v>0.08</v>
          </cell>
        </row>
      </sheetData>
      <sheetData sheetId="1">
        <row r="7">
          <cell r="E7">
            <v>1.4990516053215155E-2</v>
          </cell>
          <cell r="F7">
            <v>4.7716294587352029E-3</v>
          </cell>
        </row>
        <row r="149">
          <cell r="B149">
            <v>-30.441860465116278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tabSelected="1" workbookViewId="0">
      <pane ySplit="11" topLeftCell="A12" activePane="bottomLeft" state="frozen"/>
      <selection pane="bottomLeft" activeCell="H10" sqref="H10"/>
    </sheetView>
  </sheetViews>
  <sheetFormatPr baseColWidth="10" defaultRowHeight="15"/>
  <cols>
    <col min="17" max="17" width="12" bestFit="1" customWidth="1"/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S2" t="s">
        <v>6</v>
      </c>
      <c r="T2" s="28">
        <v>4.5679709300024198</v>
      </c>
      <c r="U2">
        <v>4.1577749587548292</v>
      </c>
      <c r="V2">
        <f ca="1">RANDBETWEEN(-30,30)*RAND()</f>
        <v>2.9914265961995259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S3" s="5" t="s">
        <v>7</v>
      </c>
      <c r="T3" s="28">
        <v>0</v>
      </c>
      <c r="U3">
        <v>4.7123889803846897</v>
      </c>
      <c r="V3">
        <f t="shared" ref="V3:V9" ca="1" si="1">RANDBETWEEN(-30,30)*RAND()</f>
        <v>12.702389306062134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S4" t="s">
        <v>8</v>
      </c>
      <c r="T4" s="28">
        <v>4.7933498456802379</v>
      </c>
      <c r="U4">
        <v>3.8747580589584212</v>
      </c>
      <c r="V4">
        <f t="shared" ca="1" si="1"/>
        <v>3.8359027384813009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S5" t="s">
        <v>9</v>
      </c>
      <c r="T5" s="28">
        <v>4.6914556092434161</v>
      </c>
      <c r="U5">
        <v>3.3699339168729607</v>
      </c>
      <c r="V5">
        <f t="shared" ca="1" si="1"/>
        <v>-12.471304359293251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S6" t="s">
        <v>10</v>
      </c>
      <c r="T6" s="28">
        <v>3.402690709174943</v>
      </c>
      <c r="U6">
        <v>1.2455999177006152</v>
      </c>
      <c r="V6">
        <f t="shared" ca="1" si="1"/>
        <v>5.2385069918168945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S7" t="s">
        <v>11</v>
      </c>
      <c r="T7" s="28">
        <v>3.3469857349760046</v>
      </c>
      <c r="U7">
        <v>1.1626430122416365</v>
      </c>
      <c r="V7">
        <f t="shared" ca="1" si="1"/>
        <v>-19.744462165612056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S8" s="5" t="s">
        <v>12</v>
      </c>
      <c r="T8" s="28">
        <v>0</v>
      </c>
      <c r="U8">
        <v>4.7123889803846897</v>
      </c>
      <c r="V8">
        <f t="shared" ca="1" si="1"/>
        <v>9.6168996021640503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S9" t="s">
        <v>13</v>
      </c>
      <c r="T9" s="28">
        <v>4.300783453280463</v>
      </c>
      <c r="U9">
        <v>4.5088736833347491</v>
      </c>
      <c r="V9">
        <f t="shared" ca="1" si="1"/>
        <v>4.6327262108475757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/>
      <c r="R12" s="3"/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/>
      <c r="R13" s="3"/>
      <c r="S13" s="4"/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/>
      <c r="R14" s="3"/>
      <c r="S14" s="4"/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/>
      <c r="R15" s="3"/>
      <c r="S15" s="4"/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>L16-M16</f>
        <v>1.0599498795536459</v>
      </c>
      <c r="P16" s="3"/>
      <c r="Q16" s="3"/>
      <c r="R16" s="3"/>
      <c r="S16" s="4"/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/>
      <c r="R17" s="3"/>
      <c r="S17" s="4"/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/>
      <c r="R18" s="3"/>
      <c r="S18" s="4"/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/>
      <c r="R19" s="3"/>
      <c r="S19" s="4"/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/>
      <c r="R20" s="3"/>
      <c r="S20" s="4"/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/>
      <c r="R21" s="3"/>
      <c r="S21" s="4"/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/>
      <c r="R22" s="3"/>
      <c r="S22" s="4"/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/>
      <c r="R23" s="3"/>
      <c r="S23" s="4"/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/>
      <c r="R24" s="3"/>
      <c r="S24" s="4"/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/>
      <c r="R25" s="3"/>
      <c r="S25" s="4"/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/>
      <c r="R26" s="3"/>
      <c r="S26" s="4"/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/>
      <c r="R27" s="3"/>
      <c r="S27" s="4"/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/>
      <c r="R28" s="3"/>
      <c r="S28" s="4"/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/>
      <c r="R29" s="3"/>
      <c r="S29" s="4"/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/>
      <c r="R30" s="3"/>
      <c r="S30" s="4"/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/>
      <c r="R31" s="3"/>
      <c r="S31" s="4"/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/>
      <c r="R32" s="3"/>
      <c r="S32" s="4"/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/>
      <c r="R33" s="3"/>
      <c r="S33" s="4"/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/>
      <c r="R34" s="3"/>
      <c r="S34" s="4"/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/>
      <c r="R35" s="3"/>
      <c r="S35" s="4"/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/>
      <c r="R36" s="3"/>
      <c r="S36" s="4"/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/>
      <c r="R37" s="3"/>
      <c r="S37" s="4"/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/>
      <c r="R38" s="3"/>
      <c r="S38" s="4"/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/>
      <c r="R39" s="3"/>
      <c r="S39" s="4"/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/>
      <c r="R40" s="3"/>
      <c r="S40" s="4"/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/>
      <c r="R41" s="3"/>
      <c r="S41" s="4"/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/>
      <c r="R42" s="3"/>
      <c r="S42" s="4"/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/>
      <c r="R43" s="3"/>
      <c r="S43" s="4"/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/>
      <c r="R44" s="3"/>
      <c r="S44" s="4"/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/>
      <c r="R45" s="3"/>
      <c r="S45" s="4"/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/>
      <c r="R46" s="3"/>
      <c r="S46" s="4"/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/>
      <c r="R47" s="3"/>
      <c r="S47" s="4"/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/>
      <c r="R48" s="3"/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/>
      <c r="R49" s="3"/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/>
      <c r="R50" s="3"/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/>
      <c r="R51" s="3"/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/>
      <c r="R52" s="3"/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/>
      <c r="R53" s="3"/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/>
      <c r="R54" s="3"/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/>
      <c r="R55" s="3"/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/>
      <c r="R56" s="3"/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/>
      <c r="R57" s="3"/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/>
      <c r="R58" s="3"/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/>
      <c r="R59" s="3"/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/>
      <c r="R60" s="3"/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/>
      <c r="R61" s="3"/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/>
      <c r="R62" s="3"/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/>
      <c r="R63" s="3"/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/>
      <c r="R64" s="3"/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/>
      <c r="R65" s="3"/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/>
      <c r="R66" s="3"/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/>
      <c r="R67" s="3"/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/>
      <c r="R68" s="3"/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/>
      <c r="R69" s="3"/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/>
      <c r="R70" s="3"/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/>
      <c r="R71" s="3"/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-2.1796664656245589E-2</v>
      </c>
      <c r="I72" s="7">
        <v>2.2872089329671663E-2</v>
      </c>
      <c r="J72" s="7">
        <v>0</v>
      </c>
      <c r="K72" s="7">
        <v>0</v>
      </c>
      <c r="L72">
        <v>0.8419894247146269</v>
      </c>
      <c r="M72">
        <v>-8.0144021691332665E-4</v>
      </c>
      <c r="N72" s="9"/>
      <c r="O72" s="3">
        <f>L72-M72</f>
        <v>0.84279086493154021</v>
      </c>
      <c r="P72" s="3"/>
      <c r="Q72" s="3"/>
      <c r="R72" s="3"/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-2.1796664656245589E-2</v>
      </c>
      <c r="I73" s="7">
        <v>0</v>
      </c>
      <c r="J73" s="7">
        <v>2.2385887789414392E-2</v>
      </c>
      <c r="K73" s="7">
        <v>0</v>
      </c>
      <c r="L73">
        <v>1.5747328563547551</v>
      </c>
      <c r="M73">
        <v>-4.3432806008441584E-4</v>
      </c>
      <c r="N73" s="9"/>
      <c r="O73" s="3">
        <f>L73-M73</f>
        <v>1.5751671844148396</v>
      </c>
      <c r="P73" s="3"/>
      <c r="Q73" s="3"/>
      <c r="R73" s="3"/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-2.1796664656245589E-2</v>
      </c>
      <c r="I74" s="7">
        <v>0</v>
      </c>
      <c r="J74" s="7">
        <v>0</v>
      </c>
      <c r="K74" s="7">
        <v>1.6236379226863738E-2</v>
      </c>
      <c r="L74">
        <v>1.8954667052703302</v>
      </c>
      <c r="M74">
        <v>3.528137221409509E-3</v>
      </c>
      <c r="N74" s="9"/>
      <c r="O74" s="3">
        <f>L74-M74</f>
        <v>1.8919385680489207</v>
      </c>
      <c r="P74" s="3"/>
      <c r="Q74" s="3"/>
      <c r="R74" s="3"/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/>
      <c r="R75" s="3"/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-2.1796664656245589E-2</v>
      </c>
      <c r="I76" s="7">
        <v>2.2872089329671663E-2</v>
      </c>
      <c r="J76" s="7">
        <v>0</v>
      </c>
      <c r="K76" s="7">
        <v>0</v>
      </c>
      <c r="L76">
        <v>0.8419894247146269</v>
      </c>
      <c r="M76">
        <v>-8.0144021691332665E-4</v>
      </c>
      <c r="N76" s="9"/>
      <c r="O76" s="3">
        <f>L76-M76</f>
        <v>0.84279086493154021</v>
      </c>
      <c r="P76" s="3"/>
      <c r="Q76" s="3"/>
      <c r="R76" s="3"/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-2.1796664656245589E-2</v>
      </c>
      <c r="I77" s="7">
        <v>0</v>
      </c>
      <c r="J77" s="7">
        <v>2.2385887789414392E-2</v>
      </c>
      <c r="K77" s="7">
        <v>0</v>
      </c>
      <c r="L77">
        <v>1.5747328563547551</v>
      </c>
      <c r="M77">
        <v>-4.3432806008441584E-4</v>
      </c>
      <c r="N77" s="9"/>
      <c r="O77" s="3">
        <f>L77-M77</f>
        <v>1.5751671844148396</v>
      </c>
      <c r="P77" s="3"/>
      <c r="Q77" s="3"/>
      <c r="R77" s="3"/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-2.1796664656245589E-2</v>
      </c>
      <c r="I78" s="7">
        <v>0</v>
      </c>
      <c r="J78" s="7">
        <v>0</v>
      </c>
      <c r="K78" s="7">
        <v>1.5970575730977998E-2</v>
      </c>
      <c r="L78">
        <v>3.0923821493075776</v>
      </c>
      <c r="M78">
        <v>3.6709600572059457E-3</v>
      </c>
      <c r="N78" s="9"/>
      <c r="O78" s="3">
        <f>L78-M78</f>
        <v>3.0887111892503718</v>
      </c>
      <c r="P78" s="3"/>
      <c r="Q78" s="3"/>
      <c r="R78" s="3"/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/>
      <c r="R79" s="3"/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/>
      <c r="R80" s="3"/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/>
      <c r="R81" s="3"/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/>
      <c r="R82" s="3"/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/>
      <c r="R83" s="3"/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-2.1796664656245589E-2</v>
      </c>
      <c r="I84" s="7">
        <v>2.2872089329671663E-2</v>
      </c>
      <c r="J84" s="7">
        <v>0</v>
      </c>
      <c r="K84" s="7">
        <v>0</v>
      </c>
      <c r="L84">
        <v>0.8419894247146269</v>
      </c>
      <c r="M84">
        <v>-8.0144021691332665E-4</v>
      </c>
      <c r="N84" s="9"/>
      <c r="O84" s="3">
        <f>L84-M84</f>
        <v>0.84279086493154021</v>
      </c>
      <c r="P84" s="3"/>
      <c r="Q84" s="3"/>
      <c r="R84" s="3"/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-2.1796664656245589E-2</v>
      </c>
      <c r="I85" s="7">
        <v>0</v>
      </c>
      <c r="J85" s="7">
        <v>2.2385887789414392E-2</v>
      </c>
      <c r="K85" s="7">
        <v>0</v>
      </c>
      <c r="L85">
        <v>1.5747328563547551</v>
      </c>
      <c r="M85">
        <v>-4.3432806008441584E-4</v>
      </c>
      <c r="N85" s="9"/>
      <c r="O85" s="3">
        <f>L85-M85</f>
        <v>1.5751671844148396</v>
      </c>
      <c r="P85" s="3"/>
      <c r="Q85" s="3"/>
      <c r="R85" s="3"/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-2.1796664656245589E-2</v>
      </c>
      <c r="I86" s="7">
        <v>0</v>
      </c>
      <c r="J86" s="7">
        <v>0</v>
      </c>
      <c r="K86" s="7">
        <v>2.0521745021313972E-2</v>
      </c>
      <c r="L86">
        <v>2.803142180904064</v>
      </c>
      <c r="M86">
        <v>9.0011799830808027E-4</v>
      </c>
      <c r="N86" s="9"/>
      <c r="O86" s="3">
        <f>L86-M86</f>
        <v>2.8022420629057558</v>
      </c>
      <c r="P86" s="3"/>
      <c r="Q86" s="3"/>
      <c r="R86" s="3"/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/>
      <c r="R87" s="3"/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-2.1796664656245589E-2</v>
      </c>
      <c r="I88" s="7">
        <v>2.2872089329671663E-2</v>
      </c>
      <c r="J88" s="7">
        <v>0</v>
      </c>
      <c r="K88" s="7">
        <v>0</v>
      </c>
      <c r="L88">
        <v>0.8419894247146269</v>
      </c>
      <c r="M88">
        <v>-8.0144021691332665E-4</v>
      </c>
      <c r="N88" s="9"/>
      <c r="O88" s="3">
        <f>L88-M88</f>
        <v>0.84279086493154021</v>
      </c>
      <c r="P88" s="3"/>
      <c r="Q88" s="3"/>
      <c r="R88" s="3"/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-2.1796664656245589E-2</v>
      </c>
      <c r="I89" s="7">
        <v>0</v>
      </c>
      <c r="J89" s="7">
        <v>1.6236379226863738E-2</v>
      </c>
      <c r="K89" s="7">
        <v>0</v>
      </c>
      <c r="L89">
        <v>1.8954667052703302</v>
      </c>
      <c r="M89">
        <v>3.528137221409509E-3</v>
      </c>
      <c r="N89" s="9"/>
      <c r="O89" s="3">
        <f>L89-M89</f>
        <v>1.8919385680489207</v>
      </c>
      <c r="P89" s="3"/>
      <c r="Q89" s="3"/>
      <c r="R89" s="3"/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-2.1796664656245589E-2</v>
      </c>
      <c r="I90" s="7">
        <v>0</v>
      </c>
      <c r="J90" s="7">
        <v>0</v>
      </c>
      <c r="K90" s="7">
        <v>1.5970575730977998E-2</v>
      </c>
      <c r="L90">
        <v>3.0923821493075776</v>
      </c>
      <c r="M90">
        <v>3.6709600572059457E-3</v>
      </c>
      <c r="N90" s="9"/>
      <c r="O90" s="3">
        <f>L90-M90</f>
        <v>3.0887111892503718</v>
      </c>
      <c r="P90" s="3"/>
      <c r="Q90" s="3"/>
      <c r="R90" s="3"/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/>
      <c r="R91" s="3"/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/>
      <c r="R92" s="3"/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/>
      <c r="R93" s="3"/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/>
      <c r="R94" s="3"/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/>
      <c r="R95" s="3"/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-2.1796664656245589E-2</v>
      </c>
      <c r="I96" s="7">
        <v>2.2872089329671663E-2</v>
      </c>
      <c r="J96" s="7">
        <v>0</v>
      </c>
      <c r="K96" s="7">
        <v>0</v>
      </c>
      <c r="L96">
        <v>0.8419894247146269</v>
      </c>
      <c r="M96">
        <v>-8.0144021691332665E-4</v>
      </c>
      <c r="N96" s="9"/>
      <c r="O96" s="3">
        <f>L96-M96</f>
        <v>0.84279086493154021</v>
      </c>
      <c r="P96" s="3"/>
      <c r="Q96" s="3"/>
      <c r="R96" s="3"/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-2.1796664656245589E-2</v>
      </c>
      <c r="I97" s="7">
        <v>0</v>
      </c>
      <c r="J97" s="7">
        <v>1.6236379226863738E-2</v>
      </c>
      <c r="K97" s="7">
        <v>0</v>
      </c>
      <c r="L97">
        <v>1.8954667052703302</v>
      </c>
      <c r="M97">
        <v>3.528137221409509E-3</v>
      </c>
      <c r="N97" s="9"/>
      <c r="O97" s="3">
        <f>L97-M97</f>
        <v>1.8919385680489207</v>
      </c>
      <c r="P97" s="3"/>
      <c r="Q97" s="3"/>
      <c r="R97" s="3"/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-2.1796664656245589E-2</v>
      </c>
      <c r="I98" s="7">
        <v>0</v>
      </c>
      <c r="J98" s="7">
        <v>0</v>
      </c>
      <c r="K98" s="7">
        <v>2.0521745021313972E-2</v>
      </c>
      <c r="L98">
        <v>2.803142180904064</v>
      </c>
      <c r="M98">
        <v>9.0011799830808027E-4</v>
      </c>
      <c r="N98" s="9"/>
      <c r="O98" s="3">
        <f>L98-M98</f>
        <v>2.8022420629057558</v>
      </c>
      <c r="P98" s="3"/>
      <c r="Q98" s="3"/>
      <c r="R98" s="3"/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/>
      <c r="R99" s="3"/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/>
      <c r="R100" s="3"/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/>
      <c r="R101" s="3"/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/>
      <c r="R102" s="3"/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/>
      <c r="R103" s="3"/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-2.1796664656245589E-2</v>
      </c>
      <c r="I104" s="7">
        <v>2.2872089329671663E-2</v>
      </c>
      <c r="J104" s="7">
        <v>0</v>
      </c>
      <c r="K104" s="7">
        <v>0</v>
      </c>
      <c r="L104">
        <v>0.8419894247146269</v>
      </c>
      <c r="M104">
        <v>-8.0144021691332665E-4</v>
      </c>
      <c r="N104" s="9"/>
      <c r="O104" s="3">
        <f>L104-M104</f>
        <v>0.84279086493154021</v>
      </c>
      <c r="P104" s="3"/>
      <c r="Q104" s="3"/>
      <c r="R104" s="3"/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-2.1796664656245589E-2</v>
      </c>
      <c r="I105" s="7">
        <v>0</v>
      </c>
      <c r="J105" s="7">
        <v>1.5970575730977998E-2</v>
      </c>
      <c r="K105" s="7">
        <v>0</v>
      </c>
      <c r="L105">
        <v>3.0923821493075776</v>
      </c>
      <c r="M105">
        <v>3.6709600572059457E-3</v>
      </c>
      <c r="N105" s="9"/>
      <c r="O105" s="3">
        <f>L105-M105</f>
        <v>3.0887111892503718</v>
      </c>
      <c r="P105" s="3"/>
      <c r="Q105" s="3"/>
      <c r="R105" s="3"/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-2.1796664656245589E-2</v>
      </c>
      <c r="I106" s="7">
        <v>0</v>
      </c>
      <c r="J106" s="7">
        <v>0</v>
      </c>
      <c r="K106" s="7">
        <v>2.0521745021313972E-2</v>
      </c>
      <c r="L106">
        <v>2.803142180904064</v>
      </c>
      <c r="M106">
        <v>9.0011799830808027E-4</v>
      </c>
      <c r="N106" s="9"/>
      <c r="O106" s="3">
        <f>L106-M106</f>
        <v>2.8022420629057558</v>
      </c>
      <c r="P106" s="3"/>
      <c r="Q106" s="3"/>
      <c r="R106" s="3"/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/>
      <c r="R107" s="3"/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/>
      <c r="R108" s="3"/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/>
      <c r="R109" s="3"/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/>
      <c r="R110" s="3"/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/>
      <c r="R111" s="3"/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-2.1796664656245589E-2</v>
      </c>
      <c r="I112" s="7">
        <v>2.2385887789414392E-2</v>
      </c>
      <c r="J112" s="7">
        <v>0</v>
      </c>
      <c r="K112" s="7">
        <v>0</v>
      </c>
      <c r="L112">
        <v>1.5747328563547551</v>
      </c>
      <c r="M112">
        <v>-4.3432806008441584E-4</v>
      </c>
      <c r="N112" s="9"/>
      <c r="O112" s="3">
        <f>L112-M112</f>
        <v>1.5751671844148396</v>
      </c>
      <c r="P112" s="3"/>
      <c r="Q112" s="3"/>
      <c r="R112" s="3"/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-2.1796664656245589E-2</v>
      </c>
      <c r="I113" s="7">
        <v>0</v>
      </c>
      <c r="J113" s="7">
        <v>1.6236379226863738E-2</v>
      </c>
      <c r="K113" s="7">
        <v>0</v>
      </c>
      <c r="L113">
        <v>1.8954667052703302</v>
      </c>
      <c r="M113">
        <v>3.528137221409509E-3</v>
      </c>
      <c r="N113" s="9"/>
      <c r="O113" s="3">
        <f>L113-M113</f>
        <v>1.8919385680489207</v>
      </c>
      <c r="P113" s="3"/>
      <c r="Q113" s="3"/>
      <c r="R113" s="3"/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-2.1796664656245589E-2</v>
      </c>
      <c r="I114" s="7">
        <v>0</v>
      </c>
      <c r="J114" s="7">
        <v>0</v>
      </c>
      <c r="K114" s="7">
        <v>1.5970575730977998E-2</v>
      </c>
      <c r="L114">
        <v>3.0923821493075776</v>
      </c>
      <c r="M114">
        <v>3.6709600572059457E-3</v>
      </c>
      <c r="N114" s="9"/>
      <c r="O114" s="3">
        <f>L114-M114</f>
        <v>3.0887111892503718</v>
      </c>
      <c r="P114" s="3"/>
      <c r="Q114" s="3"/>
      <c r="R114" s="3"/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/>
      <c r="R115" s="3"/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/>
      <c r="R116" s="3"/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/>
      <c r="R117" s="3"/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/>
      <c r="R118" s="3"/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/>
      <c r="R119" s="3"/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-2.1796664656245589E-2</v>
      </c>
      <c r="I120" s="7">
        <v>2.2385887789414392E-2</v>
      </c>
      <c r="J120" s="7">
        <v>0</v>
      </c>
      <c r="K120" s="7">
        <v>0</v>
      </c>
      <c r="L120">
        <v>1.5747328563547551</v>
      </c>
      <c r="M120">
        <v>-4.3432806008441584E-4</v>
      </c>
      <c r="N120" s="9"/>
      <c r="O120" s="3">
        <f>L120-M120</f>
        <v>1.5751671844148396</v>
      </c>
      <c r="P120" s="3"/>
      <c r="Q120" s="3"/>
      <c r="R120" s="3"/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-2.1796664656245589E-2</v>
      </c>
      <c r="I121" s="7">
        <v>0</v>
      </c>
      <c r="J121" s="7">
        <v>1.6236379226863738E-2</v>
      </c>
      <c r="K121" s="7">
        <v>0</v>
      </c>
      <c r="L121">
        <v>1.8954667052703302</v>
      </c>
      <c r="M121">
        <v>3.528137221409509E-3</v>
      </c>
      <c r="N121" s="9"/>
      <c r="O121" s="3">
        <f>L121-M121</f>
        <v>1.8919385680489207</v>
      </c>
      <c r="P121" s="3"/>
      <c r="Q121" s="3"/>
      <c r="R121" s="3"/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-2.1796664656245589E-2</v>
      </c>
      <c r="I122" s="7">
        <v>0</v>
      </c>
      <c r="J122" s="7">
        <v>0</v>
      </c>
      <c r="K122" s="7">
        <v>2.0521745021313972E-2</v>
      </c>
      <c r="L122">
        <v>2.803142180904064</v>
      </c>
      <c r="M122">
        <v>9.0011799830808027E-4</v>
      </c>
      <c r="N122" s="9"/>
      <c r="O122" s="3">
        <f>L122-M122</f>
        <v>2.8022420629057558</v>
      </c>
      <c r="P122" s="3"/>
      <c r="Q122" s="3"/>
      <c r="R122" s="3"/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/>
      <c r="R123" s="3"/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/>
      <c r="R124" s="3"/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/>
      <c r="R125" s="3"/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/>
      <c r="R126" s="3"/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/>
      <c r="R127" s="3"/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-2.1796664656245589E-2</v>
      </c>
      <c r="I128" s="7">
        <v>2.2385887789414392E-2</v>
      </c>
      <c r="J128" s="7">
        <v>0</v>
      </c>
      <c r="K128" s="7">
        <v>0</v>
      </c>
      <c r="L128">
        <v>1.5747328563547551</v>
      </c>
      <c r="M128">
        <v>-4.3432806008441584E-4</v>
      </c>
      <c r="N128" s="9"/>
      <c r="O128" s="3">
        <f>L128-M128</f>
        <v>1.5751671844148396</v>
      </c>
      <c r="P128" s="3"/>
      <c r="Q128" s="3"/>
      <c r="R128" s="3"/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-2.1796664656245589E-2</v>
      </c>
      <c r="I129" s="7">
        <v>0</v>
      </c>
      <c r="J129" s="7">
        <v>1.5970575730977998E-2</v>
      </c>
      <c r="K129" s="7">
        <v>0</v>
      </c>
      <c r="L129">
        <v>3.0923821493075776</v>
      </c>
      <c r="M129">
        <v>3.6709600572059457E-3</v>
      </c>
      <c r="N129" s="9"/>
      <c r="O129" s="3">
        <f>L129-M129</f>
        <v>3.0887111892503718</v>
      </c>
      <c r="P129" s="3"/>
      <c r="Q129" s="3"/>
      <c r="R129" s="3"/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-2.1796664656245589E-2</v>
      </c>
      <c r="I130" s="7">
        <v>0</v>
      </c>
      <c r="J130" s="7">
        <v>0</v>
      </c>
      <c r="K130" s="7">
        <v>2.0521745021313972E-2</v>
      </c>
      <c r="L130">
        <v>2.803142180904064</v>
      </c>
      <c r="M130">
        <v>9.0011799830808027E-4</v>
      </c>
      <c r="N130" s="9"/>
      <c r="O130" s="3">
        <f>L130-M130</f>
        <v>2.8022420629057558</v>
      </c>
      <c r="P130" s="3"/>
      <c r="Q130" s="3"/>
      <c r="R130" s="3"/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/>
      <c r="R131" s="3"/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/>
      <c r="R132" s="3"/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/>
      <c r="R133" s="3"/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/>
      <c r="R134" s="3"/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/>
      <c r="R135" s="3"/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/>
      <c r="R136" s="3"/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/>
      <c r="R137" s="3"/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/>
      <c r="R138" s="3"/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/>
      <c r="R139" s="3"/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-2.1796664656245589E-2</v>
      </c>
      <c r="I140" s="7">
        <v>1.6236379226863738E-2</v>
      </c>
      <c r="J140" s="7">
        <v>0</v>
      </c>
      <c r="K140" s="7">
        <v>0</v>
      </c>
      <c r="L140">
        <v>1.8954667052703302</v>
      </c>
      <c r="M140">
        <v>3.528137221409509E-3</v>
      </c>
      <c r="N140" s="9"/>
      <c r="O140" s="3">
        <f>L140-M140</f>
        <v>1.8919385680489207</v>
      </c>
      <c r="P140" s="3"/>
      <c r="Q140" s="3"/>
      <c r="R140" s="3"/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-2.1796664656245589E-2</v>
      </c>
      <c r="I141" s="7">
        <v>0</v>
      </c>
      <c r="J141" s="7">
        <v>1.5970575730977998E-2</v>
      </c>
      <c r="K141" s="7">
        <v>0</v>
      </c>
      <c r="L141">
        <v>3.0923821493075776</v>
      </c>
      <c r="M141">
        <v>3.6709600572059457E-3</v>
      </c>
      <c r="N141" s="9"/>
      <c r="O141" s="3">
        <f>L141-M141</f>
        <v>3.0887111892503718</v>
      </c>
      <c r="P141" s="3"/>
      <c r="Q141" s="3"/>
      <c r="R141" s="3"/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-2.1796664656245589E-2</v>
      </c>
      <c r="I142" s="7">
        <v>0</v>
      </c>
      <c r="J142" s="7">
        <v>0</v>
      </c>
      <c r="K142" s="7">
        <v>2.0521745021313972E-2</v>
      </c>
      <c r="L142">
        <v>2.803142180904064</v>
      </c>
      <c r="M142">
        <v>9.0011799830808027E-4</v>
      </c>
      <c r="N142" s="9"/>
      <c r="O142" s="3">
        <f>L142-M142</f>
        <v>2.8022420629057558</v>
      </c>
      <c r="P142" s="3"/>
      <c r="Q142" s="3"/>
      <c r="R142" s="3"/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/>
      <c r="R143" s="3"/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/>
      <c r="R144" s="3"/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/>
      <c r="R145" s="3"/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/>
      <c r="R146" s="3"/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/>
      <c r="R147" s="3"/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/>
      <c r="R148" s="3"/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/>
      <c r="R149" s="3"/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/>
      <c r="R150" s="3"/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/>
      <c r="R151" s="3"/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/>
      <c r="R152" s="3"/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/>
      <c r="R153" s="3"/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/>
      <c r="R154" s="3"/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/>
      <c r="R155" s="3"/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/>
      <c r="R156" s="3"/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/>
      <c r="R157" s="3"/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/>
      <c r="R158" s="3"/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/>
      <c r="R159" s="3"/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/>
      <c r="R160" s="3"/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/>
      <c r="R161" s="3"/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/>
      <c r="R162" s="3"/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/>
      <c r="R163" s="3"/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/>
      <c r="R164" s="3"/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/>
      <c r="R165" s="3"/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/>
      <c r="R166" s="3"/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/>
      <c r="R167" s="3"/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/>
      <c r="R168" s="3"/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/>
      <c r="R169" s="3"/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/>
      <c r="R170" s="3"/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/>
      <c r="R171" s="3"/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/>
      <c r="R172" s="3"/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/>
      <c r="R173" s="3"/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/>
      <c r="R174" s="3"/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/>
      <c r="R175" s="3"/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/>
      <c r="R176" s="3"/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/>
      <c r="R177" s="3"/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/>
      <c r="R178" s="3"/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/>
      <c r="R179" s="3"/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/>
      <c r="R180" s="3"/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/>
      <c r="R181" s="3"/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/>
      <c r="R182" s="3"/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/>
      <c r="R183" s="3"/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/>
      <c r="R184" s="3"/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/>
      <c r="R185" s="3"/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/>
      <c r="R186" s="3"/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/>
      <c r="R187" s="3"/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/>
      <c r="R188" s="3"/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/>
      <c r="R189" s="3"/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/>
      <c r="R190" s="3"/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/>
      <c r="R191" s="3"/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/>
      <c r="R192" s="3"/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/>
      <c r="R193" s="3"/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/>
      <c r="R194" s="3"/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/>
      <c r="R195" s="3"/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/>
      <c r="R196" s="3"/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/>
      <c r="R197" s="3"/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/>
      <c r="R198" s="3"/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/>
      <c r="R199" s="3"/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/>
      <c r="R200" s="3"/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/>
      <c r="R201" s="3"/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/>
      <c r="R202" s="3"/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/>
      <c r="R203" s="3"/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/>
      <c r="R204" s="3"/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/>
      <c r="R205" s="3"/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/>
      <c r="R206" s="3"/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/>
      <c r="R207" s="3"/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/>
      <c r="R208" s="3"/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/>
      <c r="R209" s="3"/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/>
      <c r="R210" s="3"/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/>
      <c r="R211" s="3"/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/>
      <c r="R212" s="3"/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/>
      <c r="R213" s="3"/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/>
      <c r="R214" s="3"/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/>
      <c r="R215" s="3"/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/>
      <c r="R216" s="3"/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/>
      <c r="R217" s="3"/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/>
      <c r="R218" s="3"/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/>
      <c r="R219" s="3"/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/>
      <c r="R220" s="3"/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/>
      <c r="R221" s="3"/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/>
      <c r="R222" s="3"/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/>
      <c r="R223" s="3"/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/>
      <c r="R224" s="3"/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/>
      <c r="R225" s="3"/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/>
      <c r="R226" s="3"/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/>
      <c r="R227" s="3"/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/>
      <c r="R228" s="3"/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/>
      <c r="R229" s="3"/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/>
      <c r="R230" s="3"/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/>
      <c r="R231" s="3"/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/>
      <c r="R232" s="3"/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/>
      <c r="R233" s="3"/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/>
      <c r="R234" s="3"/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/>
      <c r="R235" s="3"/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/>
      <c r="R236" s="3"/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/>
      <c r="R237" s="3"/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/>
      <c r="R238" s="3"/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/>
      <c r="R239" s="3"/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/>
      <c r="R240" s="3"/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/>
      <c r="R241" s="3"/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/>
      <c r="R242" s="3"/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/>
      <c r="R243" s="3"/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/>
      <c r="R244" s="3"/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/>
      <c r="R245" s="3"/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/>
      <c r="R246" s="3"/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/>
      <c r="R247" s="3"/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/>
      <c r="R248" s="3"/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/>
      <c r="R249" s="3"/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/>
      <c r="R250" s="3"/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/>
      <c r="R251" s="3"/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/>
      <c r="R252" s="3"/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/>
      <c r="R253" s="3"/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/>
      <c r="R254" s="3"/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/>
      <c r="R255" s="3"/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/>
      <c r="R256" s="3"/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/>
      <c r="R257" s="3"/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/>
      <c r="R258" s="3"/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/>
      <c r="R259" s="3"/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/>
      <c r="R260" s="3"/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/>
      <c r="R261" s="3"/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/>
      <c r="R262" s="3"/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/>
      <c r="R263" s="3"/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/>
      <c r="R264" s="3"/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/>
      <c r="R265" s="3"/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/>
      <c r="R266" s="3"/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/>
      <c r="R267" s="3"/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/>
      <c r="R268" s="3"/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/>
      <c r="R269" s="3"/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/>
      <c r="R270" s="3"/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/>
      <c r="R271" s="3"/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/>
      <c r="R272" s="3"/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/>
      <c r="R273" s="3"/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/>
      <c r="R274" s="3"/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/>
      <c r="R275" s="3"/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/>
      <c r="R276" s="3"/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/>
      <c r="R277" s="3"/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/>
      <c r="R278" s="3"/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/>
      <c r="R279" s="3"/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/>
      <c r="R280" s="3"/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/>
      <c r="R281" s="3"/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/>
      <c r="R282" s="3"/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/>
      <c r="R283" s="3"/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/>
      <c r="R284" s="3"/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/>
      <c r="R285" s="3"/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/>
      <c r="R286" s="3"/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/>
      <c r="R287" s="3"/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/>
    </row>
    <row r="289" spans="1:17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/>
    </row>
    <row r="290" spans="1:17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/>
    </row>
    <row r="291" spans="1:17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</row>
    <row r="292" spans="1:17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</row>
    <row r="293" spans="1:17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</row>
    <row r="294" spans="1:17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</row>
    <row r="295" spans="1:17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</row>
    <row r="296" spans="1:17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</row>
    <row r="297" spans="1:17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</row>
    <row r="298" spans="1:17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</row>
    <row r="299" spans="1:17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</row>
    <row r="300" spans="1:17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</row>
    <row r="301" spans="1:17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</row>
    <row r="302" spans="1:17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</row>
    <row r="303" spans="1:17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</row>
    <row r="304" spans="1:17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-2.2872089329671663E-2</v>
      </c>
      <c r="I312" s="7">
        <v>2.1796664656245589E-2</v>
      </c>
      <c r="J312" s="7">
        <v>0</v>
      </c>
      <c r="K312" s="7">
        <v>0</v>
      </c>
      <c r="L312">
        <v>0.8419894247146269</v>
      </c>
      <c r="M312">
        <v>8.0144021691332665E-4</v>
      </c>
      <c r="N312" s="9"/>
      <c r="O312" s="3">
        <f>L312-M312</f>
        <v>0.84118798449771359</v>
      </c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-2.2872089329671663E-2</v>
      </c>
      <c r="I313" s="7">
        <v>0</v>
      </c>
      <c r="J313" s="7">
        <v>2.2385887789414392E-2</v>
      </c>
      <c r="K313" s="7">
        <v>0</v>
      </c>
      <c r="L313">
        <v>3.3557501239318595</v>
      </c>
      <c r="M313">
        <v>3.6711215682891076E-4</v>
      </c>
      <c r="N313" s="9"/>
      <c r="O313" s="3">
        <f>L313-M313</f>
        <v>3.3553830117750305</v>
      </c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-2.2872089329671663E-2</v>
      </c>
      <c r="I314" s="7">
        <v>0</v>
      </c>
      <c r="J314" s="7">
        <v>0</v>
      </c>
      <c r="K314" s="7">
        <v>1.6236379226863738E-2</v>
      </c>
      <c r="L314">
        <v>0.66775267347450074</v>
      </c>
      <c r="M314">
        <v>4.3295774383228357E-3</v>
      </c>
      <c r="N314" s="9"/>
      <c r="O314" s="3">
        <f>L314-M314</f>
        <v>0.66342309603617788</v>
      </c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-2.2872089329671663E-2</v>
      </c>
      <c r="I316" s="7">
        <v>2.1796664656245589E-2</v>
      </c>
      <c r="J316" s="7">
        <v>0</v>
      </c>
      <c r="K316" s="7">
        <v>0</v>
      </c>
      <c r="L316">
        <v>0.8419894247146269</v>
      </c>
      <c r="M316">
        <v>8.0144021691332665E-4</v>
      </c>
      <c r="N316" s="9"/>
      <c r="O316" s="3">
        <f>L316-M316</f>
        <v>0.84118798449771359</v>
      </c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-2.2872089329671663E-2</v>
      </c>
      <c r="I317" s="7">
        <v>0</v>
      </c>
      <c r="J317" s="7">
        <v>2.2385887789414392E-2</v>
      </c>
      <c r="K317" s="7">
        <v>0</v>
      </c>
      <c r="L317">
        <v>3.3557501239318595</v>
      </c>
      <c r="M317">
        <v>3.6711215682891076E-4</v>
      </c>
      <c r="N317" s="9"/>
      <c r="O317" s="3">
        <f>L317-M317</f>
        <v>3.3553830117750305</v>
      </c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-2.2872089329671663E-2</v>
      </c>
      <c r="I318" s="7">
        <v>0</v>
      </c>
      <c r="J318" s="7">
        <v>0</v>
      </c>
      <c r="K318" s="7">
        <v>1.5970575730977998E-2</v>
      </c>
      <c r="L318">
        <v>4.4582929032762966</v>
      </c>
      <c r="M318">
        <v>4.4724002741192721E-3</v>
      </c>
      <c r="N318" s="9"/>
      <c r="O318" s="3">
        <f>L318-M318</f>
        <v>4.4538205030021771</v>
      </c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-2.2872089329671663E-2</v>
      </c>
      <c r="I324" s="7">
        <v>2.1796664656245589E-2</v>
      </c>
      <c r="J324" s="7">
        <v>0</v>
      </c>
      <c r="K324" s="7">
        <v>0</v>
      </c>
      <c r="L324">
        <v>0.8419894247146269</v>
      </c>
      <c r="M324">
        <v>8.0144021691332665E-4</v>
      </c>
      <c r="N324" s="9"/>
      <c r="O324" s="3">
        <f>L324-M324</f>
        <v>0.84118798449771359</v>
      </c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-2.2872089329671663E-2</v>
      </c>
      <c r="I325" s="7">
        <v>0</v>
      </c>
      <c r="J325" s="7">
        <v>2.2385887789414392E-2</v>
      </c>
      <c r="K325" s="7">
        <v>0</v>
      </c>
      <c r="L325">
        <v>3.3557501239318595</v>
      </c>
      <c r="M325">
        <v>3.6711215682891076E-4</v>
      </c>
      <c r="N325" s="9"/>
      <c r="O325" s="3">
        <f>L325-M325</f>
        <v>3.3553830117750305</v>
      </c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-2.2872089329671663E-2</v>
      </c>
      <c r="I326" s="7">
        <v>0</v>
      </c>
      <c r="J326" s="7">
        <v>0</v>
      </c>
      <c r="K326" s="7">
        <v>2.0521745021313972E-2</v>
      </c>
      <c r="L326">
        <v>3.7190693025902282</v>
      </c>
      <c r="M326">
        <v>1.7015582152214068E-3</v>
      </c>
      <c r="N326" s="9"/>
      <c r="O326" s="3">
        <f>L326-M326</f>
        <v>3.7173677443750068</v>
      </c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-2.2872089329671663E-2</v>
      </c>
      <c r="I328" s="7">
        <v>2.1796664656245589E-2</v>
      </c>
      <c r="J328" s="7">
        <v>0</v>
      </c>
      <c r="K328" s="7">
        <v>0</v>
      </c>
      <c r="L328">
        <v>0.8419894247146269</v>
      </c>
      <c r="M328">
        <v>8.0144021691332665E-4</v>
      </c>
      <c r="N328" s="9"/>
      <c r="O328" s="3">
        <f>L328-M328</f>
        <v>0.84118798449771359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-2.2872089329671663E-2</v>
      </c>
      <c r="I329" s="7">
        <v>0</v>
      </c>
      <c r="J329" s="7">
        <v>1.6236379226863738E-2</v>
      </c>
      <c r="K329" s="7">
        <v>0</v>
      </c>
      <c r="L329">
        <v>0.66775267347450074</v>
      </c>
      <c r="M329">
        <v>4.3295774383228357E-3</v>
      </c>
      <c r="N329" s="9"/>
      <c r="O329" s="3">
        <f>L329-M329</f>
        <v>0.66342309603617788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-2.2872089329671663E-2</v>
      </c>
      <c r="I330" s="7">
        <v>0</v>
      </c>
      <c r="J330" s="7">
        <v>0</v>
      </c>
      <c r="K330" s="7">
        <v>1.5970575730977998E-2</v>
      </c>
      <c r="L330">
        <v>4.4582929032762966</v>
      </c>
      <c r="M330">
        <v>4.4724002741192721E-3</v>
      </c>
      <c r="N330" s="9"/>
      <c r="O330" s="3">
        <f>L330-M330</f>
        <v>4.4538205030021771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-2.2872089329671663E-2</v>
      </c>
      <c r="I336" s="7">
        <v>2.1796664656245589E-2</v>
      </c>
      <c r="J336" s="7">
        <v>0</v>
      </c>
      <c r="K336" s="7">
        <v>0</v>
      </c>
      <c r="L336">
        <v>0.8419894247146269</v>
      </c>
      <c r="M336">
        <v>8.0144021691332665E-4</v>
      </c>
      <c r="N336" s="9"/>
      <c r="O336" s="3">
        <f>L336-M336</f>
        <v>0.84118798449771359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-2.2872089329671663E-2</v>
      </c>
      <c r="I337" s="7">
        <v>0</v>
      </c>
      <c r="J337" s="7">
        <v>1.6236379226863738E-2</v>
      </c>
      <c r="K337" s="7">
        <v>0</v>
      </c>
      <c r="L337">
        <v>0.66775267347450074</v>
      </c>
      <c r="M337">
        <v>4.3295774383228357E-3</v>
      </c>
      <c r="N337" s="9"/>
      <c r="O337" s="3">
        <f>L337-M337</f>
        <v>0.66342309603617788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-2.2872089329671663E-2</v>
      </c>
      <c r="I338" s="7">
        <v>0</v>
      </c>
      <c r="J338" s="7">
        <v>0</v>
      </c>
      <c r="K338" s="7">
        <v>2.0521745021313972E-2</v>
      </c>
      <c r="L338">
        <v>3.7190693025902282</v>
      </c>
      <c r="M338">
        <v>1.7015582152214068E-3</v>
      </c>
      <c r="N338" s="9"/>
      <c r="O338" s="3">
        <f>L338-M338</f>
        <v>3.7173677443750068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-2.2872089329671663E-2</v>
      </c>
      <c r="I344" s="7">
        <v>2.1796664656245589E-2</v>
      </c>
      <c r="J344" s="7">
        <v>0</v>
      </c>
      <c r="K344" s="7">
        <v>0</v>
      </c>
      <c r="L344">
        <v>0.8419894247146269</v>
      </c>
      <c r="M344">
        <v>8.0144021691332665E-4</v>
      </c>
      <c r="N344" s="9"/>
      <c r="O344" s="3">
        <f>L344-M344</f>
        <v>0.84118798449771359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-2.2872089329671663E-2</v>
      </c>
      <c r="I345" s="7">
        <v>0</v>
      </c>
      <c r="J345" s="7">
        <v>1.5970575730977998E-2</v>
      </c>
      <c r="K345" s="7">
        <v>0</v>
      </c>
      <c r="L345">
        <v>4.4582929032762966</v>
      </c>
      <c r="M345">
        <v>4.4724002741192721E-3</v>
      </c>
      <c r="N345" s="9"/>
      <c r="O345" s="3">
        <f>L345-M345</f>
        <v>4.4538205030021771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-2.2872089329671663E-2</v>
      </c>
      <c r="I346" s="7">
        <v>0</v>
      </c>
      <c r="J346" s="7">
        <v>0</v>
      </c>
      <c r="K346" s="7">
        <v>2.0521745021313972E-2</v>
      </c>
      <c r="L346">
        <v>3.7190693025902282</v>
      </c>
      <c r="M346">
        <v>1.7015582152214068E-3</v>
      </c>
      <c r="N346" s="9"/>
      <c r="O346" s="3">
        <f>L346-M346</f>
        <v>3.7173677443750068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-2.2872089329671663E-2</v>
      </c>
      <c r="I392" s="7">
        <v>2.2385887789414392E-2</v>
      </c>
      <c r="J392" s="7">
        <v>0</v>
      </c>
      <c r="K392" s="7">
        <v>0</v>
      </c>
      <c r="L392">
        <v>3.3557501239318595</v>
      </c>
      <c r="M392">
        <v>3.6711215682891076E-4</v>
      </c>
      <c r="N392" s="9"/>
      <c r="O392" s="3">
        <f>L392-M392</f>
        <v>3.3553830117750305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-2.2872089329671663E-2</v>
      </c>
      <c r="I393" s="7">
        <v>0</v>
      </c>
      <c r="J393" s="7">
        <v>1.6236379226863738E-2</v>
      </c>
      <c r="K393" s="7">
        <v>0</v>
      </c>
      <c r="L393">
        <v>0.66775267347450074</v>
      </c>
      <c r="M393">
        <v>4.3295774383228357E-3</v>
      </c>
      <c r="N393" s="9"/>
      <c r="O393" s="3">
        <f>L393-M393</f>
        <v>0.66342309603617788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-2.2872089329671663E-2</v>
      </c>
      <c r="I394" s="7">
        <v>0</v>
      </c>
      <c r="J394" s="7">
        <v>0</v>
      </c>
      <c r="K394" s="7">
        <v>1.5970575730977998E-2</v>
      </c>
      <c r="L394">
        <v>4.4582929032762966</v>
      </c>
      <c r="M394">
        <v>4.4724002741192721E-3</v>
      </c>
      <c r="N394" s="9"/>
      <c r="O394" s="3">
        <f>L394-M394</f>
        <v>4.4538205030021771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-2.2872089329671663E-2</v>
      </c>
      <c r="I400" s="7">
        <v>2.2385887789414392E-2</v>
      </c>
      <c r="J400" s="7">
        <v>0</v>
      </c>
      <c r="K400" s="7">
        <v>0</v>
      </c>
      <c r="L400">
        <v>3.3557501239318595</v>
      </c>
      <c r="M400">
        <v>3.6711215682891076E-4</v>
      </c>
      <c r="N400" s="9"/>
      <c r="O400" s="3">
        <f>L400-M400</f>
        <v>3.3553830117750305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-2.2872089329671663E-2</v>
      </c>
      <c r="I401" s="7">
        <v>0</v>
      </c>
      <c r="J401" s="7">
        <v>1.6236379226863738E-2</v>
      </c>
      <c r="K401" s="7">
        <v>0</v>
      </c>
      <c r="L401">
        <v>0.66775267347450074</v>
      </c>
      <c r="M401">
        <v>4.3295774383228357E-3</v>
      </c>
      <c r="N401" s="9"/>
      <c r="O401" s="3">
        <f>L401-M401</f>
        <v>0.66342309603617788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-2.2872089329671663E-2</v>
      </c>
      <c r="I402" s="7">
        <v>0</v>
      </c>
      <c r="J402" s="7">
        <v>0</v>
      </c>
      <c r="K402" s="7">
        <v>2.0521745021313972E-2</v>
      </c>
      <c r="L402">
        <v>3.7190693025902282</v>
      </c>
      <c r="M402">
        <v>1.7015582152214068E-3</v>
      </c>
      <c r="N402" s="9"/>
      <c r="O402" s="3">
        <f>L402-M402</f>
        <v>3.7173677443750068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-2.2872089329671663E-2</v>
      </c>
      <c r="I408" s="7">
        <v>2.2385887789414392E-2</v>
      </c>
      <c r="J408" s="7">
        <v>0</v>
      </c>
      <c r="K408" s="7">
        <v>0</v>
      </c>
      <c r="L408">
        <v>3.3557501239318595</v>
      </c>
      <c r="M408">
        <v>3.6711215682891076E-4</v>
      </c>
      <c r="N408" s="9"/>
      <c r="O408" s="3">
        <f>L408-M408</f>
        <v>3.3553830117750305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-2.2872089329671663E-2</v>
      </c>
      <c r="I409" s="7">
        <v>0</v>
      </c>
      <c r="J409" s="7">
        <v>1.5970575730977998E-2</v>
      </c>
      <c r="K409" s="7">
        <v>0</v>
      </c>
      <c r="L409">
        <v>4.4582929032762966</v>
      </c>
      <c r="M409">
        <v>4.4724002741192721E-3</v>
      </c>
      <c r="N409" s="9"/>
      <c r="O409" s="3">
        <f>L409-M409</f>
        <v>4.4538205030021771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-2.2872089329671663E-2</v>
      </c>
      <c r="I410" s="7">
        <v>0</v>
      </c>
      <c r="J410" s="7">
        <v>0</v>
      </c>
      <c r="K410" s="7">
        <v>2.0521745021313972E-2</v>
      </c>
      <c r="L410">
        <v>3.7190693025902282</v>
      </c>
      <c r="M410">
        <v>1.7015582152214068E-3</v>
      </c>
      <c r="N410" s="9"/>
      <c r="O410" s="3">
        <f>L410-M410</f>
        <v>3.7173677443750068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-2.2872089329671663E-2</v>
      </c>
      <c r="I420" s="7">
        <v>1.6236379226863738E-2</v>
      </c>
      <c r="J420" s="7">
        <v>0</v>
      </c>
      <c r="K420" s="7">
        <v>0</v>
      </c>
      <c r="L420">
        <v>0.66775267347450074</v>
      </c>
      <c r="M420">
        <v>4.3295774383228357E-3</v>
      </c>
      <c r="N420" s="9"/>
      <c r="O420" s="3">
        <f>L420-M420</f>
        <v>0.66342309603617788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-2.2872089329671663E-2</v>
      </c>
      <c r="I421" s="7">
        <v>0</v>
      </c>
      <c r="J421" s="7">
        <v>1.5970575730977998E-2</v>
      </c>
      <c r="K421" s="7">
        <v>0</v>
      </c>
      <c r="L421">
        <v>4.4582929032762966</v>
      </c>
      <c r="M421">
        <v>4.4724002741192721E-3</v>
      </c>
      <c r="N421" s="9"/>
      <c r="O421" s="3">
        <f>L421-M421</f>
        <v>4.4538205030021771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-2.2872089329671663E-2</v>
      </c>
      <c r="I422" s="7">
        <v>0</v>
      </c>
      <c r="J422" s="7">
        <v>0</v>
      </c>
      <c r="K422" s="7">
        <v>2.0521745021313972E-2</v>
      </c>
      <c r="L422">
        <v>3.7190693025902282</v>
      </c>
      <c r="M422">
        <v>1.7015582152214068E-3</v>
      </c>
      <c r="N422" s="9"/>
      <c r="O422" s="3">
        <f>L422-M422</f>
        <v>3.7173677443750068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-2.2385887789414392E-2</v>
      </c>
      <c r="I452" s="7">
        <v>2.1796664656245589E-2</v>
      </c>
      <c r="J452" s="7">
        <v>0</v>
      </c>
      <c r="K452" s="7">
        <v>0</v>
      </c>
      <c r="L452">
        <v>1.5747328563547551</v>
      </c>
      <c r="M452">
        <v>4.3432806008441584E-4</v>
      </c>
      <c r="N452" s="9"/>
      <c r="O452" s="3">
        <f>L452-M452</f>
        <v>1.5742985282946707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-2.2385887789414392E-2</v>
      </c>
      <c r="I453" s="7">
        <v>0</v>
      </c>
      <c r="J453" s="7">
        <v>2.2872089329671663E-2</v>
      </c>
      <c r="K453" s="7">
        <v>0</v>
      </c>
      <c r="L453">
        <v>3.3557501239318595</v>
      </c>
      <c r="M453">
        <v>-3.6711215682891076E-4</v>
      </c>
      <c r="N453" s="9"/>
      <c r="O453" s="3">
        <f>L453-M453</f>
        <v>3.3561172360886884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-2.2385887789414392E-2</v>
      </c>
      <c r="I454" s="7">
        <v>0</v>
      </c>
      <c r="J454" s="7">
        <v>0</v>
      </c>
      <c r="K454" s="7">
        <v>1.6236379226863738E-2</v>
      </c>
      <c r="L454">
        <v>4.0754124436814498</v>
      </c>
      <c r="M454">
        <v>3.9624652814939246E-3</v>
      </c>
      <c r="N454" s="9"/>
      <c r="O454" s="3">
        <f>L454-M454</f>
        <v>4.071449978399956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-2.2385887789414392E-2</v>
      </c>
      <c r="I456" s="7">
        <v>2.1796664656245589E-2</v>
      </c>
      <c r="J456" s="7">
        <v>0</v>
      </c>
      <c r="K456" s="7">
        <v>0</v>
      </c>
      <c r="L456">
        <v>1.5747328563547551</v>
      </c>
      <c r="M456">
        <v>4.3432806008441584E-4</v>
      </c>
      <c r="N456" s="9"/>
      <c r="O456" s="3">
        <f>L456-M456</f>
        <v>1.5742985282946707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-2.2385887789414392E-2</v>
      </c>
      <c r="I457" s="7">
        <v>0</v>
      </c>
      <c r="J457" s="7">
        <v>2.2872089329671663E-2</v>
      </c>
      <c r="K457" s="7">
        <v>0</v>
      </c>
      <c r="L457">
        <v>3.3557501239318595</v>
      </c>
      <c r="M457">
        <v>-3.6711215682891076E-4</v>
      </c>
      <c r="N457" s="9"/>
      <c r="O457" s="3">
        <f>L457-M457</f>
        <v>3.3561172360886884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-2.2385887789414392E-2</v>
      </c>
      <c r="I458" s="7">
        <v>0</v>
      </c>
      <c r="J458" s="7">
        <v>0</v>
      </c>
      <c r="K458" s="7">
        <v>1.5970575730977998E-2</v>
      </c>
      <c r="L458">
        <v>0.90446106922389957</v>
      </c>
      <c r="M458">
        <v>4.1052881172903618E-3</v>
      </c>
      <c r="N458" s="9"/>
      <c r="O458" s="3">
        <f>L458-M458</f>
        <v>0.90035578110660919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-2.2385887789414392E-2</v>
      </c>
      <c r="I464" s="7">
        <v>2.1796664656245589E-2</v>
      </c>
      <c r="J464" s="7">
        <v>0</v>
      </c>
      <c r="K464" s="7">
        <v>0</v>
      </c>
      <c r="L464">
        <v>1.5747328563547551</v>
      </c>
      <c r="M464">
        <v>4.3432806008441584E-4</v>
      </c>
      <c r="N464" s="9"/>
      <c r="O464" s="3">
        <f>L464-M464</f>
        <v>1.5742985282946707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-2.2385887789414392E-2</v>
      </c>
      <c r="I465" s="7">
        <v>0</v>
      </c>
      <c r="J465" s="7">
        <v>2.2872089329671663E-2</v>
      </c>
      <c r="K465" s="7">
        <v>0</v>
      </c>
      <c r="L465">
        <v>3.3557501239318595</v>
      </c>
      <c r="M465">
        <v>-3.6711215682891076E-4</v>
      </c>
      <c r="N465" s="9"/>
      <c r="O465" s="3">
        <f>L465-M465</f>
        <v>3.3561172360886884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-2.2385887789414392E-2</v>
      </c>
      <c r="I466" s="7">
        <v>0</v>
      </c>
      <c r="J466" s="7">
        <v>0</v>
      </c>
      <c r="K466" s="7">
        <v>2.0521745021313972E-2</v>
      </c>
      <c r="L466">
        <v>2.3682128123525694</v>
      </c>
      <c r="M466">
        <v>1.3344460583924961E-3</v>
      </c>
      <c r="N466" s="9"/>
      <c r="O466" s="3">
        <f>L466-M466</f>
        <v>2.366878366294177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-2.2385887789414392E-2</v>
      </c>
      <c r="I468" s="7">
        <v>2.1796664656245589E-2</v>
      </c>
      <c r="J468" s="7">
        <v>0</v>
      </c>
      <c r="K468" s="7">
        <v>0</v>
      </c>
      <c r="L468">
        <v>1.5747328563547551</v>
      </c>
      <c r="M468">
        <v>4.3432806008441584E-4</v>
      </c>
      <c r="N468" s="9"/>
      <c r="O468" s="3">
        <f>L468-M468</f>
        <v>1.5742985282946707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-2.2385887789414392E-2</v>
      </c>
      <c r="I469" s="7">
        <v>0</v>
      </c>
      <c r="J469" s="7">
        <v>1.6236379226863738E-2</v>
      </c>
      <c r="K469" s="7">
        <v>0</v>
      </c>
      <c r="L469">
        <v>4.0754124436814498</v>
      </c>
      <c r="M469">
        <v>3.9624652814939246E-3</v>
      </c>
      <c r="N469" s="9"/>
      <c r="O469" s="3">
        <f>L469-M469</f>
        <v>4.071449978399956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-2.2385887789414392E-2</v>
      </c>
      <c r="I470" s="7">
        <v>0</v>
      </c>
      <c r="J470" s="7">
        <v>0</v>
      </c>
      <c r="K470" s="7">
        <v>1.5970575730977998E-2</v>
      </c>
      <c r="L470">
        <v>0.90446106922389957</v>
      </c>
      <c r="M470">
        <v>4.1052881172903618E-3</v>
      </c>
      <c r="N470" s="9"/>
      <c r="O470" s="3">
        <f>L470-M470</f>
        <v>0.90035578110660919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-2.2385887789414392E-2</v>
      </c>
      <c r="I476" s="7">
        <v>2.1796664656245589E-2</v>
      </c>
      <c r="J476" s="7">
        <v>0</v>
      </c>
      <c r="K476" s="7">
        <v>0</v>
      </c>
      <c r="L476">
        <v>1.5747328563547551</v>
      </c>
      <c r="M476">
        <v>4.3432806008441584E-4</v>
      </c>
      <c r="N476" s="9"/>
      <c r="O476" s="3">
        <f>L476-M476</f>
        <v>1.5742985282946707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-2.2385887789414392E-2</v>
      </c>
      <c r="I477" s="7">
        <v>0</v>
      </c>
      <c r="J477" s="7">
        <v>1.6236379226863738E-2</v>
      </c>
      <c r="K477" s="7">
        <v>0</v>
      </c>
      <c r="L477">
        <v>4.0754124436814498</v>
      </c>
      <c r="M477">
        <v>3.9624652814939246E-3</v>
      </c>
      <c r="N477" s="9"/>
      <c r="O477" s="3">
        <f>L477-M477</f>
        <v>4.071449978399956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-2.2385887789414392E-2</v>
      </c>
      <c r="I478" s="7">
        <v>0</v>
      </c>
      <c r="J478" s="7">
        <v>0</v>
      </c>
      <c r="K478" s="7">
        <v>2.0521745021313972E-2</v>
      </c>
      <c r="L478">
        <v>2.3682128123525694</v>
      </c>
      <c r="M478">
        <v>1.3344460583924961E-3</v>
      </c>
      <c r="N478" s="9"/>
      <c r="O478" s="3">
        <f>L478-M478</f>
        <v>2.366878366294177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-2.2385887789414392E-2</v>
      </c>
      <c r="I484" s="7">
        <v>2.1796664656245589E-2</v>
      </c>
      <c r="J484" s="7">
        <v>0</v>
      </c>
      <c r="K484" s="7">
        <v>0</v>
      </c>
      <c r="L484">
        <v>1.5747328563547551</v>
      </c>
      <c r="M484">
        <v>4.3432806008441584E-4</v>
      </c>
      <c r="N484" s="9"/>
      <c r="O484" s="3">
        <f>L484-M484</f>
        <v>1.5742985282946707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-2.2385887789414392E-2</v>
      </c>
      <c r="I485" s="7">
        <v>0</v>
      </c>
      <c r="J485" s="7">
        <v>1.5970575730977998E-2</v>
      </c>
      <c r="K485" s="7">
        <v>0</v>
      </c>
      <c r="L485">
        <v>0.90446106922389957</v>
      </c>
      <c r="M485">
        <v>4.1052881172903618E-3</v>
      </c>
      <c r="N485" s="9"/>
      <c r="O485" s="3">
        <f>L485-M485</f>
        <v>0.90035578110660919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-2.2385887789414392E-2</v>
      </c>
      <c r="I486" s="7">
        <v>0</v>
      </c>
      <c r="J486" s="7">
        <v>0</v>
      </c>
      <c r="K486" s="7">
        <v>2.0521745021313972E-2</v>
      </c>
      <c r="L486">
        <v>2.3682128123525694</v>
      </c>
      <c r="M486">
        <v>1.3344460583924961E-3</v>
      </c>
      <c r="N486" s="9"/>
      <c r="O486" s="3">
        <f>L486-M486</f>
        <v>2.366878366294177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-2.2385887789414392E-2</v>
      </c>
      <c r="I532" s="7">
        <v>2.2872089329671663E-2</v>
      </c>
      <c r="J532" s="7">
        <v>0</v>
      </c>
      <c r="K532" s="7">
        <v>0</v>
      </c>
      <c r="L532">
        <v>3.3557501239318595</v>
      </c>
      <c r="M532">
        <v>-3.6711215682891076E-4</v>
      </c>
      <c r="N532" s="9"/>
      <c r="O532" s="3">
        <f>L532-M532</f>
        <v>3.3561172360886884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-2.2385887789414392E-2</v>
      </c>
      <c r="I533" s="7">
        <v>0</v>
      </c>
      <c r="J533" s="7">
        <v>1.6236379226863738E-2</v>
      </c>
      <c r="K533" s="7">
        <v>0</v>
      </c>
      <c r="L533">
        <v>4.0754124436814498</v>
      </c>
      <c r="M533">
        <v>3.9624652814939246E-3</v>
      </c>
      <c r="N533" s="9"/>
      <c r="O533" s="3">
        <f>L533-M533</f>
        <v>4.071449978399956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-2.2385887789414392E-2</v>
      </c>
      <c r="I534" s="7">
        <v>0</v>
      </c>
      <c r="J534" s="7">
        <v>0</v>
      </c>
      <c r="K534" s="7">
        <v>1.5970575730977998E-2</v>
      </c>
      <c r="L534">
        <v>0.90446106922389957</v>
      </c>
      <c r="M534">
        <v>4.1052881172903618E-3</v>
      </c>
      <c r="N534" s="9"/>
      <c r="O534" s="3">
        <f>L534-M534</f>
        <v>0.90035578110660919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-2.2385887789414392E-2</v>
      </c>
      <c r="I540" s="7">
        <v>2.2872089329671663E-2</v>
      </c>
      <c r="J540" s="7">
        <v>0</v>
      </c>
      <c r="K540" s="7">
        <v>0</v>
      </c>
      <c r="L540">
        <v>3.3557501239318595</v>
      </c>
      <c r="M540">
        <v>-3.6711215682891076E-4</v>
      </c>
      <c r="N540" s="9"/>
      <c r="O540" s="3">
        <f>L540-M540</f>
        <v>3.3561172360886884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-2.2385887789414392E-2</v>
      </c>
      <c r="I541" s="7">
        <v>0</v>
      </c>
      <c r="J541" s="7">
        <v>1.6236379226863738E-2</v>
      </c>
      <c r="K541" s="7">
        <v>0</v>
      </c>
      <c r="L541">
        <v>4.0754124436814498</v>
      </c>
      <c r="M541">
        <v>3.9624652814939246E-3</v>
      </c>
      <c r="N541" s="9"/>
      <c r="O541" s="3">
        <f>L541-M541</f>
        <v>4.071449978399956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-2.2385887789414392E-2</v>
      </c>
      <c r="I542" s="7">
        <v>0</v>
      </c>
      <c r="J542" s="7">
        <v>0</v>
      </c>
      <c r="K542" s="7">
        <v>2.0521745021313972E-2</v>
      </c>
      <c r="L542">
        <v>2.3682128123525694</v>
      </c>
      <c r="M542">
        <v>1.3344460583924961E-3</v>
      </c>
      <c r="N542" s="9"/>
      <c r="O542" s="3">
        <f>L542-M542</f>
        <v>2.366878366294177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-2.2385887789414392E-2</v>
      </c>
      <c r="I548" s="7">
        <v>2.2872089329671663E-2</v>
      </c>
      <c r="J548" s="7">
        <v>0</v>
      </c>
      <c r="K548" s="7">
        <v>0</v>
      </c>
      <c r="L548">
        <v>3.3557501239318595</v>
      </c>
      <c r="M548">
        <v>-3.6711215682891076E-4</v>
      </c>
      <c r="N548" s="9"/>
      <c r="O548" s="3">
        <f>L548-M548</f>
        <v>3.3561172360886884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-2.2385887789414392E-2</v>
      </c>
      <c r="I549" s="7">
        <v>0</v>
      </c>
      <c r="J549" s="7">
        <v>1.5970575730977998E-2</v>
      </c>
      <c r="K549" s="7">
        <v>0</v>
      </c>
      <c r="L549">
        <v>0.90446106922389957</v>
      </c>
      <c r="M549">
        <v>4.1052881172903618E-3</v>
      </c>
      <c r="N549" s="9"/>
      <c r="O549" s="3">
        <f>L549-M549</f>
        <v>0.90035578110660919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-2.2385887789414392E-2</v>
      </c>
      <c r="I550" s="7">
        <v>0</v>
      </c>
      <c r="J550" s="7">
        <v>0</v>
      </c>
      <c r="K550" s="7">
        <v>2.0521745021313972E-2</v>
      </c>
      <c r="L550">
        <v>2.3682128123525694</v>
      </c>
      <c r="M550">
        <v>1.3344460583924961E-3</v>
      </c>
      <c r="N550" s="9"/>
      <c r="O550" s="3">
        <f>L550-M550</f>
        <v>2.366878366294177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-2.2385887789414392E-2</v>
      </c>
      <c r="I560" s="7">
        <v>1.6236379226863738E-2</v>
      </c>
      <c r="J560" s="7">
        <v>0</v>
      </c>
      <c r="K560" s="7">
        <v>0</v>
      </c>
      <c r="L560">
        <v>4.0754124436814498</v>
      </c>
      <c r="M560">
        <v>3.9624652814939246E-3</v>
      </c>
      <c r="N560" s="9"/>
      <c r="O560" s="3">
        <f>L560-M560</f>
        <v>4.071449978399956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-2.2385887789414392E-2</v>
      </c>
      <c r="I561" s="7">
        <v>0</v>
      </c>
      <c r="J561" s="7">
        <v>1.5970575730977998E-2</v>
      </c>
      <c r="K561" s="7">
        <v>0</v>
      </c>
      <c r="L561">
        <v>0.90446106922389957</v>
      </c>
      <c r="M561">
        <v>4.1052881172903618E-3</v>
      </c>
      <c r="N561" s="9"/>
      <c r="O561" s="3">
        <f>L561-M561</f>
        <v>0.90035578110660919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-2.2385887789414392E-2</v>
      </c>
      <c r="I562" s="7">
        <v>0</v>
      </c>
      <c r="J562" s="7">
        <v>0</v>
      </c>
      <c r="K562" s="7">
        <v>2.0521745021313972E-2</v>
      </c>
      <c r="L562">
        <v>2.3682128123525694</v>
      </c>
      <c r="M562">
        <v>1.3344460583924961E-3</v>
      </c>
      <c r="N562" s="9"/>
      <c r="O562" s="3">
        <f>L562-M562</f>
        <v>2.366878366294177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-1.6236379226863738E-2</v>
      </c>
      <c r="I592" s="7">
        <v>2.1796664656245589E-2</v>
      </c>
      <c r="J592" s="7">
        <v>0</v>
      </c>
      <c r="K592" s="7">
        <v>0</v>
      </c>
      <c r="L592">
        <v>1.8954667052703302</v>
      </c>
      <c r="M592">
        <v>-3.528137221409509E-3</v>
      </c>
      <c r="N592" s="9"/>
      <c r="O592" s="3">
        <f>L592-M592</f>
        <v>1.8989948424917398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-1.6236379226863738E-2</v>
      </c>
      <c r="I593" s="7">
        <v>0</v>
      </c>
      <c r="J593" s="7">
        <v>2.2872089329671663E-2</v>
      </c>
      <c r="K593" s="7">
        <v>0</v>
      </c>
      <c r="L593">
        <v>0.66775267347450074</v>
      </c>
      <c r="M593">
        <v>-4.3295774383228357E-3</v>
      </c>
      <c r="N593" s="9"/>
      <c r="O593" s="3">
        <f>L593-M593</f>
        <v>0.67208225091282359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-1.6236379226863738E-2</v>
      </c>
      <c r="I594" s="7">
        <v>0</v>
      </c>
      <c r="J594" s="7">
        <v>0</v>
      </c>
      <c r="K594" s="7">
        <v>2.2385887789414392E-2</v>
      </c>
      <c r="L594">
        <v>4.0754124436814498</v>
      </c>
      <c r="M594">
        <v>-3.9624652814939246E-3</v>
      </c>
      <c r="N594" s="9"/>
      <c r="O594" s="3">
        <f>L594-M594</f>
        <v>4.0793749089629436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-1.6236379226863738E-2</v>
      </c>
      <c r="I596" s="7">
        <v>2.1796664656245589E-2</v>
      </c>
      <c r="J596" s="7">
        <v>0</v>
      </c>
      <c r="K596" s="7">
        <v>0</v>
      </c>
      <c r="L596">
        <v>1.8954667052703302</v>
      </c>
      <c r="M596">
        <v>-3.528137221409509E-3</v>
      </c>
      <c r="N596" s="9"/>
      <c r="O596" s="3">
        <f>L596-M596</f>
        <v>1.8989948424917398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-1.6236379226863738E-2</v>
      </c>
      <c r="I597" s="7">
        <v>0</v>
      </c>
      <c r="J597" s="7">
        <v>2.2872089329671663E-2</v>
      </c>
      <c r="K597" s="7">
        <v>0</v>
      </c>
      <c r="L597">
        <v>0.66775267347450074</v>
      </c>
      <c r="M597">
        <v>-4.3295774383228357E-3</v>
      </c>
      <c r="N597" s="9"/>
      <c r="O597" s="3">
        <f>L597-M597</f>
        <v>0.67208225091282359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-1.6236379226863738E-2</v>
      </c>
      <c r="I598" s="7">
        <v>0</v>
      </c>
      <c r="J598" s="7">
        <v>0</v>
      </c>
      <c r="K598" s="7">
        <v>1.5970575730977998E-2</v>
      </c>
      <c r="L598">
        <v>3.6315946901900351</v>
      </c>
      <c r="M598">
        <v>1.4282283579643661E-4</v>
      </c>
      <c r="N598" s="9"/>
      <c r="O598" s="3">
        <f>L598-M598</f>
        <v>3.6314518673542389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-1.6236379226863738E-2</v>
      </c>
      <c r="I604" s="7">
        <v>2.1796664656245589E-2</v>
      </c>
      <c r="J604" s="7">
        <v>0</v>
      </c>
      <c r="K604" s="7">
        <v>0</v>
      </c>
      <c r="L604">
        <v>1.8954667052703302</v>
      </c>
      <c r="M604">
        <v>-3.528137221409509E-3</v>
      </c>
      <c r="N604" s="9"/>
      <c r="O604" s="3">
        <f>L604-M604</f>
        <v>1.8989948424917398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-1.6236379226863738E-2</v>
      </c>
      <c r="I605" s="7">
        <v>0</v>
      </c>
      <c r="J605" s="7">
        <v>2.2872089329671663E-2</v>
      </c>
      <c r="K605" s="7">
        <v>0</v>
      </c>
      <c r="L605">
        <v>0.66775267347450074</v>
      </c>
      <c r="M605">
        <v>-4.3295774383228357E-3</v>
      </c>
      <c r="N605" s="9"/>
      <c r="O605" s="3">
        <f>L605-M605</f>
        <v>0.67208225091282359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-1.6236379226863738E-2</v>
      </c>
      <c r="I606" s="7">
        <v>0</v>
      </c>
      <c r="J606" s="7">
        <v>0</v>
      </c>
      <c r="K606" s="7">
        <v>2.0521745021313972E-2</v>
      </c>
      <c r="L606">
        <v>2.216073124166746</v>
      </c>
      <c r="M606">
        <v>-2.6280192231014289E-3</v>
      </c>
      <c r="N606" s="9"/>
      <c r="O606" s="3">
        <f>L606-M606</f>
        <v>2.2187011433898474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-1.6236379226863738E-2</v>
      </c>
      <c r="I608" s="7">
        <v>2.1796664656245589E-2</v>
      </c>
      <c r="J608" s="7">
        <v>0</v>
      </c>
      <c r="K608" s="7">
        <v>0</v>
      </c>
      <c r="L608">
        <v>1.8954667052703302</v>
      </c>
      <c r="M608">
        <v>-3.528137221409509E-3</v>
      </c>
      <c r="N608" s="9"/>
      <c r="O608" s="3">
        <f>L608-M608</f>
        <v>1.8989948424917398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-1.6236379226863738E-2</v>
      </c>
      <c r="I609" s="7">
        <v>0</v>
      </c>
      <c r="J609" s="7">
        <v>2.2385887789414392E-2</v>
      </c>
      <c r="K609" s="7">
        <v>0</v>
      </c>
      <c r="L609">
        <v>4.0754124436814498</v>
      </c>
      <c r="M609">
        <v>-3.9624652814939246E-3</v>
      </c>
      <c r="N609" s="9"/>
      <c r="O609" s="3">
        <f>L609-M609</f>
        <v>4.0793749089629436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-1.6236379226863738E-2</v>
      </c>
      <c r="I610" s="7">
        <v>0</v>
      </c>
      <c r="J610" s="7">
        <v>0</v>
      </c>
      <c r="K610" s="7">
        <v>1.5970575730977998E-2</v>
      </c>
      <c r="L610">
        <v>3.6315946901900351</v>
      </c>
      <c r="M610">
        <v>1.4282283579643661E-4</v>
      </c>
      <c r="N610" s="9"/>
      <c r="O610" s="3">
        <f>L610-M610</f>
        <v>3.6314518673542389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-1.6236379226863738E-2</v>
      </c>
      <c r="I616" s="7">
        <v>2.1796664656245589E-2</v>
      </c>
      <c r="J616" s="7">
        <v>0</v>
      </c>
      <c r="K616" s="7">
        <v>0</v>
      </c>
      <c r="L616">
        <v>1.8954667052703302</v>
      </c>
      <c r="M616">
        <v>-3.528137221409509E-3</v>
      </c>
      <c r="N616" s="9"/>
      <c r="O616" s="3">
        <f>L616-M616</f>
        <v>1.8989948424917398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-1.6236379226863738E-2</v>
      </c>
      <c r="I617" s="7">
        <v>0</v>
      </c>
      <c r="J617" s="7">
        <v>2.2385887789414392E-2</v>
      </c>
      <c r="K617" s="7">
        <v>0</v>
      </c>
      <c r="L617">
        <v>4.0754124436814498</v>
      </c>
      <c r="M617">
        <v>-3.9624652814939246E-3</v>
      </c>
      <c r="N617" s="9"/>
      <c r="O617" s="3">
        <f>L617-M617</f>
        <v>4.0793749089629436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-1.6236379226863738E-2</v>
      </c>
      <c r="I618" s="7">
        <v>0</v>
      </c>
      <c r="J618" s="7">
        <v>0</v>
      </c>
      <c r="K618" s="7">
        <v>2.0521745021313972E-2</v>
      </c>
      <c r="L618">
        <v>2.216073124166746</v>
      </c>
      <c r="M618">
        <v>-2.6280192231014289E-3</v>
      </c>
      <c r="N618" s="9"/>
      <c r="O618" s="3">
        <f>L618-M618</f>
        <v>2.2187011433898474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-1.6236379226863738E-2</v>
      </c>
      <c r="I624" s="7">
        <v>2.1796664656245589E-2</v>
      </c>
      <c r="J624" s="7">
        <v>0</v>
      </c>
      <c r="K624" s="7">
        <v>0</v>
      </c>
      <c r="L624">
        <v>1.8954667052703302</v>
      </c>
      <c r="M624">
        <v>-3.528137221409509E-3</v>
      </c>
      <c r="N624" s="9"/>
      <c r="O624" s="3">
        <f>L624-M624</f>
        <v>1.8989948424917398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-1.6236379226863738E-2</v>
      </c>
      <c r="I625" s="7">
        <v>0</v>
      </c>
      <c r="J625" s="7">
        <v>1.5970575730977998E-2</v>
      </c>
      <c r="K625" s="7">
        <v>0</v>
      </c>
      <c r="L625">
        <v>3.6315946901900351</v>
      </c>
      <c r="M625">
        <v>1.4282283579643661E-4</v>
      </c>
      <c r="N625" s="9"/>
      <c r="O625" s="3">
        <f>L625-M625</f>
        <v>3.6314518673542389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-1.6236379226863738E-2</v>
      </c>
      <c r="I626" s="7">
        <v>0</v>
      </c>
      <c r="J626" s="7">
        <v>0</v>
      </c>
      <c r="K626" s="7">
        <v>2.0521745021313972E-2</v>
      </c>
      <c r="L626">
        <v>2.216073124166746</v>
      </c>
      <c r="M626">
        <v>-2.6280192231014289E-3</v>
      </c>
      <c r="N626" s="9"/>
      <c r="O626" s="3">
        <f>L626-M626</f>
        <v>2.2187011433898474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-1.6236379226863738E-2</v>
      </c>
      <c r="I672" s="7">
        <v>2.2872089329671663E-2</v>
      </c>
      <c r="J672" s="7">
        <v>0</v>
      </c>
      <c r="K672" s="7">
        <v>0</v>
      </c>
      <c r="L672">
        <v>0.66775267347450074</v>
      </c>
      <c r="M672">
        <v>-4.3295774383228357E-3</v>
      </c>
      <c r="N672" s="9"/>
      <c r="O672" s="3">
        <f>L672-M672</f>
        <v>0.67208225091282359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-1.6236379226863738E-2</v>
      </c>
      <c r="I673" s="7">
        <v>0</v>
      </c>
      <c r="J673" s="7">
        <v>2.2385887789414392E-2</v>
      </c>
      <c r="K673" s="7">
        <v>0</v>
      </c>
      <c r="L673">
        <v>4.0754124436814498</v>
      </c>
      <c r="M673">
        <v>-3.9624652814939246E-3</v>
      </c>
      <c r="N673" s="9"/>
      <c r="O673" s="3">
        <f>L673-M673</f>
        <v>4.0793749089629436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-1.6236379226863738E-2</v>
      </c>
      <c r="I674" s="7">
        <v>0</v>
      </c>
      <c r="J674" s="7">
        <v>0</v>
      </c>
      <c r="K674" s="7">
        <v>1.5970575730977998E-2</v>
      </c>
      <c r="L674">
        <v>3.6315946901900351</v>
      </c>
      <c r="M674">
        <v>1.4282283579643661E-4</v>
      </c>
      <c r="N674" s="9"/>
      <c r="O674" s="3">
        <f>L674-M674</f>
        <v>3.6314518673542389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-1.6236379226863738E-2</v>
      </c>
      <c r="I680" s="7">
        <v>2.2872089329671663E-2</v>
      </c>
      <c r="J680" s="7">
        <v>0</v>
      </c>
      <c r="K680" s="7">
        <v>0</v>
      </c>
      <c r="L680">
        <v>0.66775267347450074</v>
      </c>
      <c r="M680">
        <v>-4.3295774383228357E-3</v>
      </c>
      <c r="N680" s="9"/>
      <c r="O680" s="3">
        <f>L680-M680</f>
        <v>0.67208225091282359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-1.6236379226863738E-2</v>
      </c>
      <c r="I681" s="7">
        <v>0</v>
      </c>
      <c r="J681" s="7">
        <v>2.2385887789414392E-2</v>
      </c>
      <c r="K681" s="7">
        <v>0</v>
      </c>
      <c r="L681">
        <v>4.0754124436814498</v>
      </c>
      <c r="M681">
        <v>-3.9624652814939246E-3</v>
      </c>
      <c r="N681" s="9"/>
      <c r="O681" s="3">
        <f>L681-M681</f>
        <v>4.0793749089629436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-1.6236379226863738E-2</v>
      </c>
      <c r="I682" s="7">
        <v>0</v>
      </c>
      <c r="J682" s="7">
        <v>0</v>
      </c>
      <c r="K682" s="7">
        <v>2.0521745021313972E-2</v>
      </c>
      <c r="L682">
        <v>2.216073124166746</v>
      </c>
      <c r="M682">
        <v>-2.6280192231014289E-3</v>
      </c>
      <c r="N682" s="9"/>
      <c r="O682" s="3">
        <f>L682-M682</f>
        <v>2.2187011433898474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-1.6236379226863738E-2</v>
      </c>
      <c r="I688" s="7">
        <v>2.2872089329671663E-2</v>
      </c>
      <c r="J688" s="7">
        <v>0</v>
      </c>
      <c r="K688" s="7">
        <v>0</v>
      </c>
      <c r="L688">
        <v>0.66775267347450074</v>
      </c>
      <c r="M688">
        <v>-4.3295774383228357E-3</v>
      </c>
      <c r="N688" s="9"/>
      <c r="O688" s="3">
        <f>L688-M688</f>
        <v>0.67208225091282359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-1.6236379226863738E-2</v>
      </c>
      <c r="I689" s="7">
        <v>0</v>
      </c>
      <c r="J689" s="7">
        <v>1.5970575730977998E-2</v>
      </c>
      <c r="K689" s="7">
        <v>0</v>
      </c>
      <c r="L689">
        <v>3.6315946901900351</v>
      </c>
      <c r="M689">
        <v>1.4282283579643661E-4</v>
      </c>
      <c r="N689" s="9"/>
      <c r="O689" s="3">
        <f>L689-M689</f>
        <v>3.6314518673542389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-1.6236379226863738E-2</v>
      </c>
      <c r="I690" s="7">
        <v>0</v>
      </c>
      <c r="J690" s="7">
        <v>0</v>
      </c>
      <c r="K690" s="7">
        <v>2.0521745021313972E-2</v>
      </c>
      <c r="L690">
        <v>2.216073124166746</v>
      </c>
      <c r="M690">
        <v>-2.6280192231014289E-3</v>
      </c>
      <c r="N690" s="9"/>
      <c r="O690" s="3">
        <f>L690-M690</f>
        <v>2.2187011433898474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-1.6236379226863738E-2</v>
      </c>
      <c r="I700" s="7">
        <v>2.2385887789414392E-2</v>
      </c>
      <c r="J700" s="7">
        <v>0</v>
      </c>
      <c r="K700" s="7">
        <v>0</v>
      </c>
      <c r="L700">
        <v>4.0754124436814498</v>
      </c>
      <c r="M700">
        <v>-3.9624652814939246E-3</v>
      </c>
      <c r="N700" s="9"/>
      <c r="O700" s="3">
        <f>L700-M700</f>
        <v>4.0793749089629436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-1.6236379226863738E-2</v>
      </c>
      <c r="I701" s="7">
        <v>0</v>
      </c>
      <c r="J701" s="7">
        <v>1.5970575730977998E-2</v>
      </c>
      <c r="K701" s="7">
        <v>0</v>
      </c>
      <c r="L701">
        <v>3.6315946901900351</v>
      </c>
      <c r="M701">
        <v>1.4282283579643661E-4</v>
      </c>
      <c r="N701" s="9"/>
      <c r="O701" s="3">
        <f>L701-M701</f>
        <v>3.6314518673542389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-1.6236379226863738E-2</v>
      </c>
      <c r="I702" s="7">
        <v>0</v>
      </c>
      <c r="J702" s="7">
        <v>0</v>
      </c>
      <c r="K702" s="7">
        <v>2.0521745021313972E-2</v>
      </c>
      <c r="L702">
        <v>2.216073124166746</v>
      </c>
      <c r="M702">
        <v>-2.6280192231014289E-3</v>
      </c>
      <c r="N702" s="9"/>
      <c r="O702" s="3">
        <f>L702-M702</f>
        <v>2.2187011433898474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-1.5970575730977998E-2</v>
      </c>
      <c r="I732" s="7">
        <v>2.1796664656245589E-2</v>
      </c>
      <c r="J732" s="7">
        <v>0</v>
      </c>
      <c r="K732" s="7">
        <v>0</v>
      </c>
      <c r="L732">
        <v>3.0923821493075776</v>
      </c>
      <c r="M732">
        <v>-3.6709600572059457E-3</v>
      </c>
      <c r="N732" s="9"/>
      <c r="O732" s="3">
        <f>L732-M732</f>
        <v>3.0960531093647834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-1.5970575730977998E-2</v>
      </c>
      <c r="I733" s="7">
        <v>0</v>
      </c>
      <c r="J733" s="7">
        <v>2.2872089329671663E-2</v>
      </c>
      <c r="K733" s="7">
        <v>0</v>
      </c>
      <c r="L733">
        <v>4.4582929032762966</v>
      </c>
      <c r="M733">
        <v>-4.4724002741192721E-3</v>
      </c>
      <c r="N733" s="9"/>
      <c r="O733" s="3">
        <f>L733-M733</f>
        <v>4.462765303550416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-1.5970575730977998E-2</v>
      </c>
      <c r="I734" s="7">
        <v>0</v>
      </c>
      <c r="J734" s="7">
        <v>0</v>
      </c>
      <c r="K734" s="7">
        <v>2.2385887789414392E-2</v>
      </c>
      <c r="L734">
        <v>0.90446106922389957</v>
      </c>
      <c r="M734">
        <v>-4.1052881172903618E-3</v>
      </c>
      <c r="N734" s="9"/>
      <c r="O734" s="3">
        <f>L734-M734</f>
        <v>0.90856635734118996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-1.5970575730977998E-2</v>
      </c>
      <c r="I736" s="7">
        <v>2.1796664656245589E-2</v>
      </c>
      <c r="J736" s="7">
        <v>0</v>
      </c>
      <c r="K736" s="7">
        <v>0</v>
      </c>
      <c r="L736">
        <v>3.0923821493075776</v>
      </c>
      <c r="M736">
        <v>-3.6709600572059457E-3</v>
      </c>
      <c r="N736" s="9"/>
      <c r="O736" s="3">
        <f>L736-M736</f>
        <v>3.0960531093647834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-1.5970575730977998E-2</v>
      </c>
      <c r="I737" s="7">
        <v>0</v>
      </c>
      <c r="J737" s="7">
        <v>2.2872089329671663E-2</v>
      </c>
      <c r="K737" s="7">
        <v>0</v>
      </c>
      <c r="L737">
        <v>4.4582929032762966</v>
      </c>
      <c r="M737">
        <v>-4.4724002741192721E-3</v>
      </c>
      <c r="N737" s="9"/>
      <c r="O737" s="3">
        <f>L737-M737</f>
        <v>4.462765303550416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-1.5970575730977998E-2</v>
      </c>
      <c r="I738" s="7">
        <v>0</v>
      </c>
      <c r="J738" s="7">
        <v>0</v>
      </c>
      <c r="K738" s="7">
        <v>1.6236379226863738E-2</v>
      </c>
      <c r="L738">
        <v>3.6315946901900351</v>
      </c>
      <c r="M738">
        <v>-1.4282283579643661E-4</v>
      </c>
      <c r="N738" s="9"/>
      <c r="O738" s="3">
        <f>L738-M738</f>
        <v>3.6317375130258314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-1.5970575730977998E-2</v>
      </c>
      <c r="I744" s="7">
        <v>2.1796664656245589E-2</v>
      </c>
      <c r="J744" s="7">
        <v>0</v>
      </c>
      <c r="K744" s="7">
        <v>0</v>
      </c>
      <c r="L744">
        <v>3.0923821493075776</v>
      </c>
      <c r="M744">
        <v>-3.6709600572059457E-3</v>
      </c>
      <c r="N744" s="9"/>
      <c r="O744" s="3">
        <f>L744-M744</f>
        <v>3.0960531093647834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-1.5970575730977998E-2</v>
      </c>
      <c r="I745" s="7">
        <v>0</v>
      </c>
      <c r="J745" s="7">
        <v>2.2872089329671663E-2</v>
      </c>
      <c r="K745" s="7">
        <v>0</v>
      </c>
      <c r="L745">
        <v>4.4582929032762966</v>
      </c>
      <c r="M745">
        <v>-4.4724002741192721E-3</v>
      </c>
      <c r="N745" s="9"/>
      <c r="O745" s="3">
        <f>L745-M745</f>
        <v>4.462765303550416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-1.5970575730977998E-2</v>
      </c>
      <c r="I746" s="7">
        <v>0</v>
      </c>
      <c r="J746" s="7">
        <v>0</v>
      </c>
      <c r="K746" s="7">
        <v>2.0521745021313972E-2</v>
      </c>
      <c r="L746">
        <v>0.83729667312269707</v>
      </c>
      <c r="M746">
        <v>-2.7708420588978652E-3</v>
      </c>
      <c r="N746" s="9"/>
      <c r="O746" s="3">
        <f>L746-M746</f>
        <v>0.84006751518159495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-1.5970575730977998E-2</v>
      </c>
      <c r="I748" s="7">
        <v>2.1796664656245589E-2</v>
      </c>
      <c r="J748" s="7">
        <v>0</v>
      </c>
      <c r="K748" s="7">
        <v>0</v>
      </c>
      <c r="L748">
        <v>3.0923821493075776</v>
      </c>
      <c r="M748">
        <v>-3.6709600572059457E-3</v>
      </c>
      <c r="N748" s="9"/>
      <c r="O748" s="3">
        <f>L748-M748</f>
        <v>3.0960531093647834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-1.5970575730977998E-2</v>
      </c>
      <c r="I749" s="7">
        <v>0</v>
      </c>
      <c r="J749" s="7">
        <v>2.2385887789414392E-2</v>
      </c>
      <c r="K749" s="7">
        <v>0</v>
      </c>
      <c r="L749">
        <v>0.90446106922389957</v>
      </c>
      <c r="M749">
        <v>-4.1052881172903618E-3</v>
      </c>
      <c r="N749" s="9"/>
      <c r="O749" s="3">
        <f>L749-M749</f>
        <v>0.90856635734118996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-1.5970575730977998E-2</v>
      </c>
      <c r="I750" s="7">
        <v>0</v>
      </c>
      <c r="J750" s="7">
        <v>0</v>
      </c>
      <c r="K750" s="7">
        <v>1.6236379226863738E-2</v>
      </c>
      <c r="L750">
        <v>3.6315946901900351</v>
      </c>
      <c r="M750">
        <v>-1.4282283579643661E-4</v>
      </c>
      <c r="N750" s="9"/>
      <c r="O750" s="3">
        <f>L750-M750</f>
        <v>3.6317375130258314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-1.5970575730977998E-2</v>
      </c>
      <c r="I756" s="7">
        <v>2.1796664656245589E-2</v>
      </c>
      <c r="J756" s="7">
        <v>0</v>
      </c>
      <c r="K756" s="7">
        <v>0</v>
      </c>
      <c r="L756">
        <v>3.0923821493075776</v>
      </c>
      <c r="M756">
        <v>-3.6709600572059457E-3</v>
      </c>
      <c r="N756" s="9"/>
      <c r="O756" s="3">
        <f>L756-M756</f>
        <v>3.0960531093647834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-1.5970575730977998E-2</v>
      </c>
      <c r="I757" s="7">
        <v>0</v>
      </c>
      <c r="J757" s="7">
        <v>2.2385887789414392E-2</v>
      </c>
      <c r="K757" s="7">
        <v>0</v>
      </c>
      <c r="L757">
        <v>0.90446106922389957</v>
      </c>
      <c r="M757">
        <v>-4.1052881172903618E-3</v>
      </c>
      <c r="N757" s="9"/>
      <c r="O757" s="3">
        <f>L757-M757</f>
        <v>0.90856635734118996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-1.5970575730977998E-2</v>
      </c>
      <c r="I758" s="7">
        <v>0</v>
      </c>
      <c r="J758" s="7">
        <v>0</v>
      </c>
      <c r="K758" s="7">
        <v>2.0521745021313972E-2</v>
      </c>
      <c r="L758">
        <v>0.83729667312269707</v>
      </c>
      <c r="M758">
        <v>-2.7708420588978652E-3</v>
      </c>
      <c r="N758" s="9"/>
      <c r="O758" s="3">
        <f>L758-M758</f>
        <v>0.84006751518159495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-1.5970575730977998E-2</v>
      </c>
      <c r="I764" s="7">
        <v>2.1796664656245589E-2</v>
      </c>
      <c r="J764" s="7">
        <v>0</v>
      </c>
      <c r="K764" s="7">
        <v>0</v>
      </c>
      <c r="L764">
        <v>3.0923821493075776</v>
      </c>
      <c r="M764">
        <v>-3.6709600572059457E-3</v>
      </c>
      <c r="N764" s="9"/>
      <c r="O764" s="3">
        <f>L764-M764</f>
        <v>3.0960531093647834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-1.5970575730977998E-2</v>
      </c>
      <c r="I765" s="7">
        <v>0</v>
      </c>
      <c r="J765" s="7">
        <v>1.6236379226863738E-2</v>
      </c>
      <c r="K765" s="7">
        <v>0</v>
      </c>
      <c r="L765">
        <v>3.6315946901900351</v>
      </c>
      <c r="M765">
        <v>-1.4282283579643661E-4</v>
      </c>
      <c r="N765" s="9"/>
      <c r="O765" s="3">
        <f>L765-M765</f>
        <v>3.6317375130258314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-1.5970575730977998E-2</v>
      </c>
      <c r="I766" s="7">
        <v>0</v>
      </c>
      <c r="J766" s="7">
        <v>0</v>
      </c>
      <c r="K766" s="7">
        <v>2.0521745021313972E-2</v>
      </c>
      <c r="L766">
        <v>0.83729667312269707</v>
      </c>
      <c r="M766">
        <v>-2.7708420588978652E-3</v>
      </c>
      <c r="N766" s="9"/>
      <c r="O766" s="3">
        <f>L766-M766</f>
        <v>0.84006751518159495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-1.5970575730977998E-2</v>
      </c>
      <c r="I812" s="7">
        <v>2.2872089329671663E-2</v>
      </c>
      <c r="J812" s="7">
        <v>0</v>
      </c>
      <c r="K812" s="7">
        <v>0</v>
      </c>
      <c r="L812">
        <v>4.4582929032762966</v>
      </c>
      <c r="M812">
        <v>-4.4724002741192721E-3</v>
      </c>
      <c r="N812" s="9"/>
      <c r="O812" s="3">
        <f>L812-M812</f>
        <v>4.462765303550416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-1.5970575730977998E-2</v>
      </c>
      <c r="I813" s="7">
        <v>0</v>
      </c>
      <c r="J813" s="7">
        <v>2.2385887789414392E-2</v>
      </c>
      <c r="K813" s="7">
        <v>0</v>
      </c>
      <c r="L813">
        <v>0.90446106922389957</v>
      </c>
      <c r="M813">
        <v>-4.1052881172903618E-3</v>
      </c>
      <c r="N813" s="9"/>
      <c r="O813" s="3">
        <f>L813-M813</f>
        <v>0.90856635734118996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-1.5970575730977998E-2</v>
      </c>
      <c r="I814" s="7">
        <v>0</v>
      </c>
      <c r="J814" s="7">
        <v>0</v>
      </c>
      <c r="K814" s="7">
        <v>1.6236379226863738E-2</v>
      </c>
      <c r="L814">
        <v>3.6315946901900351</v>
      </c>
      <c r="M814">
        <v>-1.4282283579643661E-4</v>
      </c>
      <c r="N814" s="9"/>
      <c r="O814" s="3">
        <f>L814-M814</f>
        <v>3.6317375130258314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-1.5970575730977998E-2</v>
      </c>
      <c r="I820" s="7">
        <v>2.2872089329671663E-2</v>
      </c>
      <c r="J820" s="7">
        <v>0</v>
      </c>
      <c r="K820" s="7">
        <v>0</v>
      </c>
      <c r="L820">
        <v>4.4582929032762966</v>
      </c>
      <c r="M820">
        <v>-4.4724002741192721E-3</v>
      </c>
      <c r="N820" s="9"/>
      <c r="O820" s="3">
        <f>L820-M820</f>
        <v>4.462765303550416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-1.5970575730977998E-2</v>
      </c>
      <c r="I821" s="7">
        <v>0</v>
      </c>
      <c r="J821" s="7">
        <v>2.2385887789414392E-2</v>
      </c>
      <c r="K821" s="7">
        <v>0</v>
      </c>
      <c r="L821">
        <v>0.90446106922389957</v>
      </c>
      <c r="M821">
        <v>-4.1052881172903618E-3</v>
      </c>
      <c r="N821" s="9"/>
      <c r="O821" s="3">
        <f>L821-M821</f>
        <v>0.90856635734118996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-1.5970575730977998E-2</v>
      </c>
      <c r="I822" s="7">
        <v>0</v>
      </c>
      <c r="J822" s="7">
        <v>0</v>
      </c>
      <c r="K822" s="7">
        <v>2.0521745021313972E-2</v>
      </c>
      <c r="L822">
        <v>0.83729667312269707</v>
      </c>
      <c r="M822">
        <v>-2.7708420588978652E-3</v>
      </c>
      <c r="N822" s="9"/>
      <c r="O822" s="3">
        <f>L822-M822</f>
        <v>0.84006751518159495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-1.5970575730977998E-2</v>
      </c>
      <c r="I828" s="7">
        <v>2.2872089329671663E-2</v>
      </c>
      <c r="J828" s="7">
        <v>0</v>
      </c>
      <c r="K828" s="7">
        <v>0</v>
      </c>
      <c r="L828">
        <v>4.4582929032762966</v>
      </c>
      <c r="M828">
        <v>-4.4724002741192721E-3</v>
      </c>
      <c r="N828" s="9"/>
      <c r="O828" s="3">
        <f>L828-M828</f>
        <v>4.462765303550416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-1.5970575730977998E-2</v>
      </c>
      <c r="I829" s="7">
        <v>0</v>
      </c>
      <c r="J829" s="7">
        <v>1.6236379226863738E-2</v>
      </c>
      <c r="K829" s="7">
        <v>0</v>
      </c>
      <c r="L829">
        <v>3.6315946901900351</v>
      </c>
      <c r="M829">
        <v>-1.4282283579643661E-4</v>
      </c>
      <c r="N829" s="9"/>
      <c r="O829" s="3">
        <f>L829-M829</f>
        <v>3.6317375130258314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-1.5970575730977998E-2</v>
      </c>
      <c r="I830" s="7">
        <v>0</v>
      </c>
      <c r="J830" s="7">
        <v>0</v>
      </c>
      <c r="K830" s="7">
        <v>2.0521745021313972E-2</v>
      </c>
      <c r="L830">
        <v>0.83729667312269707</v>
      </c>
      <c r="M830">
        <v>-2.7708420588978652E-3</v>
      </c>
      <c r="N830" s="9"/>
      <c r="O830" s="3">
        <f>L830-M830</f>
        <v>0.84006751518159495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-1.5970575730977998E-2</v>
      </c>
      <c r="I840" s="7">
        <v>2.2385887789414392E-2</v>
      </c>
      <c r="J840" s="7">
        <v>0</v>
      </c>
      <c r="K840" s="7">
        <v>0</v>
      </c>
      <c r="L840">
        <v>0.90446106922389957</v>
      </c>
      <c r="M840">
        <v>-4.1052881172903618E-3</v>
      </c>
      <c r="N840" s="9"/>
      <c r="O840" s="3">
        <f>L840-M840</f>
        <v>0.90856635734118996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-1.5970575730977998E-2</v>
      </c>
      <c r="I841" s="7">
        <v>0</v>
      </c>
      <c r="J841" s="7">
        <v>1.6236379226863738E-2</v>
      </c>
      <c r="K841" s="7">
        <v>0</v>
      </c>
      <c r="L841">
        <v>3.6315946901900351</v>
      </c>
      <c r="M841">
        <v>-1.4282283579643661E-4</v>
      </c>
      <c r="N841" s="9"/>
      <c r="O841" s="3">
        <f>L841-M841</f>
        <v>3.6317375130258314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-1.5970575730977998E-2</v>
      </c>
      <c r="I842" s="7">
        <v>0</v>
      </c>
      <c r="J842" s="7">
        <v>0</v>
      </c>
      <c r="K842" s="7">
        <v>2.0521745021313972E-2</v>
      </c>
      <c r="L842">
        <v>0.83729667312269707</v>
      </c>
      <c r="M842">
        <v>-2.7708420588978652E-3</v>
      </c>
      <c r="N842" s="9"/>
      <c r="O842" s="3">
        <f>L842-M842</f>
        <v>0.84006751518159495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-2.0521745021313972E-2</v>
      </c>
      <c r="I1012" s="7">
        <v>2.1796664656245589E-2</v>
      </c>
      <c r="J1012" s="7">
        <v>0</v>
      </c>
      <c r="K1012" s="7">
        <v>0</v>
      </c>
      <c r="L1012">
        <v>2.803142180904064</v>
      </c>
      <c r="M1012">
        <v>-9.0011799830808027E-4</v>
      </c>
      <c r="N1012" s="9"/>
      <c r="O1012" s="3">
        <f>L1012-M1012</f>
        <v>2.8040422989023721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-2.0521745021313972E-2</v>
      </c>
      <c r="I1013" s="7">
        <v>0</v>
      </c>
      <c r="J1013" s="7">
        <v>2.2872089329671663E-2</v>
      </c>
      <c r="K1013" s="7">
        <v>0</v>
      </c>
      <c r="L1013">
        <v>3.7190693025902282</v>
      </c>
      <c r="M1013">
        <v>-1.7015582152214068E-3</v>
      </c>
      <c r="N1013" s="9"/>
      <c r="O1013" s="3">
        <f>L1013-M1013</f>
        <v>3.7207708608054495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-2.0521745021313972E-2</v>
      </c>
      <c r="I1014" s="7">
        <v>0</v>
      </c>
      <c r="J1014" s="7">
        <v>0</v>
      </c>
      <c r="K1014" s="7">
        <v>2.2385887789414392E-2</v>
      </c>
      <c r="L1014">
        <v>2.3682128123525694</v>
      </c>
      <c r="M1014">
        <v>-1.3344460583924961E-3</v>
      </c>
      <c r="N1014" s="9"/>
      <c r="O1014" s="3">
        <f>L1014-M1014</f>
        <v>2.3695472584109618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-2.0521745021313972E-2</v>
      </c>
      <c r="I1016" s="7">
        <v>2.1796664656245589E-2</v>
      </c>
      <c r="J1016" s="7">
        <v>0</v>
      </c>
      <c r="K1016" s="7">
        <v>0</v>
      </c>
      <c r="L1016">
        <v>2.803142180904064</v>
      </c>
      <c r="M1016">
        <v>-9.0011799830808027E-4</v>
      </c>
      <c r="N1016" s="9"/>
      <c r="O1016" s="3">
        <f>L1016-M1016</f>
        <v>2.8040422989023721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-2.0521745021313972E-2</v>
      </c>
      <c r="I1017" s="7">
        <v>0</v>
      </c>
      <c r="J1017" s="7">
        <v>2.2872089329671663E-2</v>
      </c>
      <c r="K1017" s="7">
        <v>0</v>
      </c>
      <c r="L1017">
        <v>3.7190693025902282</v>
      </c>
      <c r="M1017">
        <v>-1.7015582152214068E-3</v>
      </c>
      <c r="N1017" s="9"/>
      <c r="O1017" s="3">
        <f>L1017-M1017</f>
        <v>3.7207708608054495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-2.0521745021313972E-2</v>
      </c>
      <c r="I1018" s="7">
        <v>0</v>
      </c>
      <c r="J1018" s="7">
        <v>0</v>
      </c>
      <c r="K1018" s="7">
        <v>1.6236379226863738E-2</v>
      </c>
      <c r="L1018">
        <v>2.216073124166746</v>
      </c>
      <c r="M1018">
        <v>2.6280192231014289E-3</v>
      </c>
      <c r="N1018" s="9"/>
      <c r="O1018" s="3">
        <f>L1018-M1018</f>
        <v>2.2134451049436445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-2.0521745021313972E-2</v>
      </c>
      <c r="I1020" s="7">
        <v>2.1796664656245589E-2</v>
      </c>
      <c r="J1020" s="7">
        <v>0</v>
      </c>
      <c r="K1020" s="7">
        <v>0</v>
      </c>
      <c r="L1020">
        <v>2.803142180904064</v>
      </c>
      <c r="M1020">
        <v>-9.0011799830808027E-4</v>
      </c>
      <c r="N1020" s="9"/>
      <c r="O1020" s="3">
        <f>L1020-M1020</f>
        <v>2.8040422989023721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-2.0521745021313972E-2</v>
      </c>
      <c r="I1021" s="7">
        <v>0</v>
      </c>
      <c r="J1021" s="7">
        <v>2.2872089329671663E-2</v>
      </c>
      <c r="K1021" s="7">
        <v>0</v>
      </c>
      <c r="L1021">
        <v>3.7190693025902282</v>
      </c>
      <c r="M1021">
        <v>-1.7015582152214068E-3</v>
      </c>
      <c r="N1021" s="9"/>
      <c r="O1021" s="3">
        <f>L1021-M1021</f>
        <v>3.7207708608054495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-2.0521745021313972E-2</v>
      </c>
      <c r="I1022" s="7">
        <v>0</v>
      </c>
      <c r="J1022" s="7">
        <v>0</v>
      </c>
      <c r="K1022" s="7">
        <v>1.5970575730977998E-2</v>
      </c>
      <c r="L1022">
        <v>0.83729667312269707</v>
      </c>
      <c r="M1022">
        <v>2.7708420588978652E-3</v>
      </c>
      <c r="N1022" s="9"/>
      <c r="O1022" s="3">
        <f>L1022-M1022</f>
        <v>0.83452583106379918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-2.0521745021313972E-2</v>
      </c>
      <c r="I1028" s="7">
        <v>2.1796664656245589E-2</v>
      </c>
      <c r="J1028" s="7">
        <v>0</v>
      </c>
      <c r="K1028" s="7">
        <v>0</v>
      </c>
      <c r="L1028">
        <v>2.803142180904064</v>
      </c>
      <c r="M1028">
        <v>-9.0011799830808027E-4</v>
      </c>
      <c r="N1028" s="9"/>
      <c r="O1028" s="3">
        <f>L1028-M1028</f>
        <v>2.8040422989023721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-2.0521745021313972E-2</v>
      </c>
      <c r="I1029" s="7">
        <v>0</v>
      </c>
      <c r="J1029" s="7">
        <v>2.2385887789414392E-2</v>
      </c>
      <c r="K1029" s="7">
        <v>0</v>
      </c>
      <c r="L1029">
        <v>2.3682128123525694</v>
      </c>
      <c r="M1029">
        <v>-1.3344460583924961E-3</v>
      </c>
      <c r="N1029" s="9"/>
      <c r="O1029" s="3">
        <f>L1029-M1029</f>
        <v>2.3695472584109618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-2.0521745021313972E-2</v>
      </c>
      <c r="I1030" s="7">
        <v>0</v>
      </c>
      <c r="J1030" s="7">
        <v>0</v>
      </c>
      <c r="K1030" s="7">
        <v>1.6236379226863738E-2</v>
      </c>
      <c r="L1030">
        <v>2.216073124166746</v>
      </c>
      <c r="M1030">
        <v>2.6280192231014289E-3</v>
      </c>
      <c r="N1030" s="9"/>
      <c r="O1030" s="3">
        <f>L1030-M1030</f>
        <v>2.2134451049436445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-2.0521745021313972E-2</v>
      </c>
      <c r="I1032" s="7">
        <v>2.1796664656245589E-2</v>
      </c>
      <c r="J1032" s="7">
        <v>0</v>
      </c>
      <c r="K1032" s="7">
        <v>0</v>
      </c>
      <c r="L1032">
        <v>2.803142180904064</v>
      </c>
      <c r="M1032">
        <v>-9.0011799830808027E-4</v>
      </c>
      <c r="N1032" s="9"/>
      <c r="O1032" s="3">
        <f>L1032-M1032</f>
        <v>2.8040422989023721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-2.0521745021313972E-2</v>
      </c>
      <c r="I1033" s="7">
        <v>0</v>
      </c>
      <c r="J1033" s="7">
        <v>2.2385887789414392E-2</v>
      </c>
      <c r="K1033" s="7">
        <v>0</v>
      </c>
      <c r="L1033">
        <v>2.3682128123525694</v>
      </c>
      <c r="M1033">
        <v>-1.3344460583924961E-3</v>
      </c>
      <c r="N1033" s="9"/>
      <c r="O1033" s="3">
        <f>L1033-M1033</f>
        <v>2.3695472584109618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-2.0521745021313972E-2</v>
      </c>
      <c r="I1034" s="7">
        <v>0</v>
      </c>
      <c r="J1034" s="7">
        <v>0</v>
      </c>
      <c r="K1034" s="7">
        <v>1.5970575730977998E-2</v>
      </c>
      <c r="L1034">
        <v>0.83729667312269707</v>
      </c>
      <c r="M1034">
        <v>2.7708420588978652E-3</v>
      </c>
      <c r="N1034" s="9"/>
      <c r="O1034" s="3">
        <f>L1034-M1034</f>
        <v>0.83452583106379918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-2.0521745021313972E-2</v>
      </c>
      <c r="I1040" s="7">
        <v>2.1796664656245589E-2</v>
      </c>
      <c r="J1040" s="7">
        <v>0</v>
      </c>
      <c r="K1040" s="7">
        <v>0</v>
      </c>
      <c r="L1040">
        <v>2.803142180904064</v>
      </c>
      <c r="M1040">
        <v>-9.0011799830808027E-4</v>
      </c>
      <c r="N1040" s="9"/>
      <c r="O1040" s="3">
        <f>L1040-M1040</f>
        <v>2.8040422989023721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-2.0521745021313972E-2</v>
      </c>
      <c r="I1041" s="7">
        <v>0</v>
      </c>
      <c r="J1041" s="7">
        <v>1.6236379226863738E-2</v>
      </c>
      <c r="K1041" s="7">
        <v>0</v>
      </c>
      <c r="L1041">
        <v>2.216073124166746</v>
      </c>
      <c r="M1041">
        <v>2.6280192231014289E-3</v>
      </c>
      <c r="N1041" s="9"/>
      <c r="O1041" s="3">
        <f>L1041-M1041</f>
        <v>2.2134451049436445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-2.0521745021313972E-2</v>
      </c>
      <c r="I1042" s="7">
        <v>0</v>
      </c>
      <c r="J1042" s="7">
        <v>0</v>
      </c>
      <c r="K1042" s="7">
        <v>1.5970575730977998E-2</v>
      </c>
      <c r="L1042">
        <v>0.83729667312269707</v>
      </c>
      <c r="M1042">
        <v>2.7708420588978652E-3</v>
      </c>
      <c r="N1042" s="9"/>
      <c r="O1042" s="3">
        <f>L1042-M1042</f>
        <v>0.83452583106379918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-2.0521745021313972E-2</v>
      </c>
      <c r="I1092" s="7">
        <v>2.2872089329671663E-2</v>
      </c>
      <c r="J1092" s="7">
        <v>0</v>
      </c>
      <c r="K1092" s="7">
        <v>0</v>
      </c>
      <c r="L1092">
        <v>3.7190693025902282</v>
      </c>
      <c r="M1092">
        <v>-1.7015582152214068E-3</v>
      </c>
      <c r="N1092" s="9"/>
      <c r="O1092" s="3">
        <f>L1092-M1092</f>
        <v>3.7207708608054495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-2.0521745021313972E-2</v>
      </c>
      <c r="I1093" s="7">
        <v>0</v>
      </c>
      <c r="J1093" s="7">
        <v>2.2385887789414392E-2</v>
      </c>
      <c r="K1093" s="7">
        <v>0</v>
      </c>
      <c r="L1093">
        <v>2.3682128123525694</v>
      </c>
      <c r="M1093">
        <v>-1.3344460583924961E-3</v>
      </c>
      <c r="N1093" s="9"/>
      <c r="O1093" s="3">
        <f>L1093-M1093</f>
        <v>2.3695472584109618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-2.0521745021313972E-2</v>
      </c>
      <c r="I1094" s="7">
        <v>0</v>
      </c>
      <c r="J1094" s="7">
        <v>0</v>
      </c>
      <c r="K1094" s="7">
        <v>1.6236379226863738E-2</v>
      </c>
      <c r="L1094">
        <v>2.216073124166746</v>
      </c>
      <c r="M1094">
        <v>2.6280192231014289E-3</v>
      </c>
      <c r="N1094" s="9"/>
      <c r="O1094" s="3">
        <f>L1094-M1094</f>
        <v>2.2134451049436445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-2.0521745021313972E-2</v>
      </c>
      <c r="I1096" s="7">
        <v>2.2872089329671663E-2</v>
      </c>
      <c r="J1096" s="7">
        <v>0</v>
      </c>
      <c r="K1096" s="7">
        <v>0</v>
      </c>
      <c r="L1096">
        <v>3.7190693025902282</v>
      </c>
      <c r="M1096">
        <v>-1.7015582152214068E-3</v>
      </c>
      <c r="N1096" s="9"/>
      <c r="O1096" s="3">
        <f>L1096-M1096</f>
        <v>3.7207708608054495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-2.0521745021313972E-2</v>
      </c>
      <c r="I1097" s="7">
        <v>0</v>
      </c>
      <c r="J1097" s="7">
        <v>2.2385887789414392E-2</v>
      </c>
      <c r="K1097" s="7">
        <v>0</v>
      </c>
      <c r="L1097">
        <v>2.3682128123525694</v>
      </c>
      <c r="M1097">
        <v>-1.3344460583924961E-3</v>
      </c>
      <c r="N1097" s="9"/>
      <c r="O1097" s="3">
        <f>L1097-M1097</f>
        <v>2.3695472584109618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-2.0521745021313972E-2</v>
      </c>
      <c r="I1098" s="7">
        <v>0</v>
      </c>
      <c r="J1098" s="7">
        <v>0</v>
      </c>
      <c r="K1098" s="7">
        <v>1.5970575730977998E-2</v>
      </c>
      <c r="L1098">
        <v>0.83729667312269707</v>
      </c>
      <c r="M1098">
        <v>2.7708420588978652E-3</v>
      </c>
      <c r="N1098" s="9"/>
      <c r="O1098" s="3">
        <f>L1098-M1098</f>
        <v>0.83452583106379918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-2.0521745021313972E-2</v>
      </c>
      <c r="I1104" s="7">
        <v>2.2872089329671663E-2</v>
      </c>
      <c r="J1104" s="7">
        <v>0</v>
      </c>
      <c r="K1104" s="7">
        <v>0</v>
      </c>
      <c r="L1104">
        <v>3.7190693025902282</v>
      </c>
      <c r="M1104">
        <v>-1.7015582152214068E-3</v>
      </c>
      <c r="N1104" s="9"/>
      <c r="O1104" s="3">
        <f>L1104-M1104</f>
        <v>3.7207708608054495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-2.0521745021313972E-2</v>
      </c>
      <c r="I1105" s="7">
        <v>0</v>
      </c>
      <c r="J1105" s="7">
        <v>1.6236379226863738E-2</v>
      </c>
      <c r="K1105" s="7">
        <v>0</v>
      </c>
      <c r="L1105">
        <v>2.216073124166746</v>
      </c>
      <c r="M1105">
        <v>2.6280192231014289E-3</v>
      </c>
      <c r="N1105" s="9"/>
      <c r="O1105" s="3">
        <f>L1105-M1105</f>
        <v>2.2134451049436445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-2.0521745021313972E-2</v>
      </c>
      <c r="I1106" s="7">
        <v>0</v>
      </c>
      <c r="J1106" s="7">
        <v>0</v>
      </c>
      <c r="K1106" s="7">
        <v>1.5970575730977998E-2</v>
      </c>
      <c r="L1106">
        <v>0.83729667312269707</v>
      </c>
      <c r="M1106">
        <v>2.7708420588978652E-3</v>
      </c>
      <c r="N1106" s="9"/>
      <c r="O1106" s="3">
        <f>L1106-M1106</f>
        <v>0.83452583106379918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-2.0521745021313972E-2</v>
      </c>
      <c r="I1116" s="7">
        <v>2.2385887789414392E-2</v>
      </c>
      <c r="J1116" s="7">
        <v>0</v>
      </c>
      <c r="K1116" s="7">
        <v>0</v>
      </c>
      <c r="L1116">
        <v>2.3682128123525694</v>
      </c>
      <c r="M1116">
        <v>-1.3344460583924961E-3</v>
      </c>
      <c r="N1116" s="9"/>
      <c r="O1116" s="3">
        <f>L1116-M1116</f>
        <v>2.3695472584109618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-2.0521745021313972E-2</v>
      </c>
      <c r="I1117" s="7">
        <v>0</v>
      </c>
      <c r="J1117" s="7">
        <v>1.6236379226863738E-2</v>
      </c>
      <c r="K1117" s="7">
        <v>0</v>
      </c>
      <c r="L1117">
        <v>2.216073124166746</v>
      </c>
      <c r="M1117">
        <v>2.6280192231014289E-3</v>
      </c>
      <c r="N1117" s="9"/>
      <c r="O1117" s="3">
        <f>L1117-M1117</f>
        <v>2.2134451049436445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-2.0521745021313972E-2</v>
      </c>
      <c r="I1118" s="7">
        <v>0</v>
      </c>
      <c r="J1118" s="7">
        <v>0</v>
      </c>
      <c r="K1118" s="7">
        <v>1.5970575730977998E-2</v>
      </c>
      <c r="L1118">
        <v>0.83729667312269707</v>
      </c>
      <c r="M1118">
        <v>2.7708420588978652E-3</v>
      </c>
      <c r="N1118" s="9"/>
      <c r="O1118" s="3">
        <f>L1118-M1118</f>
        <v>0.83452583106379918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D1810"/>
  <sheetViews>
    <sheetView topLeftCell="I10" zoomScale="85" zoomScaleNormal="85" workbookViewId="0">
      <selection activeCell="AC11" sqref="AC11:AC20"/>
    </sheetView>
  </sheetViews>
  <sheetFormatPr baseColWidth="10" defaultRowHeight="15"/>
  <cols>
    <col min="29" max="29" width="12.140625" customWidth="1"/>
  </cols>
  <sheetData>
    <row r="2" spans="1:30">
      <c r="A2" s="8">
        <v>1.4675604394566215</v>
      </c>
      <c r="B2" s="8">
        <v>-1.3235781323919831</v>
      </c>
      <c r="C2" s="8">
        <v>0.72564008456612294</v>
      </c>
      <c r="D2" s="7">
        <v>-1.4990516053215155E-2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>
        <v>2.216073124166746</v>
      </c>
      <c r="L2">
        <v>0</v>
      </c>
      <c r="N2" s="18">
        <f t="array" ref="N2:P4">SVDD(A2:J4)</f>
        <v>2.2912523003304912</v>
      </c>
      <c r="O2" s="19">
        <v>0</v>
      </c>
      <c r="P2" s="19">
        <v>0</v>
      </c>
      <c r="Q2" s="19"/>
      <c r="R2" s="19">
        <f t="array" ref="R2:T4">SVDD(A2:C4)</f>
        <v>2.2912032620870262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0</v>
      </c>
      <c r="AA2" s="19">
        <v>0</v>
      </c>
      <c r="AB2" s="20">
        <v>0</v>
      </c>
    </row>
    <row r="3" spans="1:30">
      <c r="A3" s="8">
        <v>-1.0097006711160386</v>
      </c>
      <c r="B3" s="8">
        <v>-0.26302086313966178</v>
      </c>
      <c r="C3" s="8">
        <v>0.76545275918666766</v>
      </c>
      <c r="D3" s="7">
        <v>0</v>
      </c>
      <c r="E3" s="7">
        <v>-1.4990516053215155E-2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>
        <v>0.83729667312269707</v>
      </c>
      <c r="L3">
        <v>0</v>
      </c>
      <c r="N3" s="21">
        <v>0</v>
      </c>
      <c r="O3" s="15">
        <v>1.2741051722030583</v>
      </c>
      <c r="P3" s="15">
        <v>0</v>
      </c>
      <c r="Q3" s="15"/>
      <c r="R3" s="15">
        <v>0</v>
      </c>
      <c r="S3" s="15">
        <v>1.2740169835065172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0</v>
      </c>
      <c r="AB3" s="22">
        <v>0</v>
      </c>
    </row>
    <row r="4" spans="1:30">
      <c r="A4" s="8">
        <v>0.60912970227287866</v>
      </c>
      <c r="B4" s="8">
        <v>-0.28261535739067112</v>
      </c>
      <c r="C4" s="8">
        <v>0.68802996689194662</v>
      </c>
      <c r="D4" s="7">
        <v>0</v>
      </c>
      <c r="E4" s="7">
        <v>0</v>
      </c>
      <c r="F4" s="7">
        <v>-1.4990516053215155E-2</v>
      </c>
      <c r="G4" s="7">
        <v>0</v>
      </c>
      <c r="H4" s="7">
        <v>0</v>
      </c>
      <c r="I4" s="7">
        <v>0</v>
      </c>
      <c r="J4" s="7">
        <v>0</v>
      </c>
      <c r="K4">
        <v>0.46214783488271782</v>
      </c>
      <c r="L4">
        <v>0</v>
      </c>
      <c r="N4" s="23">
        <v>0</v>
      </c>
      <c r="O4" s="24">
        <v>0</v>
      </c>
      <c r="P4" s="24">
        <v>0.39815614707623082</v>
      </c>
      <c r="Q4" s="24"/>
      <c r="R4" s="24">
        <v>0</v>
      </c>
      <c r="S4" s="24">
        <v>0</v>
      </c>
      <c r="T4" s="24">
        <v>0.39787385172067724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</v>
      </c>
    </row>
    <row r="5" spans="1:30">
      <c r="A5">
        <v>-0.29229363337989422</v>
      </c>
      <c r="B5">
        <v>-0.67403299109699355</v>
      </c>
      <c r="C5">
        <v>-0.40462482035878167</v>
      </c>
      <c r="D5">
        <v>0.10217100278453817</v>
      </c>
      <c r="E5">
        <v>-9.015845756468277E-2</v>
      </c>
      <c r="F5">
        <v>-0.71416680836488933</v>
      </c>
      <c r="G5">
        <v>0.62087483819192557</v>
      </c>
      <c r="H5">
        <v>0.1853981860867826</v>
      </c>
      <c r="I5">
        <v>0.76930404582796008</v>
      </c>
      <c r="J5">
        <v>0.86389539546261185</v>
      </c>
    </row>
    <row r="6" spans="1:30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34" t="s">
        <v>306</v>
      </c>
      <c r="M6" s="34"/>
      <c r="N6" s="34"/>
      <c r="P6" s="13" t="s">
        <v>311</v>
      </c>
      <c r="Q6" s="13"/>
      <c r="R6" s="13" t="s">
        <v>310</v>
      </c>
      <c r="W6" t="s">
        <v>315</v>
      </c>
    </row>
    <row r="7" spans="1:30">
      <c r="A7">
        <v>-0.29229363337989422</v>
      </c>
      <c r="B7">
        <v>-0.67403299109699355</v>
      </c>
      <c r="C7">
        <v>-0.40462482035878167</v>
      </c>
      <c r="D7">
        <v>0.10217100278453817</v>
      </c>
      <c r="E7">
        <v>-9.015845756468277E-2</v>
      </c>
      <c r="F7">
        <v>-0.71416680836488933</v>
      </c>
      <c r="G7">
        <v>0.62087483819192557</v>
      </c>
      <c r="H7">
        <v>0.1853981860867826</v>
      </c>
      <c r="I7">
        <v>0.76930404582796008</v>
      </c>
      <c r="J7">
        <v>0.86389539546261185</v>
      </c>
      <c r="L7">
        <f t="array" ref="L7:N7">TRANSPOSE(MMULT(A2:J4,TRANSPOSE(A7:J7)))</f>
        <v>0.16803316955325731</v>
      </c>
      <c r="M7">
        <v>0.16404415351598106</v>
      </c>
      <c r="N7">
        <v>-0.25524093195461817</v>
      </c>
      <c r="P7">
        <f>(L7-(K2-L2))^2+(M7-(K3-L3))^2+(N7-(K4-L4))^2</f>
        <v>5.162383253634407</v>
      </c>
      <c r="R7">
        <f>MAX(N2,O3,P4)/MIN(N2,O3,P4)</f>
        <v>5.7546576064586263</v>
      </c>
      <c r="S7">
        <f>MAX(R2,S3,T4)/MIN(R2,S3,T4)</f>
        <v>5.7586173410951851</v>
      </c>
      <c r="T7">
        <f>MAX(V2,W3,X4)/MIN(V2,W3,X4)</f>
        <v>1</v>
      </c>
      <c r="U7" t="e">
        <f>MAX(Z2,AA3,AB4)/MIN(Z2,AA3,AB4)</f>
        <v>#DIV/0!</v>
      </c>
      <c r="W7">
        <v>10</v>
      </c>
    </row>
    <row r="8" spans="1:30">
      <c r="A8" s="12">
        <f t="shared" ref="A8:F8" ca="1" si="0">RAND()-RAND()</f>
        <v>-0.64757919701095124</v>
      </c>
      <c r="B8" s="12">
        <f t="shared" ca="1" si="0"/>
        <v>4.5033843765794224E-2</v>
      </c>
      <c r="C8" s="12">
        <f t="shared" ca="1" si="0"/>
        <v>-0.66711298940782893</v>
      </c>
      <c r="D8" s="12">
        <f t="shared" ca="1" si="0"/>
        <v>-3.7837414655804702E-2</v>
      </c>
      <c r="E8" s="12">
        <f t="shared" ca="1" si="0"/>
        <v>-0.6079715451002583</v>
      </c>
      <c r="F8" s="12">
        <f t="shared" ca="1" si="0"/>
        <v>0.25373399102656879</v>
      </c>
      <c r="G8" s="12">
        <f ca="1">RAND()</f>
        <v>0.70037150833802664</v>
      </c>
      <c r="H8" s="12">
        <f ca="1">RAND()</f>
        <v>0.15634377383912579</v>
      </c>
      <c r="I8" s="12">
        <f ca="1">RAND()</f>
        <v>0.94522180249038801</v>
      </c>
      <c r="J8" s="12">
        <f ca="1">RAND()</f>
        <v>0.2352476800148291</v>
      </c>
      <c r="L8" s="12">
        <f ca="1">RANDBETWEEN(-4,4)*RAND()</f>
        <v>-0.72479404430997629</v>
      </c>
      <c r="M8" s="12">
        <f ca="1">RANDBETWEEN(-4,4)*RAND()</f>
        <v>-2.470378018931453</v>
      </c>
      <c r="N8" s="12">
        <f ca="1">RANDBETWEEN(-4,4)*RAND()</f>
        <v>3.1972362241489112</v>
      </c>
      <c r="O8" s="12">
        <f ca="1">RANDBETWEEN(-10,10)</f>
        <v>-4</v>
      </c>
      <c r="P8" s="12">
        <f ca="1">RANDBETWEEN(-10,10)</f>
        <v>-7</v>
      </c>
      <c r="Q8" s="12">
        <f ca="1">RANDBETWEEN(-10,10)</f>
        <v>-4</v>
      </c>
      <c r="R8" s="12">
        <f ca="1">RANDBETWEEN(1,10)</f>
        <v>2</v>
      </c>
      <c r="S8" s="12">
        <f ca="1">RANDBETWEEN(1,10)</f>
        <v>9</v>
      </c>
      <c r="T8" s="12">
        <f ca="1">RANDBETWEEN(1,10)</f>
        <v>2</v>
      </c>
      <c r="U8" s="12">
        <f ca="1">RANDBETWEEN(1,10)</f>
        <v>7</v>
      </c>
    </row>
    <row r="9" spans="1:30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30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34" t="s">
        <v>306</v>
      </c>
      <c r="M10" s="34"/>
      <c r="N10" s="34"/>
      <c r="P10" s="13" t="s">
        <v>311</v>
      </c>
      <c r="Q10" s="13"/>
      <c r="R10" s="13" t="s">
        <v>310</v>
      </c>
      <c r="AA10" s="27" t="s">
        <v>312</v>
      </c>
      <c r="AB10" s="27" t="s">
        <v>313</v>
      </c>
      <c r="AD10" s="27" t="s">
        <v>314</v>
      </c>
    </row>
    <row r="11" spans="1:30">
      <c r="A11">
        <v>3.0467882354948597E-3</v>
      </c>
      <c r="B11">
        <v>0.95061204584663817</v>
      </c>
      <c r="C11">
        <v>1.1187192503903378</v>
      </c>
      <c r="D11">
        <v>-0.66795746227156694</v>
      </c>
      <c r="E11">
        <v>-0.18807533063518883</v>
      </c>
      <c r="F11">
        <v>-4.0126230138717515E-2</v>
      </c>
      <c r="G11">
        <v>0.17749538319000416</v>
      </c>
      <c r="H11">
        <v>0.35334346868547806</v>
      </c>
      <c r="I11">
        <v>4.6623565595534953E-2</v>
      </c>
      <c r="J11">
        <v>0.99239510205342474</v>
      </c>
      <c r="L11">
        <v>0.84279035418385573</v>
      </c>
      <c r="M11">
        <v>1.5751668945825621</v>
      </c>
      <c r="N11">
        <v>1.8919385296248583</v>
      </c>
      <c r="P11">
        <v>3.4634235485757449E-13</v>
      </c>
      <c r="R11">
        <v>4.1072441892278677</v>
      </c>
      <c r="S11">
        <v>4.1121618081555962</v>
      </c>
      <c r="T11">
        <v>1</v>
      </c>
      <c r="U11">
        <v>2.3508464689995701</v>
      </c>
      <c r="W11">
        <f ca="1">MEDIAN(OFFSET(A$11,(ROW(A1)-1)*$W$7,0,$W$7,1))</f>
        <v>8.0271402855946489E-3</v>
      </c>
      <c r="X11">
        <f ca="1">MEDIAN(OFFSET(B$11,(ROW(B1)-1)*$W$7,0,$W$7,1))</f>
        <v>0.95318588886874467</v>
      </c>
      <c r="Y11">
        <f ca="1">MEDIAN(OFFSET(C$11,(ROW(C1)-1)*$W$7,0,$W$7,1))</f>
        <v>1.1200119302929621</v>
      </c>
      <c r="AA11">
        <v>1.1299999999999999</v>
      </c>
      <c r="AB11">
        <f ca="1">(W11^2+X11^2+Y11^2)</f>
        <v>2.1630544977182304</v>
      </c>
      <c r="AC11" s="14">
        <f ca="1">ABS(1-AB11/AA11)</f>
        <v>0.91420752010462891</v>
      </c>
      <c r="AD11">
        <f ca="1">ABS(AA11-AB11)</f>
        <v>1.0330544977182305</v>
      </c>
    </row>
    <row r="12" spans="1:30">
      <c r="A12">
        <v>1.0289028048679602E-2</v>
      </c>
      <c r="B12">
        <v>0.94226852863419697</v>
      </c>
      <c r="C12">
        <v>1.1297052728026935</v>
      </c>
      <c r="D12">
        <v>0.3138935915727567</v>
      </c>
      <c r="E12">
        <v>0.23876565183704065</v>
      </c>
      <c r="F12">
        <v>0.56953886313043578</v>
      </c>
      <c r="G12">
        <v>0.14917912713606565</v>
      </c>
      <c r="H12">
        <v>0.25402629784738245</v>
      </c>
      <c r="I12">
        <v>0.70922387859937586</v>
      </c>
      <c r="J12">
        <v>0.87601024556284102</v>
      </c>
      <c r="L12">
        <v>0.84279038313680799</v>
      </c>
      <c r="M12">
        <v>1.575166894055581</v>
      </c>
      <c r="N12">
        <v>1.8919385995626889</v>
      </c>
      <c r="P12">
        <v>3.174277806621224E-13</v>
      </c>
      <c r="R12">
        <v>4.1072441892278677</v>
      </c>
      <c r="S12">
        <v>4.1121618081555962</v>
      </c>
      <c r="T12">
        <v>1</v>
      </c>
      <c r="U12">
        <v>2.3508464689995701</v>
      </c>
      <c r="W12">
        <f t="shared" ref="W12:W20" ca="1" si="1">MEDIAN(OFFSET(A$11,(ROW(A2)-1)*$W$7,0,$W$7,1))</f>
        <v>5.4055756100579722E-2</v>
      </c>
      <c r="X12">
        <f t="shared" ref="X12:X20" ca="1" si="2">MEDIAN(OFFSET(B$11,(ROW(B2)-1)*$W$7,0,$W$7,1))</f>
        <v>1.070530034022223</v>
      </c>
      <c r="Y12">
        <f t="shared" ref="Y12:Y20" ca="1" si="3">MEDIAN(OFFSET(C$11,(ROW(C2)-1)*$W$7,0,$W$7,1))</f>
        <v>1.0763324091881379</v>
      </c>
      <c r="AA12">
        <v>1.1299999999999999</v>
      </c>
      <c r="AB12">
        <f t="shared" ref="AB12:AB70" ca="1" si="4">(W12^2+X12^2+Y12^2)</f>
        <v>2.3074480335799685</v>
      </c>
      <c r="AC12" s="14">
        <f t="shared" ref="AC12:AC70" ca="1" si="5">ABS(1-AB12/AA12)</f>
        <v>1.0419894102477598</v>
      </c>
      <c r="AD12">
        <f t="shared" ref="AD12:AD70" ca="1" si="6">ABS(AA12-AB12)</f>
        <v>1.1774480335799686</v>
      </c>
    </row>
    <row r="13" spans="1:30">
      <c r="A13">
        <v>6.4910337676905069E-3</v>
      </c>
      <c r="B13">
        <v>0.93947508285344805</v>
      </c>
      <c r="C13">
        <v>1.1355331324149691</v>
      </c>
      <c r="D13">
        <v>-9.6889314539662263E-2</v>
      </c>
      <c r="E13">
        <v>-0.53563935487812819</v>
      </c>
      <c r="F13">
        <v>-0.52467968776317098</v>
      </c>
      <c r="G13">
        <v>0.55454286164066269</v>
      </c>
      <c r="H13">
        <v>0.3422951167565314</v>
      </c>
      <c r="I13">
        <v>0.26166178691031422</v>
      </c>
      <c r="J13">
        <v>0.64342739427789664</v>
      </c>
      <c r="L13">
        <v>0.84279032019878153</v>
      </c>
      <c r="M13">
        <v>1.5751669073890915</v>
      </c>
      <c r="N13">
        <v>1.8919385052615161</v>
      </c>
      <c r="P13">
        <v>3.7741930167556229E-13</v>
      </c>
      <c r="R13">
        <v>4.1072441892278677</v>
      </c>
      <c r="S13">
        <v>4.1121618081555962</v>
      </c>
      <c r="T13">
        <v>1</v>
      </c>
      <c r="U13">
        <v>2.3508464689995701</v>
      </c>
      <c r="W13">
        <f t="shared" ca="1" si="1"/>
        <v>8.4398044084682183E-2</v>
      </c>
      <c r="X13">
        <f t="shared" ca="1" si="2"/>
        <v>1.157141081903033</v>
      </c>
      <c r="Y13">
        <f t="shared" ca="1" si="3"/>
        <v>1.0373527977557395</v>
      </c>
      <c r="AA13">
        <v>1.1299999999999999</v>
      </c>
      <c r="AB13">
        <f t="shared" ca="1" si="4"/>
        <v>2.4221993402847017</v>
      </c>
      <c r="AC13" s="14">
        <f t="shared" ca="1" si="5"/>
        <v>1.1435392391900017</v>
      </c>
      <c r="AD13">
        <f t="shared" ca="1" si="6"/>
        <v>1.2921993402847018</v>
      </c>
    </row>
    <row r="14" spans="1:30">
      <c r="A14">
        <v>4.3644371057872571E-3</v>
      </c>
      <c r="B14">
        <v>0.93568587046934482</v>
      </c>
      <c r="C14">
        <v>1.150455192853487</v>
      </c>
      <c r="D14">
        <v>-0.25586310743603463</v>
      </c>
      <c r="E14">
        <v>0.61903284860222518</v>
      </c>
      <c r="F14">
        <v>-0.28162067337839719</v>
      </c>
      <c r="G14">
        <v>0.82923100334225042</v>
      </c>
      <c r="H14">
        <v>8.6006899698185785E-2</v>
      </c>
      <c r="I14">
        <v>0.82730133452105326</v>
      </c>
      <c r="J14">
        <v>0.9434963060745587</v>
      </c>
      <c r="L14">
        <v>0.84279028019553204</v>
      </c>
      <c r="M14">
        <v>1.5751669063100322</v>
      </c>
      <c r="N14">
        <v>1.891938387648695</v>
      </c>
      <c r="P14">
        <v>4.5180272456467254E-13</v>
      </c>
      <c r="R14">
        <v>4.1072441892278677</v>
      </c>
      <c r="S14">
        <v>4.1121618081555962</v>
      </c>
      <c r="T14">
        <v>1</v>
      </c>
      <c r="U14">
        <v>2.3508464689995701</v>
      </c>
      <c r="W14">
        <f t="shared" ca="1" si="1"/>
        <v>-4.7380015520789256E-2</v>
      </c>
      <c r="X14">
        <f t="shared" ca="1" si="2"/>
        <v>0.98023429397128481</v>
      </c>
      <c r="Y14">
        <f t="shared" ca="1" si="3"/>
        <v>1.1923442201107299</v>
      </c>
      <c r="AA14">
        <v>1.1299999999999999</v>
      </c>
      <c r="AB14">
        <f t="shared" ca="1" si="4"/>
        <v>2.3847888761795986</v>
      </c>
      <c r="AC14" s="14">
        <f t="shared" ca="1" si="5"/>
        <v>1.1104326337872554</v>
      </c>
      <c r="AD14">
        <f t="shared" ca="1" si="6"/>
        <v>1.2547888761795987</v>
      </c>
    </row>
    <row r="15" spans="1:30">
      <c r="A15">
        <v>1.163031473540246E-2</v>
      </c>
      <c r="B15">
        <v>0.95575973189085117</v>
      </c>
      <c r="C15">
        <v>1.1122748437505385</v>
      </c>
      <c r="D15">
        <v>-0.48390533518750339</v>
      </c>
      <c r="E15">
        <v>-0.49870532102483672</v>
      </c>
      <c r="F15">
        <v>-0.14663198134822111</v>
      </c>
      <c r="G15">
        <v>0.36201805871174225</v>
      </c>
      <c r="H15">
        <v>0.48564795433824326</v>
      </c>
      <c r="I15">
        <v>0.57599557078084518</v>
      </c>
      <c r="J15">
        <v>0.3619249486730976</v>
      </c>
      <c r="L15">
        <v>0.84279038062974843</v>
      </c>
      <c r="M15">
        <v>1.5751668356026416</v>
      </c>
      <c r="N15">
        <v>1.891938176083481</v>
      </c>
      <c r="P15">
        <v>5.0985508089472926E-13</v>
      </c>
      <c r="R15">
        <v>4.1072441892278677</v>
      </c>
      <c r="S15">
        <v>4.1121618081555962</v>
      </c>
      <c r="T15">
        <v>1</v>
      </c>
      <c r="U15">
        <v>2.3508464689995701</v>
      </c>
      <c r="W15">
        <f t="shared" ca="1" si="1"/>
        <v>-0.47445680440168714</v>
      </c>
      <c r="X15">
        <f t="shared" ca="1" si="2"/>
        <v>1.1275560553373283</v>
      </c>
      <c r="Y15">
        <f t="shared" ca="1" si="3"/>
        <v>1.7838049104364115</v>
      </c>
      <c r="AA15">
        <v>1.1299999999999999</v>
      </c>
      <c r="AB15">
        <f t="shared" ca="1" si="4"/>
        <v>4.6784518756679914</v>
      </c>
      <c r="AC15" s="14">
        <f t="shared" ca="1" si="5"/>
        <v>3.1402228988212313</v>
      </c>
      <c r="AD15">
        <f t="shared" ca="1" si="6"/>
        <v>3.5484518756679915</v>
      </c>
    </row>
    <row r="16" spans="1:30">
      <c r="A16">
        <v>1.7221915319563293E-2</v>
      </c>
      <c r="B16">
        <v>0.95827175061949332</v>
      </c>
      <c r="C16">
        <v>1.1138451603357187</v>
      </c>
      <c r="D16">
        <v>-0.1944627691956283</v>
      </c>
      <c r="E16">
        <v>-0.71398749710821041</v>
      </c>
      <c r="F16">
        <v>3.2023725607372142E-2</v>
      </c>
      <c r="G16">
        <v>0.72414750940097827</v>
      </c>
      <c r="H16">
        <v>0.71718108111540668</v>
      </c>
      <c r="I16">
        <v>0.99294036706121236</v>
      </c>
      <c r="J16">
        <v>0.27863952583258023</v>
      </c>
      <c r="L16">
        <v>0.8427903845353939</v>
      </c>
      <c r="M16">
        <v>1.5751667652215999</v>
      </c>
      <c r="N16">
        <v>1.891938224815263</v>
      </c>
      <c r="P16">
        <v>5.2431277336732238E-13</v>
      </c>
      <c r="R16">
        <v>4.1072441892278677</v>
      </c>
      <c r="S16">
        <v>4.1121618081555962</v>
      </c>
      <c r="T16">
        <v>1</v>
      </c>
      <c r="U16">
        <v>2.3508464689995701</v>
      </c>
      <c r="W16">
        <f t="shared" ca="1" si="1"/>
        <v>0.14419434373252821</v>
      </c>
      <c r="X16">
        <f t="shared" ca="1" si="2"/>
        <v>1.1607969263112063</v>
      </c>
      <c r="Y16">
        <f t="shared" ca="1" si="3"/>
        <v>0.96603830181153105</v>
      </c>
      <c r="AA16">
        <v>1.1299999999999999</v>
      </c>
      <c r="AB16">
        <f t="shared" ca="1" si="4"/>
        <v>2.3014715134649055</v>
      </c>
      <c r="AC16" s="14">
        <f t="shared" ca="1" si="5"/>
        <v>1.0367004543937219</v>
      </c>
      <c r="AD16">
        <f t="shared" ca="1" si="6"/>
        <v>1.1714715134649056</v>
      </c>
    </row>
    <row r="17" spans="1:30">
      <c r="A17">
        <v>9.003960372184365E-3</v>
      </c>
      <c r="B17">
        <v>0.96324539133434783</v>
      </c>
      <c r="C17">
        <v>1.135477575475337</v>
      </c>
      <c r="D17">
        <v>-0.2331595422120982</v>
      </c>
      <c r="E17">
        <v>-7.7048568886522876E-3</v>
      </c>
      <c r="F17">
        <v>0.85271207606831123</v>
      </c>
      <c r="G17">
        <v>0.71429105807873639</v>
      </c>
      <c r="H17">
        <v>0.33504863014912323</v>
      </c>
      <c r="I17">
        <v>6.495066445792988E-2</v>
      </c>
      <c r="J17">
        <v>0.38185288651010713</v>
      </c>
      <c r="L17">
        <v>0.84279042449472663</v>
      </c>
      <c r="M17">
        <v>1.5751669850657701</v>
      </c>
      <c r="N17">
        <v>1.8919386304588661</v>
      </c>
      <c r="P17">
        <v>2.376196395419848E-13</v>
      </c>
      <c r="R17">
        <v>4.1072441892278677</v>
      </c>
      <c r="S17">
        <v>4.1121618081555962</v>
      </c>
      <c r="T17">
        <v>1</v>
      </c>
      <c r="U17">
        <v>2.3508464689995701</v>
      </c>
      <c r="W17">
        <f t="shared" ca="1" si="1"/>
        <v>5.0248896507814364E-4</v>
      </c>
      <c r="X17">
        <f t="shared" ca="1" si="2"/>
        <v>1.0883228781505099</v>
      </c>
      <c r="Y17">
        <f t="shared" ca="1" si="3"/>
        <v>0.96746114824465179</v>
      </c>
      <c r="AA17">
        <v>1.1299999999999999</v>
      </c>
      <c r="AB17">
        <f t="shared" ca="1" si="4"/>
        <v>2.1204280129638295</v>
      </c>
      <c r="AC17" s="14">
        <f t="shared" ca="1" si="5"/>
        <v>0.87648496722462799</v>
      </c>
      <c r="AD17">
        <f t="shared" ca="1" si="6"/>
        <v>0.99042801296382965</v>
      </c>
    </row>
    <row r="18" spans="1:30">
      <c r="A18">
        <v>1.2480493512875135E-2</v>
      </c>
      <c r="B18">
        <v>0.97028447510268834</v>
      </c>
      <c r="C18">
        <v>1.1213046101955861</v>
      </c>
      <c r="D18">
        <v>-0.29892302985379998</v>
      </c>
      <c r="E18">
        <v>-1.0363311119289013E-2</v>
      </c>
      <c r="F18">
        <v>0.30282993368875549</v>
      </c>
      <c r="G18">
        <v>0.87923896199456519</v>
      </c>
      <c r="H18">
        <v>0.78200656504874344</v>
      </c>
      <c r="I18">
        <v>0.64105961674420464</v>
      </c>
      <c r="J18">
        <v>2.3547005495449514E-2</v>
      </c>
      <c r="L18">
        <v>0.84279033213124033</v>
      </c>
      <c r="M18">
        <v>1.575167002544434</v>
      </c>
      <c r="N18">
        <v>1.8919382799640099</v>
      </c>
      <c r="P18">
        <v>3.9994591983324592E-13</v>
      </c>
      <c r="R18">
        <v>4.1072441892278677</v>
      </c>
      <c r="S18">
        <v>4.1121618081555962</v>
      </c>
      <c r="T18">
        <v>1</v>
      </c>
      <c r="U18">
        <v>2.3508464689995701</v>
      </c>
      <c r="W18">
        <f t="shared" ca="1" si="1"/>
        <v>-7.880790725411736E-4</v>
      </c>
      <c r="X18">
        <f t="shared" ca="1" si="2"/>
        <v>1.1611037872465535</v>
      </c>
      <c r="Y18">
        <f t="shared" ca="1" si="3"/>
        <v>0.86891545230160849</v>
      </c>
      <c r="AA18">
        <v>1.1299999999999999</v>
      </c>
      <c r="AB18">
        <f t="shared" ca="1" si="4"/>
        <v>2.1031766890754233</v>
      </c>
      <c r="AC18" s="14">
        <f t="shared" ca="1" si="5"/>
        <v>0.86121830891630391</v>
      </c>
      <c r="AD18">
        <f t="shared" ca="1" si="6"/>
        <v>0.97317668907542343</v>
      </c>
    </row>
    <row r="19" spans="1:30">
      <c r="A19">
        <v>6.340833869473708E-3</v>
      </c>
      <c r="B19">
        <v>0.93706036547069171</v>
      </c>
      <c r="C19">
        <v>1.1155365756689162</v>
      </c>
      <c r="D19">
        <v>-0.12976088329266072</v>
      </c>
      <c r="E19">
        <v>-0.4082133449083224</v>
      </c>
      <c r="F19">
        <v>-0.79974167207721425</v>
      </c>
      <c r="G19">
        <v>1.7991276985051805E-2</v>
      </c>
      <c r="H19">
        <v>0.4873257461925608</v>
      </c>
      <c r="I19">
        <v>0.54580786114240964</v>
      </c>
      <c r="J19">
        <v>0.8097802129895042</v>
      </c>
      <c r="L19">
        <v>0.84279032375747442</v>
      </c>
      <c r="M19">
        <v>1.5751668777141492</v>
      </c>
      <c r="N19">
        <v>1.8919384526759062</v>
      </c>
      <c r="P19">
        <v>4.0024561543642239E-13</v>
      </c>
      <c r="R19">
        <v>4.1072441892278677</v>
      </c>
      <c r="S19">
        <v>4.1121618081555962</v>
      </c>
      <c r="T19">
        <v>1</v>
      </c>
      <c r="U19">
        <v>2.3508464689995701</v>
      </c>
      <c r="W19">
        <f t="shared" ca="1" si="1"/>
        <v>-0.14647230504965847</v>
      </c>
      <c r="X19">
        <f t="shared" ca="1" si="2"/>
        <v>1.1669380818443256</v>
      </c>
      <c r="Y19">
        <f t="shared" ca="1" si="3"/>
        <v>0.58070407050054096</v>
      </c>
      <c r="AA19">
        <v>1.1299999999999999</v>
      </c>
      <c r="AB19">
        <f t="shared" ca="1" si="4"/>
        <v>1.7204158405009711</v>
      </c>
      <c r="AC19" s="14">
        <f t="shared" ca="1" si="5"/>
        <v>0.52249189424864717</v>
      </c>
      <c r="AD19">
        <f t="shared" ca="1" si="6"/>
        <v>0.59041584050097118</v>
      </c>
    </row>
    <row r="20" spans="1:30">
      <c r="A20">
        <v>7.050320199004932E-3</v>
      </c>
      <c r="B20">
        <v>0.95872379650475581</v>
      </c>
      <c r="C20">
        <v>1.1168656729706792</v>
      </c>
      <c r="D20">
        <v>-0.42298261163582912</v>
      </c>
      <c r="E20">
        <v>-0.45430199971971247</v>
      </c>
      <c r="F20">
        <v>-0.26519685983698543</v>
      </c>
      <c r="G20">
        <v>0.50122887125270521</v>
      </c>
      <c r="H20">
        <v>0.71711657891864933</v>
      </c>
      <c r="I20">
        <v>0.19883433919799867</v>
      </c>
      <c r="J20">
        <v>0.43253077543836788</v>
      </c>
      <c r="L20">
        <v>0.84279035675596214</v>
      </c>
      <c r="M20">
        <v>1.5751670417874757</v>
      </c>
      <c r="N20">
        <v>1.8919384834048958</v>
      </c>
      <c r="P20">
        <v>2.8574959402881559E-13</v>
      </c>
      <c r="R20">
        <v>4.1072441892278677</v>
      </c>
      <c r="S20">
        <v>4.1121618081555962</v>
      </c>
      <c r="T20">
        <v>1</v>
      </c>
      <c r="U20">
        <v>2.3508464689995701</v>
      </c>
      <c r="W20">
        <f t="shared" ca="1" si="1"/>
        <v>2.7746806473897781E-2</v>
      </c>
      <c r="X20">
        <f t="shared" ca="1" si="2"/>
        <v>1.1624571161370838</v>
      </c>
      <c r="Y20">
        <f t="shared" ca="1" si="3"/>
        <v>0.81527861319626405</v>
      </c>
      <c r="AA20">
        <v>1.1299999999999999</v>
      </c>
      <c r="AB20">
        <f t="shared" ca="1" si="4"/>
        <v>2.016755649262469</v>
      </c>
      <c r="AC20" s="14">
        <f t="shared" ca="1" si="5"/>
        <v>0.78473951262165409</v>
      </c>
      <c r="AD20">
        <f t="shared" ca="1" si="6"/>
        <v>0.88675564926246908</v>
      </c>
    </row>
    <row r="21" spans="1:30">
      <c r="A21">
        <v>6.1010835265203914E-2</v>
      </c>
      <c r="B21">
        <v>1.068018579366526</v>
      </c>
      <c r="C21">
        <v>1.06605562734468</v>
      </c>
      <c r="D21">
        <v>0.3048146403295976</v>
      </c>
      <c r="E21">
        <v>-0.29728334149507968</v>
      </c>
      <c r="F21">
        <v>-0.51465644814891731</v>
      </c>
      <c r="G21">
        <v>6.2812041673540292E-2</v>
      </c>
      <c r="H21">
        <v>0.22930637039208884</v>
      </c>
      <c r="I21">
        <v>0.91446616352741883</v>
      </c>
      <c r="J21">
        <v>0.92513543009704424</v>
      </c>
      <c r="L21">
        <v>0.84279002410015813</v>
      </c>
      <c r="M21">
        <v>1.5751674005082292</v>
      </c>
      <c r="N21">
        <v>3.0887098399654502</v>
      </c>
      <c r="P21">
        <v>2.574263565701195E-12</v>
      </c>
      <c r="R21">
        <v>4.6541230593082208</v>
      </c>
      <c r="S21">
        <v>4.6589206831506358</v>
      </c>
      <c r="T21">
        <v>1</v>
      </c>
      <c r="U21">
        <v>2.3717307355012416</v>
      </c>
      <c r="W21">
        <f t="shared" ref="W21:W46" ca="1" si="7">MEDIAN(OFFSET(A$11,(ROW(A11)-1)*$W$7,0,$W$7,1))</f>
        <v>-1.0353708024638935</v>
      </c>
      <c r="X21">
        <f t="shared" ref="X21:X46" ca="1" si="8">MEDIAN(OFFSET(B$11,(ROW(B11)-1)*$W$7,0,$W$7,1))</f>
        <v>0.99197491168350527</v>
      </c>
      <c r="Y21">
        <f t="shared" ref="Y21:Y46" ca="1" si="9">MEDIAN(OFFSET(C$11,(ROW(C11)-1)*$W$7,0,$W$7,1))</f>
        <v>0.34777724350911532</v>
      </c>
      <c r="AA21">
        <v>1.9059999999999999</v>
      </c>
      <c r="AB21">
        <f t="shared" ca="1" si="4"/>
        <v>2.1769559351070238</v>
      </c>
      <c r="AC21" s="14">
        <f t="shared" ca="1" si="5"/>
        <v>0.14215946228070497</v>
      </c>
      <c r="AD21">
        <f t="shared" ca="1" si="6"/>
        <v>0.27095593510702387</v>
      </c>
    </row>
    <row r="22" spans="1:30">
      <c r="A22">
        <v>5.5176612593851489E-2</v>
      </c>
      <c r="B22">
        <v>1.0806045843820953</v>
      </c>
      <c r="C22">
        <v>1.0482139000396842</v>
      </c>
      <c r="D22">
        <v>-0.53430488266753162</v>
      </c>
      <c r="E22">
        <v>-0.47200940839137018</v>
      </c>
      <c r="F22">
        <v>4.0275849572804077E-2</v>
      </c>
      <c r="G22">
        <v>0</v>
      </c>
      <c r="H22">
        <v>0.51029267710715909</v>
      </c>
      <c r="I22">
        <v>0.48617644649375247</v>
      </c>
      <c r="J22">
        <v>0.25051323134110914</v>
      </c>
      <c r="L22">
        <v>0.84278975868578254</v>
      </c>
      <c r="M22">
        <v>1.5751673100885308</v>
      </c>
      <c r="N22">
        <v>3.0887099602706796</v>
      </c>
      <c r="P22">
        <v>2.7499646369479114E-12</v>
      </c>
      <c r="R22">
        <v>4.6541230593082208</v>
      </c>
      <c r="S22">
        <v>4.6589206831506358</v>
      </c>
      <c r="T22">
        <v>1</v>
      </c>
      <c r="U22">
        <v>2.3717307355012416</v>
      </c>
      <c r="W22">
        <f t="shared" ca="1" si="7"/>
        <v>-0.99133450334260553</v>
      </c>
      <c r="X22">
        <f t="shared" ca="1" si="8"/>
        <v>1.1099033563762184</v>
      </c>
      <c r="Y22">
        <f t="shared" ca="1" si="9"/>
        <v>0.30976839836536241</v>
      </c>
      <c r="AA22">
        <v>1.9059999999999999</v>
      </c>
      <c r="AB22">
        <f t="shared" ca="1" si="4"/>
        <v>2.3105860186385674</v>
      </c>
      <c r="AC22" s="14">
        <f t="shared" ca="1" si="5"/>
        <v>0.21226968449032912</v>
      </c>
      <c r="AD22">
        <f t="shared" ca="1" si="6"/>
        <v>0.40458601863856747</v>
      </c>
    </row>
    <row r="23" spans="1:30">
      <c r="A23">
        <v>4.7634091685171347E-2</v>
      </c>
      <c r="B23">
        <v>1.0617816775726105</v>
      </c>
      <c r="C23">
        <v>1.0858087886310939</v>
      </c>
      <c r="D23">
        <v>-0.10583488114504716</v>
      </c>
      <c r="E23">
        <v>0.47122583795389622</v>
      </c>
      <c r="F23">
        <v>-0.60248259982612895</v>
      </c>
      <c r="G23">
        <v>0.84031051988398298</v>
      </c>
      <c r="H23">
        <v>0.63218134728104314</v>
      </c>
      <c r="I23">
        <v>0.93986069774360959</v>
      </c>
      <c r="J23">
        <v>0.83284968873010234</v>
      </c>
      <c r="L23">
        <v>0.8427897752429635</v>
      </c>
      <c r="M23">
        <v>1.5751673169301004</v>
      </c>
      <c r="N23">
        <v>3.088709945597031</v>
      </c>
      <c r="P23">
        <v>2.7516551205073786E-12</v>
      </c>
      <c r="R23">
        <v>4.6541230593082208</v>
      </c>
      <c r="S23">
        <v>4.6589206831506358</v>
      </c>
      <c r="T23">
        <v>1</v>
      </c>
      <c r="U23">
        <v>2.3717307355012416</v>
      </c>
      <c r="W23">
        <f t="shared" ca="1" si="7"/>
        <v>-0.95899536982553402</v>
      </c>
      <c r="X23">
        <f t="shared" ca="1" si="8"/>
        <v>1.1988691443394326</v>
      </c>
      <c r="Y23">
        <f t="shared" ca="1" si="9"/>
        <v>0.26792811747760203</v>
      </c>
      <c r="AA23">
        <v>1.9059999999999999</v>
      </c>
      <c r="AB23">
        <f t="shared" ca="1" si="4"/>
        <v>2.4287448207310676</v>
      </c>
      <c r="AC23" s="14">
        <f t="shared" ca="1" si="5"/>
        <v>0.27426276008975226</v>
      </c>
      <c r="AD23">
        <f t="shared" ca="1" si="6"/>
        <v>0.52274482073106765</v>
      </c>
    </row>
    <row r="24" spans="1:30">
      <c r="A24">
        <v>4.8335370345565301E-2</v>
      </c>
      <c r="B24">
        <v>1.0607584971426738</v>
      </c>
      <c r="C24">
        <v>1.0953774057942651</v>
      </c>
      <c r="D24">
        <v>0.56188650142508678</v>
      </c>
      <c r="E24">
        <v>-0.12575993284113732</v>
      </c>
      <c r="F24">
        <v>0.1255013345133964</v>
      </c>
      <c r="G24">
        <v>0.66995225511282708</v>
      </c>
      <c r="H24">
        <v>0.55056733056517448</v>
      </c>
      <c r="I24">
        <v>0.14781783026903333</v>
      </c>
      <c r="J24">
        <v>0.96713068371456568</v>
      </c>
      <c r="L24">
        <v>0.84279088372588418</v>
      </c>
      <c r="M24">
        <v>1.5751672185737178</v>
      </c>
      <c r="N24">
        <v>3.0887101268861774</v>
      </c>
      <c r="P24">
        <v>1.1301377378513831E-12</v>
      </c>
      <c r="R24">
        <v>4.6541230593082208</v>
      </c>
      <c r="S24">
        <v>4.6589206831506358</v>
      </c>
      <c r="T24">
        <v>1</v>
      </c>
      <c r="U24">
        <v>2.3717307355012416</v>
      </c>
      <c r="W24">
        <f t="shared" ca="1" si="7"/>
        <v>-1.0924639989920477</v>
      </c>
      <c r="X24">
        <f t="shared" ca="1" si="8"/>
        <v>1.0081584353975139</v>
      </c>
      <c r="Y24">
        <f t="shared" ca="1" si="9"/>
        <v>0.44077196549742248</v>
      </c>
      <c r="AA24">
        <v>1.9059999999999999</v>
      </c>
      <c r="AB24">
        <f t="shared" ca="1" si="4"/>
        <v>2.4041409455253211</v>
      </c>
      <c r="AC24" s="14">
        <f t="shared" ca="1" si="5"/>
        <v>0.26135411622524729</v>
      </c>
      <c r="AD24">
        <f t="shared" ca="1" si="6"/>
        <v>0.49814094552532118</v>
      </c>
    </row>
    <row r="25" spans="1:30">
      <c r="A25">
        <v>5.6012733181147405E-2</v>
      </c>
      <c r="B25">
        <v>1.083461924552948</v>
      </c>
      <c r="C25">
        <v>1.0629297355771452</v>
      </c>
      <c r="D25">
        <v>0.14102596944162235</v>
      </c>
      <c r="E25">
        <v>-0.30948457579092309</v>
      </c>
      <c r="F25">
        <v>0.40058143967021836</v>
      </c>
      <c r="G25">
        <v>0.45751595909969028</v>
      </c>
      <c r="H25">
        <v>0.85891084242515525</v>
      </c>
      <c r="I25">
        <v>0.51585893253026593</v>
      </c>
      <c r="J25">
        <v>0.1269368857829824</v>
      </c>
      <c r="L25">
        <v>0.84278978158071338</v>
      </c>
      <c r="M25">
        <v>1.5751672793033464</v>
      </c>
      <c r="N25">
        <v>3.0887099278398598</v>
      </c>
      <c r="P25">
        <v>2.7738093226041569E-12</v>
      </c>
      <c r="R25">
        <v>4.6541230593082208</v>
      </c>
      <c r="S25">
        <v>4.6589206831506358</v>
      </c>
      <c r="T25">
        <v>1</v>
      </c>
      <c r="U25">
        <v>2.3717307355012416</v>
      </c>
      <c r="W25">
        <f t="shared" ca="1" si="7"/>
        <v>-1.5277859919108066</v>
      </c>
      <c r="X25">
        <f t="shared" ca="1" si="8"/>
        <v>1.1674530241390606</v>
      </c>
      <c r="Y25">
        <f t="shared" ca="1" si="9"/>
        <v>1.0132715442602704</v>
      </c>
      <c r="AA25">
        <v>1.9059999999999999</v>
      </c>
      <c r="AB25">
        <f t="shared" ca="1" si="4"/>
        <v>4.7237958230579178</v>
      </c>
      <c r="AC25" s="14">
        <f t="shared" ca="1" si="5"/>
        <v>1.4783818588971238</v>
      </c>
      <c r="AD25">
        <f t="shared" ca="1" si="6"/>
        <v>2.8177958230579181</v>
      </c>
    </row>
    <row r="26" spans="1:30">
      <c r="A26">
        <v>4.7328797035223899E-2</v>
      </c>
      <c r="B26">
        <v>1.0610208738876126</v>
      </c>
      <c r="C26">
        <v>1.0872500194883625</v>
      </c>
      <c r="D26">
        <v>0.22964801627622236</v>
      </c>
      <c r="E26">
        <v>0.41106084215795663</v>
      </c>
      <c r="F26">
        <v>0.38458558610147059</v>
      </c>
      <c r="G26">
        <v>0.21791547735462391</v>
      </c>
      <c r="H26">
        <v>0.22280230738067464</v>
      </c>
      <c r="I26">
        <v>0.25578381705301489</v>
      </c>
      <c r="J26">
        <v>0.91550757369503566</v>
      </c>
      <c r="L26">
        <v>0.84278978768602553</v>
      </c>
      <c r="M26">
        <v>1.5751672614958769</v>
      </c>
      <c r="N26">
        <v>3.0887099834159395</v>
      </c>
      <c r="P26">
        <v>2.6204360633471435E-12</v>
      </c>
      <c r="R26">
        <v>4.6541230593082208</v>
      </c>
      <c r="S26">
        <v>4.6589206831506358</v>
      </c>
      <c r="T26">
        <v>1</v>
      </c>
      <c r="U26">
        <v>2.3717307355012416</v>
      </c>
      <c r="W26">
        <f t="shared" ca="1" si="7"/>
        <v>-0.9012773107105172</v>
      </c>
      <c r="X26">
        <f t="shared" ca="1" si="8"/>
        <v>1.1991375120030643</v>
      </c>
      <c r="Y26">
        <f t="shared" ca="1" si="9"/>
        <v>0.18641909442822374</v>
      </c>
      <c r="AA26">
        <v>1.9059999999999999</v>
      </c>
      <c r="AB26">
        <f t="shared" ca="1" si="4"/>
        <v>2.2849836422619201</v>
      </c>
      <c r="AC26" s="14">
        <f t="shared" ca="1" si="5"/>
        <v>0.19883716802828966</v>
      </c>
      <c r="AD26">
        <f t="shared" ca="1" si="6"/>
        <v>0.37898364226192016</v>
      </c>
    </row>
    <row r="27" spans="1:30">
      <c r="A27">
        <v>4.3496076720854183E-2</v>
      </c>
      <c r="B27">
        <v>1.0663519520074409</v>
      </c>
      <c r="C27">
        <v>1.0855920313694147</v>
      </c>
      <c r="D27">
        <v>-0.42891565226704259</v>
      </c>
      <c r="E27">
        <v>0.7201272859917105</v>
      </c>
      <c r="F27">
        <v>0.55105847888484116</v>
      </c>
      <c r="G27">
        <v>0.34371514119016677</v>
      </c>
      <c r="H27">
        <v>0.15116359671923624</v>
      </c>
      <c r="I27">
        <v>0.2043446096511925</v>
      </c>
      <c r="J27">
        <v>0.37886763248946187</v>
      </c>
      <c r="L27">
        <v>0.84278972227561988</v>
      </c>
      <c r="M27">
        <v>1.5751673696851907</v>
      </c>
      <c r="N27">
        <v>3.0887100095503279</v>
      </c>
      <c r="P27">
        <v>2.7316798487582204E-12</v>
      </c>
      <c r="R27">
        <v>4.6541230593082208</v>
      </c>
      <c r="S27">
        <v>4.6589206831506358</v>
      </c>
      <c r="T27">
        <v>1</v>
      </c>
      <c r="U27">
        <v>2.3717307355012416</v>
      </c>
      <c r="W27">
        <f t="shared" ca="1" si="7"/>
        <v>-1.0689315560071835</v>
      </c>
      <c r="X27">
        <f t="shared" ca="1" si="8"/>
        <v>1.0019494049895101</v>
      </c>
      <c r="Y27">
        <f t="shared" ca="1" si="9"/>
        <v>1.6704894042248948</v>
      </c>
      <c r="AA27">
        <v>1.9059999999999999</v>
      </c>
      <c r="AB27">
        <f t="shared" ca="1" si="4"/>
        <v>4.9370521312144158</v>
      </c>
      <c r="AC27" s="14">
        <f t="shared" ca="1" si="5"/>
        <v>1.5902686942363147</v>
      </c>
      <c r="AD27">
        <f t="shared" ca="1" si="6"/>
        <v>3.0310521312144161</v>
      </c>
    </row>
    <row r="28" spans="1:30">
      <c r="A28">
        <v>5.2934899607307948E-2</v>
      </c>
      <c r="B28">
        <v>1.07304148867792</v>
      </c>
      <c r="C28">
        <v>1.0895216817394884</v>
      </c>
      <c r="D28">
        <v>-0.11631294240136748</v>
      </c>
      <c r="E28">
        <v>-7.9592610786418883E-2</v>
      </c>
      <c r="F28">
        <v>0.41014931486418804</v>
      </c>
      <c r="G28">
        <v>0.83783491771436991</v>
      </c>
      <c r="H28">
        <v>0.27617654252206969</v>
      </c>
      <c r="I28">
        <v>0.37166457161559813</v>
      </c>
      <c r="J28">
        <v>0.44758620392781528</v>
      </c>
      <c r="L28">
        <v>0.84278975133918743</v>
      </c>
      <c r="M28">
        <v>1.5751672609012872</v>
      </c>
      <c r="N28">
        <v>3.088710242603363</v>
      </c>
      <c r="P28">
        <v>2.1420786640634777E-12</v>
      </c>
      <c r="R28">
        <v>4.6541230593082208</v>
      </c>
      <c r="S28">
        <v>4.6589206831506358</v>
      </c>
      <c r="T28">
        <v>1</v>
      </c>
      <c r="U28">
        <v>2.3717307355012416</v>
      </c>
      <c r="W28">
        <f t="shared" ca="1" si="7"/>
        <v>-1.0163352190275803</v>
      </c>
      <c r="X28">
        <f t="shared" ca="1" si="8"/>
        <v>0.99876912916343541</v>
      </c>
      <c r="Y28">
        <f t="shared" ca="1" si="9"/>
        <v>-0.31608334759109236</v>
      </c>
      <c r="AA28">
        <v>1.9059999999999999</v>
      </c>
      <c r="AB28">
        <f t="shared" ca="1" si="4"/>
        <v>2.1303857334301179</v>
      </c>
      <c r="AC28" s="14">
        <f t="shared" ca="1" si="5"/>
        <v>0.11772598815850888</v>
      </c>
      <c r="AD28">
        <f t="shared" ca="1" si="6"/>
        <v>0.22438573343011803</v>
      </c>
    </row>
    <row r="29" spans="1:30">
      <c r="A29">
        <v>6.6226677590768043E-2</v>
      </c>
      <c r="B29">
        <v>1.0862867191850241</v>
      </c>
      <c r="C29">
        <v>1.0670727870068608</v>
      </c>
      <c r="D29">
        <v>-0.21805169924735793</v>
      </c>
      <c r="E29">
        <v>-0.92493829175824938</v>
      </c>
      <c r="F29">
        <v>-0.16005355830713172</v>
      </c>
      <c r="G29">
        <v>0.6982560412441513</v>
      </c>
      <c r="H29">
        <v>0.2528383379609358</v>
      </c>
      <c r="I29">
        <v>0.74220276236015337</v>
      </c>
      <c r="J29">
        <v>4.1306817047241443E-3</v>
      </c>
      <c r="L29">
        <v>0.84279023732908231</v>
      </c>
      <c r="M29">
        <v>1.5751667710677171</v>
      </c>
      <c r="N29">
        <v>3.0887102724348625</v>
      </c>
      <c r="P29">
        <v>1.4052913669282516E-12</v>
      </c>
      <c r="R29">
        <v>4.6541230593082208</v>
      </c>
      <c r="S29">
        <v>4.6589206831506358</v>
      </c>
      <c r="T29">
        <v>1</v>
      </c>
      <c r="U29">
        <v>2.3717307355012416</v>
      </c>
      <c r="W29">
        <f t="shared" ca="1" si="7"/>
        <v>-0.97976106085552273</v>
      </c>
      <c r="X29">
        <f t="shared" ca="1" si="8"/>
        <v>1.126323560014036</v>
      </c>
      <c r="Y29">
        <f t="shared" ca="1" si="9"/>
        <v>4.5545334088858615E-2</v>
      </c>
      <c r="AA29">
        <v>1.9059999999999999</v>
      </c>
      <c r="AB29">
        <f t="shared" ca="1" si="4"/>
        <v>2.2306108756686966</v>
      </c>
      <c r="AC29" s="14">
        <f t="shared" ca="1" si="5"/>
        <v>0.17031000822072229</v>
      </c>
      <c r="AD29">
        <f t="shared" ca="1" si="6"/>
        <v>0.32461087566869673</v>
      </c>
    </row>
    <row r="30" spans="1:30">
      <c r="A30">
        <v>6.3603466486626362E-2</v>
      </c>
      <c r="B30">
        <v>1.092967336286869</v>
      </c>
      <c r="C30">
        <v>1.0441806633113935</v>
      </c>
      <c r="D30">
        <v>-0.13489519353883486</v>
      </c>
      <c r="E30">
        <v>-0.90452800897040853</v>
      </c>
      <c r="F30">
        <v>0.14920107194467577</v>
      </c>
      <c r="G30">
        <v>0.48837597961917978</v>
      </c>
      <c r="H30">
        <v>1.0118889050893722</v>
      </c>
      <c r="I30">
        <v>0.87988927383516624</v>
      </c>
      <c r="J30">
        <v>0.14637763480645669</v>
      </c>
      <c r="L30">
        <v>0.8427897915280913</v>
      </c>
      <c r="M30">
        <v>1.5751672841825732</v>
      </c>
      <c r="N30">
        <v>3.0887098839730598</v>
      </c>
      <c r="P30">
        <v>2.8658974260492809E-12</v>
      </c>
      <c r="R30">
        <v>4.6541230593082208</v>
      </c>
      <c r="S30">
        <v>4.6589206831506358</v>
      </c>
      <c r="T30">
        <v>1</v>
      </c>
      <c r="U30">
        <v>2.3717307355012416</v>
      </c>
      <c r="W30">
        <f t="shared" ca="1" si="7"/>
        <v>-1.0935024642530902</v>
      </c>
      <c r="X30">
        <f t="shared" ca="1" si="8"/>
        <v>1.0232190938301871</v>
      </c>
      <c r="Y30">
        <f t="shared" ca="1" si="9"/>
        <v>-0.13268342375284303</v>
      </c>
      <c r="AA30">
        <v>1.9059999999999999</v>
      </c>
      <c r="AB30">
        <f t="shared" ca="1" si="4"/>
        <v>2.2603298442450264</v>
      </c>
      <c r="AC30" s="14">
        <f t="shared" ca="1" si="5"/>
        <v>0.1859023317130255</v>
      </c>
      <c r="AD30">
        <f t="shared" ca="1" si="6"/>
        <v>0.35432984424502645</v>
      </c>
    </row>
    <row r="31" spans="1:30">
      <c r="A31">
        <v>9.3992557836650933E-2</v>
      </c>
      <c r="B31">
        <v>1.1579761884279047</v>
      </c>
      <c r="C31">
        <v>1.0453223740195394</v>
      </c>
      <c r="D31">
        <v>0.21776993770986353</v>
      </c>
      <c r="E31">
        <v>-0.6325114985192245</v>
      </c>
      <c r="F31">
        <v>-0.50153206412850515</v>
      </c>
      <c r="G31">
        <v>0.68493783033924471</v>
      </c>
      <c r="H31">
        <v>0.12350261060896527</v>
      </c>
      <c r="I31">
        <v>0.75529678410796863</v>
      </c>
      <c r="J31">
        <v>0.23469504594540722</v>
      </c>
      <c r="L31">
        <v>0.84279067367736871</v>
      </c>
      <c r="M31">
        <v>1.575166885865606</v>
      </c>
      <c r="N31">
        <v>2.8022414379073615</v>
      </c>
      <c r="P31">
        <v>5.1633279594103966E-13</v>
      </c>
      <c r="R31">
        <v>2.574791744766602</v>
      </c>
      <c r="S31">
        <v>2.5761959575841629</v>
      </c>
      <c r="T31">
        <v>1</v>
      </c>
      <c r="U31">
        <v>2.0602256942739356</v>
      </c>
      <c r="W31">
        <f t="shared" ca="1" si="7"/>
        <v>1.4113563832837037</v>
      </c>
      <c r="X31">
        <f t="shared" ca="1" si="8"/>
        <v>0.1335874818376738</v>
      </c>
      <c r="Y31">
        <f t="shared" ca="1" si="9"/>
        <v>0.41248512892567352</v>
      </c>
      <c r="AA31">
        <v>2.0489999999999999</v>
      </c>
      <c r="AB31">
        <f t="shared" ca="1" si="4"/>
        <v>2.1799164375242168</v>
      </c>
      <c r="AC31" s="14">
        <f t="shared" ca="1" si="5"/>
        <v>6.3892844082097167E-2</v>
      </c>
      <c r="AD31">
        <f t="shared" ca="1" si="6"/>
        <v>0.13091643752421689</v>
      </c>
    </row>
    <row r="32" spans="1:30">
      <c r="A32">
        <v>7.9563436855178069E-2</v>
      </c>
      <c r="B32">
        <v>1.1549322161383462</v>
      </c>
      <c r="C32">
        <v>1.0352077501426049</v>
      </c>
      <c r="D32">
        <v>-0.74097486959500958</v>
      </c>
      <c r="E32">
        <v>0.11678878138810914</v>
      </c>
      <c r="F32">
        <v>-5.117479324686941E-2</v>
      </c>
      <c r="G32">
        <v>0.59563516811940742</v>
      </c>
      <c r="H32">
        <v>0.40351154650775528</v>
      </c>
      <c r="I32">
        <v>0.70179086424830128</v>
      </c>
      <c r="J32">
        <v>0.83335857377888367</v>
      </c>
      <c r="L32">
        <v>0.84279062983685005</v>
      </c>
      <c r="M32">
        <v>1.5751668895716109</v>
      </c>
      <c r="N32">
        <v>2.8022412928686387</v>
      </c>
      <c r="P32">
        <v>7.3515920470100536E-13</v>
      </c>
      <c r="R32">
        <v>2.574791744766602</v>
      </c>
      <c r="S32">
        <v>2.5761959575841629</v>
      </c>
      <c r="T32">
        <v>1</v>
      </c>
      <c r="U32">
        <v>2.0602256942739356</v>
      </c>
      <c r="W32">
        <f t="shared" ca="1" si="7"/>
        <v>1.4576792086589068</v>
      </c>
      <c r="X32">
        <f t="shared" ca="1" si="8"/>
        <v>0.25502493009594573</v>
      </c>
      <c r="Y32">
        <f t="shared" ca="1" si="9"/>
        <v>0.33998067223462369</v>
      </c>
      <c r="AA32">
        <v>2.0489999999999999</v>
      </c>
      <c r="AB32">
        <f t="shared" ca="1" si="4"/>
        <v>2.3054532478200054</v>
      </c>
      <c r="AC32" s="14">
        <f t="shared" ca="1" si="5"/>
        <v>0.1251601990336777</v>
      </c>
      <c r="AD32">
        <f t="shared" ca="1" si="6"/>
        <v>0.25645324782000545</v>
      </c>
    </row>
    <row r="33" spans="1:30">
      <c r="A33">
        <v>8.7885872215661506E-2</v>
      </c>
      <c r="B33">
        <v>1.1602110946693673</v>
      </c>
      <c r="C33">
        <v>1.0398027390536988</v>
      </c>
      <c r="D33">
        <v>2.3067455309059376E-2</v>
      </c>
      <c r="E33">
        <v>0.26261589140059</v>
      </c>
      <c r="F33">
        <v>0.44254673215667928</v>
      </c>
      <c r="G33">
        <v>0.61278152827868804</v>
      </c>
      <c r="H33">
        <v>0.3957169461194418</v>
      </c>
      <c r="I33">
        <v>0.99787389906627855</v>
      </c>
      <c r="J33">
        <v>0.59947684005290525</v>
      </c>
      <c r="L33">
        <v>0.84279055591685004</v>
      </c>
      <c r="M33">
        <v>1.5751671242184038</v>
      </c>
      <c r="N33">
        <v>2.8022413842330267</v>
      </c>
      <c r="P33">
        <v>5.5971036288781912E-13</v>
      </c>
      <c r="R33">
        <v>2.574791744766602</v>
      </c>
      <c r="S33">
        <v>2.5761959575841629</v>
      </c>
      <c r="T33">
        <v>1</v>
      </c>
      <c r="U33">
        <v>2.0602256942739356</v>
      </c>
      <c r="W33">
        <f t="shared" ca="1" si="7"/>
        <v>1.486785568078353</v>
      </c>
      <c r="X33">
        <f t="shared" ca="1" si="8"/>
        <v>0.34245386264293337</v>
      </c>
      <c r="Y33">
        <f t="shared" ca="1" si="9"/>
        <v>0.3183980085987424</v>
      </c>
      <c r="AA33">
        <v>2.0489999999999999</v>
      </c>
      <c r="AB33">
        <f t="shared" ca="1" si="4"/>
        <v>2.4291832653647809</v>
      </c>
      <c r="AC33" s="14">
        <f t="shared" ca="1" si="5"/>
        <v>0.18554576152502733</v>
      </c>
      <c r="AD33">
        <f t="shared" ca="1" si="6"/>
        <v>0.38018326536478098</v>
      </c>
    </row>
    <row r="34" spans="1:30">
      <c r="A34">
        <v>7.4776841423305263E-2</v>
      </c>
      <c r="B34">
        <v>1.1615779473860703</v>
      </c>
      <c r="C34">
        <v>1.0489727362316446</v>
      </c>
      <c r="D34">
        <v>-9.878692014625276E-2</v>
      </c>
      <c r="E34">
        <v>0.157555151573603</v>
      </c>
      <c r="F34">
        <v>0.55871579982656605</v>
      </c>
      <c r="G34">
        <v>0.93169051325394414</v>
      </c>
      <c r="H34">
        <v>0.90968095312735087</v>
      </c>
      <c r="I34">
        <v>7.2016016536713565E-2</v>
      </c>
      <c r="J34">
        <v>0.82070488137736552</v>
      </c>
      <c r="L34">
        <v>0.84279091441302978</v>
      </c>
      <c r="M34">
        <v>1.575166842946274</v>
      </c>
      <c r="N34">
        <v>2.8022415156474758</v>
      </c>
      <c r="P34">
        <v>4.1854082419121873E-13</v>
      </c>
      <c r="R34">
        <v>2.574791744766602</v>
      </c>
      <c r="S34">
        <v>2.5761959575841629</v>
      </c>
      <c r="T34">
        <v>1</v>
      </c>
      <c r="U34">
        <v>2.0602256942739356</v>
      </c>
      <c r="W34">
        <f t="shared" ca="1" si="7"/>
        <v>1.4016669110582434</v>
      </c>
      <c r="X34">
        <f t="shared" ca="1" si="8"/>
        <v>0.27780929200885368</v>
      </c>
      <c r="Y34">
        <f t="shared" ca="1" si="9"/>
        <v>0.23340660509857519</v>
      </c>
      <c r="AA34">
        <v>2.0489999999999999</v>
      </c>
      <c r="AB34">
        <f t="shared" ca="1" si="4"/>
        <v>2.0963267755856605</v>
      </c>
      <c r="AC34" s="14">
        <f t="shared" ca="1" si="5"/>
        <v>2.3097499065720228E-2</v>
      </c>
      <c r="AD34">
        <f t="shared" ca="1" si="6"/>
        <v>4.7326775585660563E-2</v>
      </c>
    </row>
    <row r="35" spans="1:30">
      <c r="A35">
        <v>9.5704203175760574E-2</v>
      </c>
      <c r="B35">
        <v>1.1593451047960739</v>
      </c>
      <c r="C35">
        <v>1.0412896319375167</v>
      </c>
      <c r="D35">
        <v>0.17108719487849217</v>
      </c>
      <c r="E35">
        <v>-0.51978974903478226</v>
      </c>
      <c r="F35">
        <v>0.45839781026420984</v>
      </c>
      <c r="G35">
        <v>0.67250381255235747</v>
      </c>
      <c r="H35">
        <v>0.141738909846678</v>
      </c>
      <c r="I35">
        <v>1.005751695114383</v>
      </c>
      <c r="J35">
        <v>0.7794614749229829</v>
      </c>
      <c r="L35">
        <v>0.84279087373530071</v>
      </c>
      <c r="M35">
        <v>1.5751669268894775</v>
      </c>
      <c r="N35">
        <v>2.8022416791192244</v>
      </c>
      <c r="P35">
        <v>2.1368892006507912E-13</v>
      </c>
      <c r="R35">
        <v>2.574791744766602</v>
      </c>
      <c r="S35">
        <v>2.5761959575841629</v>
      </c>
      <c r="T35">
        <v>1</v>
      </c>
      <c r="U35">
        <v>2.0602256942739356</v>
      </c>
      <c r="W35">
        <f t="shared" ca="1" si="7"/>
        <v>1.4002119070980699</v>
      </c>
      <c r="X35">
        <f t="shared" ca="1" si="8"/>
        <v>0.34598640640689621</v>
      </c>
      <c r="Y35">
        <f t="shared" ca="1" si="9"/>
        <v>0.14245982448718625</v>
      </c>
      <c r="AA35">
        <v>2.0489999999999999</v>
      </c>
      <c r="AB35">
        <f t="shared" ca="1" si="4"/>
        <v>2.1005947797904918</v>
      </c>
      <c r="AC35" s="14">
        <f t="shared" ca="1" si="5"/>
        <v>2.5180468418980917E-2</v>
      </c>
      <c r="AD35">
        <f t="shared" ca="1" si="6"/>
        <v>5.1594779790491874E-2</v>
      </c>
    </row>
    <row r="36" spans="1:30">
      <c r="A36">
        <v>7.1299522290770842E-2</v>
      </c>
      <c r="B36">
        <v>1.1573515936051295</v>
      </c>
      <c r="C36">
        <v>1.0336291584538129</v>
      </c>
      <c r="D36">
        <v>-0.40395466481108433</v>
      </c>
      <c r="E36">
        <v>0.41396769526056537</v>
      </c>
      <c r="F36">
        <v>0.34042014893481909</v>
      </c>
      <c r="G36">
        <v>0.31555438160420451</v>
      </c>
      <c r="H36">
        <v>0.79158472226189969</v>
      </c>
      <c r="I36">
        <v>7.2908522744041665E-2</v>
      </c>
      <c r="J36">
        <v>0.53755576384882842</v>
      </c>
      <c r="L36">
        <v>0.84279092740874961</v>
      </c>
      <c r="M36">
        <v>1.5751668198751441</v>
      </c>
      <c r="N36">
        <v>2.8022414697270315</v>
      </c>
      <c r="P36">
        <v>4.8865359035576957E-13</v>
      </c>
      <c r="R36">
        <v>2.574791744766602</v>
      </c>
      <c r="S36">
        <v>2.5761959575841629</v>
      </c>
      <c r="T36">
        <v>1</v>
      </c>
      <c r="U36">
        <v>2.0602256942739356</v>
      </c>
      <c r="W36">
        <f t="shared" ca="1" si="7"/>
        <v>1.2406253028289314</v>
      </c>
      <c r="X36">
        <f t="shared" ca="1" si="8"/>
        <v>0.35626854455596324</v>
      </c>
      <c r="Y36">
        <f t="shared" ca="1" si="9"/>
        <v>-0.16653435991295107</v>
      </c>
      <c r="AA36">
        <v>2.0489999999999999</v>
      </c>
      <c r="AB36">
        <f t="shared" ca="1" si="4"/>
        <v>1.6938121108910182</v>
      </c>
      <c r="AC36" s="14">
        <f t="shared" ca="1" si="5"/>
        <v>0.17334694441629173</v>
      </c>
      <c r="AD36">
        <f t="shared" ca="1" si="6"/>
        <v>0.35518788910898169</v>
      </c>
    </row>
    <row r="37" spans="1:30">
      <c r="A37">
        <v>7.7072177813192339E-2</v>
      </c>
      <c r="B37">
        <v>1.1569305702009367</v>
      </c>
      <c r="C37">
        <v>1.0310366180000317</v>
      </c>
      <c r="D37">
        <v>-0.26067337798048018</v>
      </c>
      <c r="E37">
        <v>0.46737195314613261</v>
      </c>
      <c r="F37">
        <v>-6.0254393935941668E-2</v>
      </c>
      <c r="G37">
        <v>0.15281151763027959</v>
      </c>
      <c r="H37">
        <v>0.5542435058157249</v>
      </c>
      <c r="I37">
        <v>0.41062468748455905</v>
      </c>
      <c r="J37">
        <v>0.13579008132768033</v>
      </c>
      <c r="L37">
        <v>0.84279092038528602</v>
      </c>
      <c r="M37">
        <v>1.5751668847050988</v>
      </c>
      <c r="N37">
        <v>2.802241579440274</v>
      </c>
      <c r="P37">
        <v>3.2663991881803456E-13</v>
      </c>
      <c r="R37">
        <v>2.574791744766602</v>
      </c>
      <c r="S37">
        <v>2.5761959575841629</v>
      </c>
      <c r="T37">
        <v>1</v>
      </c>
      <c r="U37">
        <v>2.0602256942739356</v>
      </c>
      <c r="W37">
        <f t="shared" ca="1" si="7"/>
        <v>1.3790144647260272</v>
      </c>
      <c r="X37">
        <f t="shared" ca="1" si="8"/>
        <v>0.15504278257066634</v>
      </c>
      <c r="Y37">
        <f t="shared" ca="1" si="9"/>
        <v>1.7363707241492707</v>
      </c>
      <c r="AA37">
        <v>2.0489999999999999</v>
      </c>
      <c r="AB37">
        <f t="shared" ca="1" si="4"/>
        <v>4.9407024500335286</v>
      </c>
      <c r="AC37" s="14">
        <f t="shared" ca="1" si="5"/>
        <v>1.4112749878152897</v>
      </c>
      <c r="AD37">
        <f t="shared" ca="1" si="6"/>
        <v>2.8917024500335287</v>
      </c>
    </row>
    <row r="38" spans="1:30">
      <c r="A38">
        <v>8.551167076148046E-2</v>
      </c>
      <c r="B38">
        <v>1.154784432762</v>
      </c>
      <c r="C38">
        <v>1.0392112146815322</v>
      </c>
      <c r="D38">
        <v>4.5011267293286403E-2</v>
      </c>
      <c r="E38">
        <v>0.18318537140304564</v>
      </c>
      <c r="F38">
        <v>-0.17819269835161233</v>
      </c>
      <c r="G38">
        <v>0.42235705404862589</v>
      </c>
      <c r="H38">
        <v>0.34708048538567787</v>
      </c>
      <c r="I38">
        <v>0.82698043053145343</v>
      </c>
      <c r="J38">
        <v>0.56854255355868044</v>
      </c>
      <c r="L38">
        <v>0.84279066323588214</v>
      </c>
      <c r="M38">
        <v>1.5751669195382787</v>
      </c>
      <c r="N38">
        <v>2.8022415146970174</v>
      </c>
      <c r="P38">
        <v>4.1137355186297399E-13</v>
      </c>
      <c r="R38">
        <v>2.574791744766602</v>
      </c>
      <c r="S38">
        <v>2.5761959575841629</v>
      </c>
      <c r="T38">
        <v>1</v>
      </c>
      <c r="U38">
        <v>2.0602256942739356</v>
      </c>
      <c r="W38">
        <f t="shared" ca="1" si="7"/>
        <v>1.4289876610599017</v>
      </c>
      <c r="X38">
        <f t="shared" ca="1" si="8"/>
        <v>0.15124234748282339</v>
      </c>
      <c r="Y38">
        <f t="shared" ca="1" si="9"/>
        <v>-0.26492458726623758</v>
      </c>
      <c r="AA38">
        <v>2.0489999999999999</v>
      </c>
      <c r="AB38">
        <f t="shared" ca="1" si="4"/>
        <v>2.13506502007175</v>
      </c>
      <c r="AC38" s="14">
        <f t="shared" ca="1" si="5"/>
        <v>4.2003426096510532E-2</v>
      </c>
      <c r="AD38">
        <f t="shared" ca="1" si="6"/>
        <v>8.6065020071750098E-2</v>
      </c>
    </row>
    <row r="39" spans="1:30">
      <c r="A39">
        <v>8.3284417407883893E-2</v>
      </c>
      <c r="B39">
        <v>1.1547304695290037</v>
      </c>
      <c r="C39">
        <v>1.0354943808299466</v>
      </c>
      <c r="D39">
        <v>2.8954055319781249E-2</v>
      </c>
      <c r="E39">
        <v>-0.17375672039884368</v>
      </c>
      <c r="F39">
        <v>2.7883124700428107E-2</v>
      </c>
      <c r="G39">
        <v>5.6903307411701826E-2</v>
      </c>
      <c r="H39">
        <v>0.21517885824505875</v>
      </c>
      <c r="I39">
        <v>0.21399154600378439</v>
      </c>
      <c r="J39">
        <v>0.34589718960659827</v>
      </c>
      <c r="L39">
        <v>0.84279058187525235</v>
      </c>
      <c r="M39">
        <v>1.5751669861974362</v>
      </c>
      <c r="N39">
        <v>2.802241212082714</v>
      </c>
      <c r="P39">
        <v>8.4331084955034187E-13</v>
      </c>
      <c r="R39">
        <v>2.574791744766602</v>
      </c>
      <c r="S39">
        <v>2.5761959575841629</v>
      </c>
      <c r="T39">
        <v>1</v>
      </c>
      <c r="U39">
        <v>2.0602256942739356</v>
      </c>
      <c r="W39">
        <f t="shared" ca="1" si="7"/>
        <v>1.4641698730993729</v>
      </c>
      <c r="X39">
        <f t="shared" ca="1" si="8"/>
        <v>0.27119467058948937</v>
      </c>
      <c r="Y39">
        <f t="shared" ca="1" si="9"/>
        <v>0.11872464301353811</v>
      </c>
      <c r="AA39">
        <v>2.0489999999999999</v>
      </c>
      <c r="AB39">
        <f t="shared" ca="1" si="4"/>
        <v>2.2314355075066676</v>
      </c>
      <c r="AC39" s="14">
        <f t="shared" ca="1" si="5"/>
        <v>8.9036362863185836E-2</v>
      </c>
      <c r="AD39">
        <f t="shared" ca="1" si="6"/>
        <v>0.1824355075066677</v>
      </c>
    </row>
    <row r="40" spans="1:30">
      <c r="A40">
        <v>9.1846784166526266E-2</v>
      </c>
      <c r="B40">
        <v>1.155221656928241</v>
      </c>
      <c r="C40">
        <v>1.0238139594113858</v>
      </c>
      <c r="D40">
        <v>0.86580637124837534</v>
      </c>
      <c r="E40">
        <v>-0.64349951410082318</v>
      </c>
      <c r="F40">
        <v>0.18460281753974342</v>
      </c>
      <c r="G40">
        <v>0.1864027642798475</v>
      </c>
      <c r="H40">
        <v>0.89240475709998901</v>
      </c>
      <c r="I40">
        <v>0.91967786555186248</v>
      </c>
      <c r="J40">
        <v>0.58815479602351173</v>
      </c>
      <c r="L40">
        <v>0.84279089858092004</v>
      </c>
      <c r="M40">
        <v>1.5751668115447974</v>
      </c>
      <c r="N40">
        <v>2.8022414828373519</v>
      </c>
      <c r="P40">
        <v>4.7664370240794669E-13</v>
      </c>
      <c r="R40">
        <v>2.574791744766602</v>
      </c>
      <c r="S40">
        <v>2.5761959575841629</v>
      </c>
      <c r="T40">
        <v>1</v>
      </c>
      <c r="U40">
        <v>2.0602256942739356</v>
      </c>
      <c r="W40">
        <f t="shared" ca="1" si="7"/>
        <v>1.4067110141861783</v>
      </c>
      <c r="X40">
        <f t="shared" ca="1" si="8"/>
        <v>0.29674797672183195</v>
      </c>
      <c r="Y40">
        <f t="shared" ca="1" si="9"/>
        <v>4.3966183951681823E-2</v>
      </c>
      <c r="AA40">
        <v>2.0489999999999999</v>
      </c>
      <c r="AB40">
        <f t="shared" ca="1" si="4"/>
        <v>2.0688282644524802</v>
      </c>
      <c r="AC40" s="14">
        <f t="shared" ca="1" si="5"/>
        <v>9.6770446327381077E-3</v>
      </c>
      <c r="AD40">
        <f t="shared" ca="1" si="6"/>
        <v>1.9828264452480315E-2</v>
      </c>
    </row>
    <row r="41" spans="1:30">
      <c r="A41">
        <v>-3.7505442315244573E-2</v>
      </c>
      <c r="B41">
        <v>0.98455578513657538</v>
      </c>
      <c r="C41">
        <v>1.1680904709763382</v>
      </c>
      <c r="D41">
        <v>-0.45983845550345714</v>
      </c>
      <c r="E41">
        <v>0.20857102058365096</v>
      </c>
      <c r="F41">
        <v>6.5920779036700766E-2</v>
      </c>
      <c r="G41">
        <v>0.22052930761428235</v>
      </c>
      <c r="H41">
        <v>0.77123159600736069</v>
      </c>
      <c r="I41">
        <v>0.30050314397858235</v>
      </c>
      <c r="J41">
        <v>0.99687594552185255</v>
      </c>
      <c r="L41">
        <v>0.84279158605563409</v>
      </c>
      <c r="M41">
        <v>1.8919377342266761</v>
      </c>
      <c r="N41">
        <v>3.0887111091821691</v>
      </c>
      <c r="P41">
        <v>1.2216904114303964E-12</v>
      </c>
      <c r="R41">
        <v>6.0429167939989181</v>
      </c>
      <c r="S41">
        <v>6.0546724397063105</v>
      </c>
      <c r="T41">
        <v>1</v>
      </c>
      <c r="U41">
        <v>2.6230787899835941</v>
      </c>
      <c r="W41">
        <f t="shared" ca="1" si="7"/>
        <v>-1.4324455167811427</v>
      </c>
      <c r="X41">
        <f t="shared" ca="1" si="8"/>
        <v>-8.955144201339979E-2</v>
      </c>
      <c r="Y41">
        <f t="shared" ca="1" si="9"/>
        <v>0.34240248118253735</v>
      </c>
      <c r="AA41">
        <v>1.857</v>
      </c>
      <c r="AB41">
        <f t="shared" ca="1" si="4"/>
        <v>2.1771590784330321</v>
      </c>
      <c r="AC41" s="14">
        <f t="shared" ca="1" si="5"/>
        <v>0.17240661197255358</v>
      </c>
      <c r="AD41">
        <f t="shared" ca="1" si="6"/>
        <v>0.32015907843303215</v>
      </c>
    </row>
    <row r="42" spans="1:30">
      <c r="A42">
        <v>-4.8864788922904481E-2</v>
      </c>
      <c r="B42">
        <v>0.98113273703355297</v>
      </c>
      <c r="C42">
        <v>1.1747308840553163</v>
      </c>
      <c r="D42">
        <v>-0.35262507938458337</v>
      </c>
      <c r="E42">
        <v>-0.7921802773712816</v>
      </c>
      <c r="F42">
        <v>0.21248195858191765</v>
      </c>
      <c r="G42">
        <v>6.4413009238457483E-2</v>
      </c>
      <c r="H42">
        <v>0.97980357114531424</v>
      </c>
      <c r="I42">
        <v>7.3002046345126581E-2</v>
      </c>
      <c r="J42">
        <v>0.29125793235158409</v>
      </c>
      <c r="L42">
        <v>0.84279158524860465</v>
      </c>
      <c r="M42">
        <v>1.8919377478526767</v>
      </c>
      <c r="N42">
        <v>3.0887110865246457</v>
      </c>
      <c r="P42">
        <v>1.2021311268625136E-12</v>
      </c>
      <c r="R42">
        <v>6.0429167939989181</v>
      </c>
      <c r="S42">
        <v>6.0546724397063105</v>
      </c>
      <c r="T42">
        <v>1</v>
      </c>
      <c r="U42">
        <v>2.6230787899835941</v>
      </c>
      <c r="W42">
        <f t="shared" ca="1" si="7"/>
        <v>-1.4864737874442886</v>
      </c>
      <c r="X42">
        <f t="shared" ca="1" si="8"/>
        <v>-6.823208933515279E-2</v>
      </c>
      <c r="Y42">
        <f t="shared" ca="1" si="9"/>
        <v>0.40119879759138377</v>
      </c>
      <c r="AA42">
        <v>1.857</v>
      </c>
      <c r="AB42">
        <f t="shared" ca="1" si="4"/>
        <v>2.3752204139627802</v>
      </c>
      <c r="AC42" s="14">
        <f t="shared" ca="1" si="5"/>
        <v>0.27906322776670978</v>
      </c>
      <c r="AD42">
        <f t="shared" ca="1" si="6"/>
        <v>0.51822041396278018</v>
      </c>
    </row>
    <row r="43" spans="1:30">
      <c r="A43">
        <v>-5.049896162201771E-2</v>
      </c>
      <c r="B43">
        <v>0.95382278342437898</v>
      </c>
      <c r="C43">
        <v>1.2355307885850701</v>
      </c>
      <c r="D43">
        <v>0.17372711172661565</v>
      </c>
      <c r="E43">
        <v>5.9392172989922332E-2</v>
      </c>
      <c r="F43">
        <v>-0.88575441350186046</v>
      </c>
      <c r="G43">
        <v>0.92224365611253178</v>
      </c>
      <c r="H43">
        <v>0.11450705606792747</v>
      </c>
      <c r="I43">
        <v>0.95489222639055549</v>
      </c>
      <c r="J43">
        <v>0.76619211830969514</v>
      </c>
      <c r="L43">
        <v>0.84279133881998958</v>
      </c>
      <c r="M43">
        <v>1.8919378854336046</v>
      </c>
      <c r="N43">
        <v>3.0887112430118688</v>
      </c>
      <c r="P43">
        <v>6.9342423071584792E-13</v>
      </c>
      <c r="R43">
        <v>6.0429167939989181</v>
      </c>
      <c r="S43">
        <v>6.0546724397063105</v>
      </c>
      <c r="T43">
        <v>1</v>
      </c>
      <c r="U43">
        <v>2.6230787899835941</v>
      </c>
      <c r="W43">
        <f t="shared" ca="1" si="7"/>
        <v>-1.9207900779707201</v>
      </c>
      <c r="X43">
        <f t="shared" ca="1" si="8"/>
        <v>8.5442425957818438E-2</v>
      </c>
      <c r="Y43">
        <f t="shared" ca="1" si="9"/>
        <v>0.97829173711928064</v>
      </c>
      <c r="AA43">
        <v>1.857</v>
      </c>
      <c r="AB43">
        <f t="shared" ca="1" si="4"/>
        <v>4.6537896547001818</v>
      </c>
      <c r="AC43" s="14">
        <f t="shared" ca="1" si="5"/>
        <v>1.5060795124933666</v>
      </c>
      <c r="AD43">
        <f t="shared" ca="1" si="6"/>
        <v>2.7967896547001816</v>
      </c>
    </row>
    <row r="44" spans="1:30">
      <c r="A44">
        <v>-5.1805360059441252E-2</v>
      </c>
      <c r="B44">
        <v>0.95876635135433175</v>
      </c>
      <c r="C44">
        <v>1.2173543470618204</v>
      </c>
      <c r="D44">
        <v>0.29257243734478222</v>
      </c>
      <c r="E44">
        <v>8.1058638555224383E-2</v>
      </c>
      <c r="F44">
        <v>0.16688456906580393</v>
      </c>
      <c r="G44">
        <v>0.17746400867115003</v>
      </c>
      <c r="H44">
        <v>0.16487054430799961</v>
      </c>
      <c r="I44">
        <v>0.65710945091860296</v>
      </c>
      <c r="J44">
        <v>0.94553694486529183</v>
      </c>
      <c r="L44">
        <v>0.84279146737649224</v>
      </c>
      <c r="M44">
        <v>1.8919378931650348</v>
      </c>
      <c r="N44">
        <v>3.0887111690769791</v>
      </c>
      <c r="P44">
        <v>8.1881514543813362E-13</v>
      </c>
      <c r="R44">
        <v>6.0429167939989181</v>
      </c>
      <c r="S44">
        <v>6.0546724397063105</v>
      </c>
      <c r="T44">
        <v>1</v>
      </c>
      <c r="U44">
        <v>2.6230787899835941</v>
      </c>
      <c r="W44">
        <f t="shared" ca="1" si="7"/>
        <v>-1.4402668296406715</v>
      </c>
      <c r="X44">
        <f t="shared" ca="1" si="8"/>
        <v>5.9023906644303098E-2</v>
      </c>
      <c r="Y44">
        <f t="shared" ca="1" si="9"/>
        <v>0.1414235351101128</v>
      </c>
      <c r="AA44">
        <v>1.857</v>
      </c>
      <c r="AB44">
        <f t="shared" ca="1" si="4"/>
        <v>2.0978529784017881</v>
      </c>
      <c r="AC44" s="14">
        <f t="shared" ca="1" si="5"/>
        <v>0.12970004221959508</v>
      </c>
      <c r="AD44">
        <f t="shared" ca="1" si="6"/>
        <v>0.2408529784017881</v>
      </c>
    </row>
    <row r="45" spans="1:30">
      <c r="A45">
        <v>-4.662920103340578E-2</v>
      </c>
      <c r="B45">
        <v>0.97969979045128064</v>
      </c>
      <c r="C45">
        <v>1.1978767021213017</v>
      </c>
      <c r="D45">
        <v>-0.37150837302675371</v>
      </c>
      <c r="E45">
        <v>-0.11233390372979227</v>
      </c>
      <c r="F45">
        <v>0.4086773657146161</v>
      </c>
      <c r="G45">
        <v>0.96705091030990431</v>
      </c>
      <c r="H45">
        <v>0.94149768974237735</v>
      </c>
      <c r="I45">
        <v>0.68072284857334731</v>
      </c>
      <c r="J45">
        <v>0.8393471659456504</v>
      </c>
      <c r="L45">
        <v>0.84279157211428224</v>
      </c>
      <c r="M45">
        <v>1.8919378619959935</v>
      </c>
      <c r="N45">
        <v>3.0887111335202682</v>
      </c>
      <c r="P45">
        <v>1.0017240111378391E-12</v>
      </c>
      <c r="R45">
        <v>6.0429167939989181</v>
      </c>
      <c r="S45">
        <v>6.0546724397063105</v>
      </c>
      <c r="T45">
        <v>1</v>
      </c>
      <c r="U45">
        <v>2.6230787899835941</v>
      </c>
      <c r="W45">
        <f t="shared" ca="1" si="7"/>
        <v>-1.4447780680968423</v>
      </c>
      <c r="X45">
        <f t="shared" ca="1" si="8"/>
        <v>0.11593423978987011</v>
      </c>
      <c r="Y45">
        <f t="shared" ca="1" si="9"/>
        <v>7.7992415821479394E-2</v>
      </c>
      <c r="AA45">
        <v>1.857</v>
      </c>
      <c r="AB45">
        <f t="shared" ca="1" si="4"/>
        <v>2.1069072309349695</v>
      </c>
      <c r="AC45" s="14">
        <f t="shared" ca="1" si="5"/>
        <v>0.13457578402529324</v>
      </c>
      <c r="AD45">
        <f t="shared" ca="1" si="6"/>
        <v>0.24990723093496947</v>
      </c>
    </row>
    <row r="46" spans="1:30">
      <c r="A46">
        <v>-4.8130830008172726E-2</v>
      </c>
      <c r="B46">
        <v>0.97550179261337389</v>
      </c>
      <c r="C46">
        <v>1.2121175672683782</v>
      </c>
      <c r="D46">
        <v>0.42764509002129864</v>
      </c>
      <c r="E46">
        <v>-0.14911920237017873</v>
      </c>
      <c r="F46">
        <v>0.6749947328370518</v>
      </c>
      <c r="G46">
        <v>0.75086560181920337</v>
      </c>
      <c r="H46">
        <v>0.83918591890108418</v>
      </c>
      <c r="I46">
        <v>6.7324252948249119E-2</v>
      </c>
      <c r="J46">
        <v>0.51059465686553307</v>
      </c>
      <c r="L46">
        <v>0.84279151236410643</v>
      </c>
      <c r="M46">
        <v>1.8919378977073564</v>
      </c>
      <c r="N46">
        <v>3.0887111860963414</v>
      </c>
      <c r="P46">
        <v>8.6853668848760019E-13</v>
      </c>
      <c r="R46">
        <v>6.0429167939989181</v>
      </c>
      <c r="S46">
        <v>6.0546724397063105</v>
      </c>
      <c r="T46">
        <v>1</v>
      </c>
      <c r="U46">
        <v>2.6230787899835941</v>
      </c>
      <c r="W46">
        <f t="shared" ca="1" si="7"/>
        <v>-1.4162973217787655</v>
      </c>
      <c r="X46">
        <f t="shared" ca="1" si="8"/>
        <v>0.11546391008258865</v>
      </c>
      <c r="Y46">
        <f t="shared" ca="1" si="9"/>
        <v>2.9350500234912508E-2</v>
      </c>
      <c r="AA46">
        <v>1.857</v>
      </c>
      <c r="AB46">
        <f t="shared" ca="1" si="4"/>
        <v>2.0200914700733041</v>
      </c>
      <c r="AC46" s="14">
        <f t="shared" ca="1" si="5"/>
        <v>8.7825239673292588E-2</v>
      </c>
      <c r="AD46">
        <f t="shared" ca="1" si="6"/>
        <v>0.16309147007330416</v>
      </c>
    </row>
    <row r="47" spans="1:30">
      <c r="A47">
        <v>-4.028505280158149E-2</v>
      </c>
      <c r="B47">
        <v>0.97268031165805169</v>
      </c>
      <c r="C47">
        <v>1.1976758028997774</v>
      </c>
      <c r="D47">
        <v>0.16523788914301918</v>
      </c>
      <c r="E47">
        <v>0.63066431999673045</v>
      </c>
      <c r="F47">
        <v>0.14075349423187777</v>
      </c>
      <c r="G47">
        <v>0.24192120256243912</v>
      </c>
      <c r="H47">
        <v>0.30750669799621527</v>
      </c>
      <c r="I47">
        <v>0.29053991201191148</v>
      </c>
      <c r="J47">
        <v>0.94449341113916485</v>
      </c>
      <c r="L47">
        <v>0.84279155919212545</v>
      </c>
      <c r="M47">
        <v>1.8919378900763457</v>
      </c>
      <c r="N47">
        <v>3.0887111404046927</v>
      </c>
      <c r="P47">
        <v>9.4403047299574909E-13</v>
      </c>
      <c r="R47">
        <v>6.0429167939989181</v>
      </c>
      <c r="S47">
        <v>6.0546724397063105</v>
      </c>
      <c r="T47">
        <v>1</v>
      </c>
      <c r="U47">
        <v>2.6230787899835941</v>
      </c>
      <c r="W47">
        <f t="shared" ref="W47:W70" ca="1" si="10">MEDIAN(OFFSET(A$11,(ROW(A37)-1)*$W$7,0,$W$7,1))</f>
        <v>-1.469696962615342</v>
      </c>
      <c r="X47">
        <f t="shared" ref="X47:X70" ca="1" si="11">MEDIAN(OFFSET(B$11,(ROW(B37)-1)*$W$7,0,$W$7,1))</f>
        <v>-8.383672637059511E-2</v>
      </c>
      <c r="Y47">
        <f t="shared" ref="Y47:Y70" ca="1" si="12">MEDIAN(OFFSET(C$11,(ROW(C37)-1)*$W$7,0,$W$7,1))</f>
        <v>1.5502427227510402</v>
      </c>
      <c r="AA47">
        <v>1.857</v>
      </c>
      <c r="AB47">
        <f t="shared" ca="1" si="4"/>
        <v>4.570290258051859</v>
      </c>
      <c r="AC47" s="14">
        <f t="shared" ca="1" si="5"/>
        <v>1.4611148400925464</v>
      </c>
      <c r="AD47">
        <f t="shared" ca="1" si="6"/>
        <v>2.7132902580518587</v>
      </c>
    </row>
    <row r="48" spans="1:30">
      <c r="A48">
        <v>-4.4476615031078151E-2</v>
      </c>
      <c r="B48">
        <v>0.98335947892272413</v>
      </c>
      <c r="C48">
        <v>1.1716066434567387</v>
      </c>
      <c r="D48">
        <v>-0.16100123637549696</v>
      </c>
      <c r="E48">
        <v>-0.24379565707872791</v>
      </c>
      <c r="F48">
        <v>0.26259333680514763</v>
      </c>
      <c r="G48">
        <v>3.8890307430536987E-2</v>
      </c>
      <c r="H48">
        <v>0.99066521280646935</v>
      </c>
      <c r="I48">
        <v>0.16410362764367689</v>
      </c>
      <c r="J48">
        <v>0.4567684924126269</v>
      </c>
      <c r="L48">
        <v>0.84279155822237817</v>
      </c>
      <c r="M48">
        <v>1.8919377165859379</v>
      </c>
      <c r="N48">
        <v>3.0887111177979061</v>
      </c>
      <c r="P48">
        <v>1.2107468519150417E-12</v>
      </c>
      <c r="R48">
        <v>6.0429167939989181</v>
      </c>
      <c r="S48">
        <v>6.0546724397063105</v>
      </c>
      <c r="T48">
        <v>1</v>
      </c>
      <c r="U48">
        <v>2.6230787899835941</v>
      </c>
      <c r="W48">
        <f t="shared" ca="1" si="10"/>
        <v>-1.4170812788392864</v>
      </c>
      <c r="X48">
        <f t="shared" ca="1" si="11"/>
        <v>-8.9634406310066139E-2</v>
      </c>
      <c r="Y48">
        <f t="shared" ca="1" si="12"/>
        <v>-0.35419420698744386</v>
      </c>
      <c r="AA48">
        <v>1.857</v>
      </c>
      <c r="AB48">
        <f t="shared" ca="1" si="4"/>
        <v>2.1416072138948095</v>
      </c>
      <c r="AC48" s="14">
        <f t="shared" ca="1" si="5"/>
        <v>0.15326182762240692</v>
      </c>
      <c r="AD48">
        <f t="shared" ca="1" si="6"/>
        <v>0.28460721389480947</v>
      </c>
    </row>
    <row r="49" spans="1:30">
      <c r="A49">
        <v>-5.1432494000636174E-2</v>
      </c>
      <c r="B49">
        <v>0.98076879749128898</v>
      </c>
      <c r="C49">
        <v>1.1870126373216827</v>
      </c>
      <c r="D49">
        <v>-0.69297805190283845</v>
      </c>
      <c r="E49">
        <v>-0.61557949849151461</v>
      </c>
      <c r="F49">
        <v>1.3908154789872408E-2</v>
      </c>
      <c r="G49">
        <v>0.64912023785691098</v>
      </c>
      <c r="H49">
        <v>1.0154602902616112</v>
      </c>
      <c r="I49">
        <v>0.67536984449247006</v>
      </c>
      <c r="J49">
        <v>0.14676804697148671</v>
      </c>
      <c r="L49">
        <v>0.84279151579864087</v>
      </c>
      <c r="M49">
        <v>1.8919377510171997</v>
      </c>
      <c r="N49">
        <v>3.0887111582838069</v>
      </c>
      <c r="P49">
        <v>1.0921277438924007E-12</v>
      </c>
      <c r="R49">
        <v>6.0429167939989181</v>
      </c>
      <c r="S49">
        <v>6.0546724397063105</v>
      </c>
      <c r="T49">
        <v>1</v>
      </c>
      <c r="U49">
        <v>2.6230787899835941</v>
      </c>
      <c r="W49">
        <f t="shared" ca="1" si="10"/>
        <v>-1.4952158647295226</v>
      </c>
      <c r="X49">
        <f t="shared" ca="1" si="11"/>
        <v>-6.3063173619721816E-2</v>
      </c>
      <c r="Y49">
        <f t="shared" ca="1" si="12"/>
        <v>-0.14908445483377611</v>
      </c>
      <c r="AA49">
        <v>1.857</v>
      </c>
      <c r="AB49">
        <f t="shared" ca="1" si="4"/>
        <v>2.2618736206789296</v>
      </c>
      <c r="AC49" s="14">
        <f t="shared" ca="1" si="5"/>
        <v>0.21802564387664503</v>
      </c>
      <c r="AD49">
        <f t="shared" ca="1" si="6"/>
        <v>0.40487362067892962</v>
      </c>
    </row>
    <row r="50" spans="1:30">
      <c r="A50">
        <v>-3.7874879432898793E-2</v>
      </c>
      <c r="B50">
        <v>0.98307324075852731</v>
      </c>
      <c r="C50">
        <v>1.1759102169703661</v>
      </c>
      <c r="D50">
        <v>-7.9803081700845935E-2</v>
      </c>
      <c r="E50">
        <v>0.60617101977860532</v>
      </c>
      <c r="F50">
        <v>-0.43640164957238653</v>
      </c>
      <c r="G50">
        <v>0.34681897125422334</v>
      </c>
      <c r="H50">
        <v>0.890740822206736</v>
      </c>
      <c r="I50">
        <v>0.58504779768581816</v>
      </c>
      <c r="J50">
        <v>0.4631067307512996</v>
      </c>
      <c r="L50">
        <v>0.84279161345876374</v>
      </c>
      <c r="M50">
        <v>1.8919377640356694</v>
      </c>
      <c r="N50">
        <v>3.0887110580099968</v>
      </c>
      <c r="P50">
        <v>1.2239543486918388E-12</v>
      </c>
      <c r="R50">
        <v>6.0429167939989181</v>
      </c>
      <c r="S50">
        <v>6.0546724397063105</v>
      </c>
      <c r="T50">
        <v>1</v>
      </c>
      <c r="U50">
        <v>2.6230787899835941</v>
      </c>
      <c r="W50">
        <f t="shared" ca="1" si="10"/>
        <v>-1.4394473755900756</v>
      </c>
      <c r="X50">
        <f t="shared" ca="1" si="11"/>
        <v>6.6572220428314247E-2</v>
      </c>
      <c r="Y50">
        <f t="shared" ca="1" si="12"/>
        <v>-1.6844465632654772E-2</v>
      </c>
      <c r="AA50">
        <v>1.857</v>
      </c>
      <c r="AB50">
        <f t="shared" ca="1" si="4"/>
        <v>2.0767243436483618</v>
      </c>
      <c r="AC50" s="14">
        <f t="shared" ca="1" si="5"/>
        <v>0.11832220982679686</v>
      </c>
      <c r="AD50">
        <f t="shared" ca="1" si="6"/>
        <v>0.2197243436483618</v>
      </c>
    </row>
    <row r="51" spans="1:30">
      <c r="A51">
        <v>-0.47297908001906053</v>
      </c>
      <c r="B51">
        <v>1.1272464235234945</v>
      </c>
      <c r="C51">
        <v>1.7794815223613611</v>
      </c>
      <c r="D51">
        <v>-0.20979468104651616</v>
      </c>
      <c r="E51">
        <v>0.4331663845772486</v>
      </c>
      <c r="F51">
        <v>-0.2723985839198596</v>
      </c>
      <c r="G51">
        <v>0</v>
      </c>
      <c r="H51">
        <v>0.16779259726058174</v>
      </c>
      <c r="I51">
        <v>0</v>
      </c>
      <c r="J51">
        <v>0.23696842476351956</v>
      </c>
      <c r="L51">
        <v>0.842788094989812</v>
      </c>
      <c r="M51">
        <v>1.8919399495867102</v>
      </c>
      <c r="N51">
        <v>2.8022407183138305</v>
      </c>
      <c r="P51">
        <v>1.1389151287229168E-11</v>
      </c>
      <c r="R51">
        <v>17.744699360444759</v>
      </c>
      <c r="S51">
        <v>18.020767054039418</v>
      </c>
      <c r="T51">
        <v>1</v>
      </c>
      <c r="U51">
        <v>2.3879876994860578</v>
      </c>
      <c r="W51">
        <f t="shared" ca="1" si="10"/>
        <v>1.0869775197552516</v>
      </c>
      <c r="X51">
        <f t="shared" ca="1" si="11"/>
        <v>-1.0336545318088279</v>
      </c>
      <c r="Y51">
        <f t="shared" ca="1" si="12"/>
        <v>0.24089167223932009</v>
      </c>
      <c r="AA51">
        <v>1.762</v>
      </c>
      <c r="AB51">
        <f t="shared" ca="1" si="4"/>
        <v>2.3079906173364617</v>
      </c>
      <c r="AC51" s="14">
        <f t="shared" ca="1" si="5"/>
        <v>0.30986981687653903</v>
      </c>
      <c r="AD51">
        <f t="shared" ca="1" si="6"/>
        <v>0.5459906173364617</v>
      </c>
    </row>
    <row r="52" spans="1:30">
      <c r="A52">
        <v>-0.47122304929400566</v>
      </c>
      <c r="B52">
        <v>1.1275005818289541</v>
      </c>
      <c r="C52">
        <v>1.7865483962661477</v>
      </c>
      <c r="D52">
        <v>-0.13845400900483593</v>
      </c>
      <c r="E52">
        <v>0.22039813757131593</v>
      </c>
      <c r="F52">
        <v>-0.14596588451181883</v>
      </c>
      <c r="G52">
        <v>0.60347037377143553</v>
      </c>
      <c r="H52">
        <v>0.47143359020576858</v>
      </c>
      <c r="I52">
        <v>9.7854796423817822E-2</v>
      </c>
      <c r="J52">
        <v>0.92122863181546966</v>
      </c>
      <c r="L52">
        <v>0.84278822568007239</v>
      </c>
      <c r="M52">
        <v>1.8919401884785287</v>
      </c>
      <c r="N52">
        <v>2.8022408760614361</v>
      </c>
      <c r="P52">
        <v>1.1000039864257953E-11</v>
      </c>
      <c r="R52">
        <v>17.744699360444759</v>
      </c>
      <c r="S52">
        <v>18.020767054039418</v>
      </c>
      <c r="T52">
        <v>1</v>
      </c>
      <c r="U52">
        <v>2.3879876994860578</v>
      </c>
      <c r="W52">
        <f t="shared" ca="1" si="10"/>
        <v>0.98502313684366061</v>
      </c>
      <c r="X52">
        <f t="shared" ca="1" si="11"/>
        <v>-1.1366210240406105</v>
      </c>
      <c r="Y52">
        <f t="shared" ca="1" si="12"/>
        <v>0.38629735509065199</v>
      </c>
      <c r="AA52">
        <v>1.762</v>
      </c>
      <c r="AB52">
        <f t="shared" ca="1" si="4"/>
        <v>2.4114035789584842</v>
      </c>
      <c r="AC52" s="14">
        <f t="shared" ca="1" si="5"/>
        <v>0.36856048749062675</v>
      </c>
      <c r="AD52">
        <f t="shared" ca="1" si="6"/>
        <v>0.64940357895848422</v>
      </c>
    </row>
    <row r="53" spans="1:30">
      <c r="A53">
        <v>-0.50162743384458697</v>
      </c>
      <c r="B53">
        <v>1.1323940079732824</v>
      </c>
      <c r="C53">
        <v>1.8233851622675885</v>
      </c>
      <c r="D53">
        <v>-0.23012253877123831</v>
      </c>
      <c r="E53">
        <v>6.5844253424297311E-2</v>
      </c>
      <c r="F53">
        <v>-6.8346625888994303E-2</v>
      </c>
      <c r="G53">
        <v>0.67515688752196268</v>
      </c>
      <c r="H53">
        <v>0.6293105490232408</v>
      </c>
      <c r="I53">
        <v>0.64667757448334984</v>
      </c>
      <c r="J53">
        <v>0.33767727417845916</v>
      </c>
      <c r="L53">
        <v>0.84278819198802912</v>
      </c>
      <c r="M53">
        <v>1.8919400749631987</v>
      </c>
      <c r="N53">
        <v>2.8022408501942442</v>
      </c>
      <c r="P53">
        <v>1.0886086865268203E-11</v>
      </c>
      <c r="R53">
        <v>17.744699360444759</v>
      </c>
      <c r="S53">
        <v>18.020767054039418</v>
      </c>
      <c r="T53">
        <v>1</v>
      </c>
      <c r="U53">
        <v>2.3879876994860578</v>
      </c>
      <c r="W53">
        <f t="shared" ca="1" si="10"/>
        <v>1.1771796130112451</v>
      </c>
      <c r="X53">
        <f t="shared" ca="1" si="11"/>
        <v>-0.94432406493049093</v>
      </c>
      <c r="Y53">
        <f t="shared" ca="1" si="12"/>
        <v>0.13248013052350055</v>
      </c>
      <c r="AA53">
        <v>1.762</v>
      </c>
      <c r="AB53">
        <f t="shared" ca="1" si="4"/>
        <v>2.2950507658796742</v>
      </c>
      <c r="AC53" s="14">
        <f t="shared" ca="1" si="5"/>
        <v>0.30252597382501367</v>
      </c>
      <c r="AD53">
        <f t="shared" ca="1" si="6"/>
        <v>0.53305076587967415</v>
      </c>
    </row>
    <row r="54" spans="1:30">
      <c r="A54">
        <v>-0.47434474365698526</v>
      </c>
      <c r="B54">
        <v>1.1237730542862561</v>
      </c>
      <c r="C54">
        <v>1.778354838519113</v>
      </c>
      <c r="D54">
        <v>-0.3194325551363898</v>
      </c>
      <c r="E54">
        <v>0.18232438287216801</v>
      </c>
      <c r="F54">
        <v>-0.37468587578317536</v>
      </c>
      <c r="G54">
        <v>0.26748473200958428</v>
      </c>
      <c r="H54">
        <v>0.44492029112470699</v>
      </c>
      <c r="I54">
        <v>0.52674893822541757</v>
      </c>
      <c r="J54">
        <v>0.84874391740411637</v>
      </c>
      <c r="L54">
        <v>0.84278836858644479</v>
      </c>
      <c r="M54">
        <v>1.8919402989840119</v>
      </c>
      <c r="N54">
        <v>2.8022408464194108</v>
      </c>
      <c r="P54">
        <v>1.0707714153105984E-11</v>
      </c>
      <c r="R54">
        <v>17.744699360444759</v>
      </c>
      <c r="S54">
        <v>18.020767054039418</v>
      </c>
      <c r="T54">
        <v>1</v>
      </c>
      <c r="U54">
        <v>2.3879876994860578</v>
      </c>
      <c r="W54">
        <f t="shared" ca="1" si="10"/>
        <v>1.0377226359195231</v>
      </c>
      <c r="X54">
        <f t="shared" ca="1" si="11"/>
        <v>-1.0050712286420431</v>
      </c>
      <c r="Y54">
        <f t="shared" ca="1" si="12"/>
        <v>0.11852701242526675</v>
      </c>
      <c r="AA54">
        <v>1.762</v>
      </c>
      <c r="AB54">
        <f t="shared" ca="1" si="4"/>
        <v>2.1010850964182484</v>
      </c>
      <c r="AC54" s="14">
        <f t="shared" ca="1" si="5"/>
        <v>0.19244330103192309</v>
      </c>
      <c r="AD54">
        <f t="shared" ca="1" si="6"/>
        <v>0.33908509641824836</v>
      </c>
    </row>
    <row r="55" spans="1:30">
      <c r="A55">
        <v>-0.50394015993173003</v>
      </c>
      <c r="B55">
        <v>1.1276115288457023</v>
      </c>
      <c r="C55">
        <v>1.8176233090691716</v>
      </c>
      <c r="D55">
        <v>0.4252400783987732</v>
      </c>
      <c r="E55">
        <v>-0.6853338271679259</v>
      </c>
      <c r="F55">
        <v>-0.18858623379353262</v>
      </c>
      <c r="G55">
        <v>0.55088786907841136</v>
      </c>
      <c r="H55">
        <v>1.2318376624963223</v>
      </c>
      <c r="I55">
        <v>0.57911819120635011</v>
      </c>
      <c r="J55">
        <v>0.68443137190258496</v>
      </c>
      <c r="L55">
        <v>0.84278828961928165</v>
      </c>
      <c r="M55">
        <v>1.8919401696703673</v>
      </c>
      <c r="N55">
        <v>2.802240882706867</v>
      </c>
      <c r="P55">
        <v>1.059029390443218E-11</v>
      </c>
      <c r="R55">
        <v>17.744699360444759</v>
      </c>
      <c r="S55">
        <v>18.020767054039418</v>
      </c>
      <c r="T55">
        <v>1</v>
      </c>
      <c r="U55">
        <v>2.3879876994860578</v>
      </c>
      <c r="W55">
        <f t="shared" ca="1" si="10"/>
        <v>0.89471978473538682</v>
      </c>
      <c r="X55">
        <f t="shared" ca="1" si="11"/>
        <v>-0.93545400846734983</v>
      </c>
      <c r="Y55">
        <f t="shared" ca="1" si="12"/>
        <v>-0.24119788919211557</v>
      </c>
      <c r="AA55">
        <v>1.762</v>
      </c>
      <c r="AB55">
        <f t="shared" ca="1" si="4"/>
        <v>1.7337741169053018</v>
      </c>
      <c r="AC55" s="14">
        <f t="shared" ca="1" si="5"/>
        <v>1.6019229906185095E-2</v>
      </c>
      <c r="AD55">
        <f t="shared" ca="1" si="6"/>
        <v>2.8225883094698201E-2</v>
      </c>
    </row>
    <row r="56" spans="1:30">
      <c r="A56">
        <v>-0.47623636163917338</v>
      </c>
      <c r="B56">
        <v>1.1313512806854251</v>
      </c>
      <c r="C56">
        <v>1.7810614246066754</v>
      </c>
      <c r="D56">
        <v>-0.52545368715967677</v>
      </c>
      <c r="E56">
        <v>0.38666656330689514</v>
      </c>
      <c r="F56">
        <v>3.7131532329720718E-2</v>
      </c>
      <c r="G56">
        <v>0.61597323661146142</v>
      </c>
      <c r="H56">
        <v>0.65027186832297557</v>
      </c>
      <c r="I56">
        <v>0.7327627510972734</v>
      </c>
      <c r="J56">
        <v>0.63496411668558717</v>
      </c>
      <c r="L56">
        <v>0.84278822592082447</v>
      </c>
      <c r="M56">
        <v>1.8919401153215292</v>
      </c>
      <c r="N56">
        <v>2.8022408801769774</v>
      </c>
      <c r="P56">
        <v>1.0757277446132274E-11</v>
      </c>
      <c r="R56">
        <v>17.744699360444759</v>
      </c>
      <c r="S56">
        <v>18.020767054039418</v>
      </c>
      <c r="T56">
        <v>1</v>
      </c>
      <c r="U56">
        <v>2.3879876994860578</v>
      </c>
      <c r="W56">
        <f t="shared" ca="1" si="10"/>
        <v>1.0624429035201952</v>
      </c>
      <c r="X56">
        <f t="shared" ca="1" si="11"/>
        <v>-0.94082671580600774</v>
      </c>
      <c r="Y56">
        <f t="shared" ca="1" si="12"/>
        <v>-1.1484774829471913E-2</v>
      </c>
      <c r="AA56">
        <v>1.762</v>
      </c>
      <c r="AB56">
        <f t="shared" ca="1" si="4"/>
        <v>2.0140717324676252</v>
      </c>
      <c r="AC56" s="14">
        <f t="shared" ca="1" si="5"/>
        <v>0.14306000707583721</v>
      </c>
      <c r="AD56">
        <f t="shared" ca="1" si="6"/>
        <v>0.25207173246762515</v>
      </c>
    </row>
    <row r="57" spans="1:30">
      <c r="A57">
        <v>-0.48288411154379141</v>
      </c>
      <c r="B57">
        <v>1.1270668648204898</v>
      </c>
      <c r="C57">
        <v>1.7941874767060442</v>
      </c>
      <c r="D57">
        <v>-0.41083417815706785</v>
      </c>
      <c r="E57">
        <v>-0.11441474523773738</v>
      </c>
      <c r="F57">
        <v>-0.46933980569999212</v>
      </c>
      <c r="G57">
        <v>0.72780857936193688</v>
      </c>
      <c r="H57">
        <v>0.68383342957360693</v>
      </c>
      <c r="I57">
        <v>0.64786572900630501</v>
      </c>
      <c r="J57">
        <v>0.82892208147323709</v>
      </c>
      <c r="L57">
        <v>0.84278817950142859</v>
      </c>
      <c r="M57">
        <v>1.8919400500205723</v>
      </c>
      <c r="N57">
        <v>2.802240816410781</v>
      </c>
      <c r="P57">
        <v>1.0961524582754921E-11</v>
      </c>
      <c r="R57">
        <v>17.744699360444759</v>
      </c>
      <c r="S57">
        <v>18.020767054039418</v>
      </c>
      <c r="T57">
        <v>1</v>
      </c>
      <c r="U57">
        <v>2.3879876994860578</v>
      </c>
      <c r="W57">
        <f t="shared" ca="1" si="10"/>
        <v>1.0079319486366787</v>
      </c>
      <c r="X57">
        <f t="shared" ca="1" si="11"/>
        <v>-1.1407046279895243</v>
      </c>
      <c r="Y57">
        <f t="shared" ca="1" si="12"/>
        <v>1.7300139043835792</v>
      </c>
      <c r="AA57">
        <v>1.762</v>
      </c>
      <c r="AB57">
        <f t="shared" ca="1" si="4"/>
        <v>5.310081970759768</v>
      </c>
      <c r="AC57" s="14">
        <f t="shared" ca="1" si="5"/>
        <v>2.0136674067876097</v>
      </c>
      <c r="AD57">
        <f t="shared" ca="1" si="6"/>
        <v>3.5480819707597679</v>
      </c>
    </row>
    <row r="58" spans="1:30">
      <c r="A58">
        <v>-0.47456886514638902</v>
      </c>
      <c r="B58">
        <v>1.1271781755820776</v>
      </c>
      <c r="C58">
        <v>1.7877322475003148</v>
      </c>
      <c r="D58">
        <v>-0.71176637540047516</v>
      </c>
      <c r="E58">
        <v>-0.231072281931545</v>
      </c>
      <c r="F58">
        <v>-0.78184760759430483</v>
      </c>
      <c r="G58">
        <v>0.74673670509405221</v>
      </c>
      <c r="H58">
        <v>0.34407203088859523</v>
      </c>
      <c r="I58">
        <v>0.133698114309619</v>
      </c>
      <c r="J58">
        <v>0.63825830217443902</v>
      </c>
      <c r="L58">
        <v>0.84278833986939627</v>
      </c>
      <c r="M58">
        <v>1.8919403032075277</v>
      </c>
      <c r="N58">
        <v>2.8022408079565841</v>
      </c>
      <c r="P58">
        <v>1.0961611645761425E-11</v>
      </c>
      <c r="R58">
        <v>17.744699360444759</v>
      </c>
      <c r="S58">
        <v>18.020767054039418</v>
      </c>
      <c r="T58">
        <v>1</v>
      </c>
      <c r="U58">
        <v>2.3879876994860578</v>
      </c>
      <c r="W58">
        <f t="shared" ca="1" si="10"/>
        <v>1.0961208206699322</v>
      </c>
      <c r="X58">
        <f t="shared" ca="1" si="11"/>
        <v>-1.0207369436030831</v>
      </c>
      <c r="Y58">
        <f t="shared" ca="1" si="12"/>
        <v>3.4099438954992437E-3</v>
      </c>
      <c r="AA58">
        <v>1.762</v>
      </c>
      <c r="AB58">
        <f t="shared" ca="1" si="4"/>
        <v>2.2433963892596598</v>
      </c>
      <c r="AC58" s="14">
        <f t="shared" ca="1" si="5"/>
        <v>0.27321020956847897</v>
      </c>
      <c r="AD58">
        <f t="shared" ca="1" si="6"/>
        <v>0.48139638925965977</v>
      </c>
    </row>
    <row r="59" spans="1:30">
      <c r="A59">
        <v>-0.43116945878732416</v>
      </c>
      <c r="B59">
        <v>1.1335902030702898</v>
      </c>
      <c r="C59">
        <v>1.7095037166736835</v>
      </c>
      <c r="D59">
        <v>-0.40425684450868637</v>
      </c>
      <c r="E59">
        <v>4.3925497573298854E-2</v>
      </c>
      <c r="F59">
        <v>-0.11645887600591927</v>
      </c>
      <c r="G59">
        <v>0.8033907239245901</v>
      </c>
      <c r="H59">
        <v>1.2761543136672644</v>
      </c>
      <c r="I59">
        <v>0</v>
      </c>
      <c r="J59">
        <v>0.74152964707277091</v>
      </c>
      <c r="L59">
        <v>0.84278878825106807</v>
      </c>
      <c r="M59">
        <v>1.891939964119018</v>
      </c>
      <c r="N59">
        <v>2.8022397137514439</v>
      </c>
      <c r="P59">
        <v>1.178013948137798E-11</v>
      </c>
      <c r="R59">
        <v>17.744699360444759</v>
      </c>
      <c r="S59">
        <v>18.020767054039418</v>
      </c>
      <c r="T59">
        <v>1</v>
      </c>
      <c r="U59">
        <v>2.3879876994860578</v>
      </c>
      <c r="W59">
        <f t="shared" ca="1" si="10"/>
        <v>0.98750601512058744</v>
      </c>
      <c r="X59">
        <f t="shared" ca="1" si="11"/>
        <v>-1.117914831613033</v>
      </c>
      <c r="Y59">
        <f t="shared" ca="1" si="12"/>
        <v>-0.17487607653912063</v>
      </c>
      <c r="AA59">
        <v>1.762</v>
      </c>
      <c r="AB59">
        <f t="shared" ca="1" si="4"/>
        <v>2.2554833427854541</v>
      </c>
      <c r="AC59" s="14">
        <f t="shared" ca="1" si="5"/>
        <v>0.28007000158084794</v>
      </c>
      <c r="AD59">
        <f t="shared" ca="1" si="6"/>
        <v>0.49348334278545414</v>
      </c>
    </row>
    <row r="60" spans="1:30">
      <c r="A60">
        <v>-0.44764342496411041</v>
      </c>
      <c r="B60">
        <v>1.1281810455355472</v>
      </c>
      <c r="C60">
        <v>1.7435408800517034</v>
      </c>
      <c r="D60">
        <v>0.10241898799418528</v>
      </c>
      <c r="E60">
        <v>0.77760650256674968</v>
      </c>
      <c r="F60">
        <v>-0.64551097804751434</v>
      </c>
      <c r="G60">
        <v>0.26223680905009439</v>
      </c>
      <c r="H60">
        <v>0.68372432483532453</v>
      </c>
      <c r="I60">
        <v>0.10695932894733325</v>
      </c>
      <c r="J60">
        <v>0.27812726004879279</v>
      </c>
      <c r="L60">
        <v>0.84278821764190326</v>
      </c>
      <c r="M60">
        <v>1.891940135281593</v>
      </c>
      <c r="N60">
        <v>2.8022408162728714</v>
      </c>
      <c r="P60">
        <v>1.1018454219694953E-11</v>
      </c>
      <c r="R60">
        <v>17.744699360444759</v>
      </c>
      <c r="S60">
        <v>18.020767054039418</v>
      </c>
      <c r="T60">
        <v>1</v>
      </c>
      <c r="U60">
        <v>2.3879876994860578</v>
      </c>
      <c r="W60">
        <f t="shared" ca="1" si="10"/>
        <v>1.040071484024131</v>
      </c>
      <c r="X60">
        <f t="shared" ca="1" si="11"/>
        <v>-0.99138695757947204</v>
      </c>
      <c r="Y60">
        <f t="shared" ca="1" si="12"/>
        <v>-6.6454731521923646E-2</v>
      </c>
      <c r="AA60">
        <v>1.762</v>
      </c>
      <c r="AB60">
        <f t="shared" ca="1" si="4"/>
        <v>2.0690130228804913</v>
      </c>
      <c r="AC60" s="14">
        <f t="shared" ca="1" si="5"/>
        <v>0.17424121616372945</v>
      </c>
      <c r="AD60">
        <f t="shared" ca="1" si="6"/>
        <v>0.30701302288049126</v>
      </c>
    </row>
    <row r="61" spans="1:30">
      <c r="A61">
        <v>0.15417765345504353</v>
      </c>
      <c r="B61">
        <v>1.1652555179133084</v>
      </c>
      <c r="C61">
        <v>0.96338762147562751</v>
      </c>
      <c r="D61">
        <v>0.45955393782395287</v>
      </c>
      <c r="E61">
        <v>2.3660681718398937E-3</v>
      </c>
      <c r="F61">
        <v>0.62912949396710638</v>
      </c>
      <c r="G61">
        <v>0.80536752654268262</v>
      </c>
      <c r="H61">
        <v>0.4353311647310672</v>
      </c>
      <c r="I61">
        <v>0.9841536792754596</v>
      </c>
      <c r="J61">
        <v>0.67790856508018371</v>
      </c>
      <c r="L61">
        <v>0.84279060519030102</v>
      </c>
      <c r="M61">
        <v>3.0887101808963995</v>
      </c>
      <c r="N61">
        <v>2.8022411187946648</v>
      </c>
      <c r="P61">
        <v>1.9755889971339649E-12</v>
      </c>
      <c r="R61">
        <v>3.879698490595195</v>
      </c>
      <c r="S61">
        <v>3.8811004351956018</v>
      </c>
      <c r="T61">
        <v>1</v>
      </c>
      <c r="U61">
        <v>2.409062993440434</v>
      </c>
      <c r="W61">
        <f t="shared" ca="1" si="10"/>
        <v>0.10835364775356342</v>
      </c>
      <c r="X61">
        <f t="shared" ca="1" si="11"/>
        <v>-1.2102951645249851</v>
      </c>
      <c r="Y61">
        <f t="shared" ca="1" si="12"/>
        <v>0.9774786627582579</v>
      </c>
      <c r="AA61">
        <v>1.51</v>
      </c>
      <c r="AB61">
        <f t="shared" ca="1" si="4"/>
        <v>2.4320194344017363</v>
      </c>
      <c r="AC61" s="14">
        <f t="shared" ca="1" si="5"/>
        <v>0.61060889695479226</v>
      </c>
      <c r="AD61">
        <f t="shared" ca="1" si="6"/>
        <v>0.92201943440173628</v>
      </c>
    </row>
    <row r="62" spans="1:30">
      <c r="A62">
        <v>0.14152724348775994</v>
      </c>
      <c r="B62">
        <v>1.1582234723024658</v>
      </c>
      <c r="C62">
        <v>0.96868898214743471</v>
      </c>
      <c r="D62">
        <v>-5.6872375135373798E-2</v>
      </c>
      <c r="E62">
        <v>-0.28113545526718103</v>
      </c>
      <c r="F62">
        <v>-0.39948546494283876</v>
      </c>
      <c r="G62">
        <v>0.7222406942121673</v>
      </c>
      <c r="H62">
        <v>0.40230822247675568</v>
      </c>
      <c r="I62">
        <v>0.43572646791949282</v>
      </c>
      <c r="J62">
        <v>0.61709864296335448</v>
      </c>
      <c r="L62">
        <v>0.84279032044469415</v>
      </c>
      <c r="M62">
        <v>3.0887103076963491</v>
      </c>
      <c r="N62">
        <v>2.8022410098122097</v>
      </c>
      <c r="P62">
        <v>2.1826094373407954E-12</v>
      </c>
      <c r="R62">
        <v>3.879698490595195</v>
      </c>
      <c r="S62">
        <v>3.8811004351956018</v>
      </c>
      <c r="T62">
        <v>1</v>
      </c>
      <c r="U62">
        <v>2.409062993440434</v>
      </c>
      <c r="W62">
        <f t="shared" ca="1" si="10"/>
        <v>-0.48660390358753614</v>
      </c>
      <c r="X62">
        <f t="shared" ca="1" si="11"/>
        <v>-1.2366318324035714</v>
      </c>
      <c r="Y62">
        <f t="shared" ca="1" si="12"/>
        <v>1.7626283212435316</v>
      </c>
      <c r="AA62">
        <v>1.51</v>
      </c>
      <c r="AB62">
        <f t="shared" ca="1" si="4"/>
        <v>4.872900246750234</v>
      </c>
      <c r="AC62" s="14">
        <f t="shared" ca="1" si="5"/>
        <v>2.227086256125983</v>
      </c>
      <c r="AD62">
        <f t="shared" ca="1" si="6"/>
        <v>3.3629002467502342</v>
      </c>
    </row>
    <row r="63" spans="1:30">
      <c r="A63">
        <v>0.14557917693701605</v>
      </c>
      <c r="B63">
        <v>1.163362847505079</v>
      </c>
      <c r="C63">
        <v>0.9715834251100478</v>
      </c>
      <c r="D63">
        <v>-0.40619228646275224</v>
      </c>
      <c r="E63">
        <v>9.929045860868034E-2</v>
      </c>
      <c r="F63">
        <v>-0.19233274267928485</v>
      </c>
      <c r="G63">
        <v>0.85423333332968876</v>
      </c>
      <c r="H63">
        <v>2.6007933356573715E-2</v>
      </c>
      <c r="I63">
        <v>0.40832503801699482</v>
      </c>
      <c r="J63">
        <v>0.31194439450754796</v>
      </c>
      <c r="L63">
        <v>0.84279092136134481</v>
      </c>
      <c r="M63">
        <v>3.0887103422005731</v>
      </c>
      <c r="N63">
        <v>2.8022412612820853</v>
      </c>
      <c r="P63">
        <v>1.3632781935978834E-12</v>
      </c>
      <c r="R63">
        <v>3.879698490595195</v>
      </c>
      <c r="S63">
        <v>3.8811004351956018</v>
      </c>
      <c r="T63">
        <v>1</v>
      </c>
      <c r="U63">
        <v>2.409062993440434</v>
      </c>
      <c r="W63">
        <f t="shared" ca="1" si="10"/>
        <v>0.16622385601250439</v>
      </c>
      <c r="X63">
        <f t="shared" ca="1" si="11"/>
        <v>-1.2043030912907131</v>
      </c>
      <c r="Y63">
        <f t="shared" ca="1" si="12"/>
        <v>0.89538961131815065</v>
      </c>
      <c r="AA63">
        <v>1.51</v>
      </c>
      <c r="AB63">
        <f t="shared" ca="1" si="4"/>
        <v>2.2796988620565024</v>
      </c>
      <c r="AC63" s="14">
        <f t="shared" ca="1" si="5"/>
        <v>0.50973434573278298</v>
      </c>
      <c r="AD63">
        <f t="shared" ca="1" si="6"/>
        <v>0.7696988620565024</v>
      </c>
    </row>
    <row r="64" spans="1:30">
      <c r="A64">
        <v>0.13848471073978533</v>
      </c>
      <c r="B64">
        <v>1.1661141443730645</v>
      </c>
      <c r="C64">
        <v>0.96013517375920643</v>
      </c>
      <c r="D64">
        <v>0.33815388168267518</v>
      </c>
      <c r="E64">
        <v>0.76205812685849972</v>
      </c>
      <c r="F64">
        <v>0.33966063428213356</v>
      </c>
      <c r="G64">
        <v>0.46829396488297714</v>
      </c>
      <c r="H64">
        <v>0.86075928629028631</v>
      </c>
      <c r="I64">
        <v>0.27582242059176365</v>
      </c>
      <c r="J64">
        <v>0</v>
      </c>
      <c r="L64">
        <v>0.84278978148646166</v>
      </c>
      <c r="M64">
        <v>3.0887109159010442</v>
      </c>
      <c r="N64">
        <v>2.8022401656374747</v>
      </c>
      <c r="P64">
        <v>4.8482000237769839E-12</v>
      </c>
      <c r="R64">
        <v>3.879698490595195</v>
      </c>
      <c r="S64">
        <v>3.8811004351956018</v>
      </c>
      <c r="T64">
        <v>1</v>
      </c>
      <c r="U64">
        <v>2.409062993440434</v>
      </c>
      <c r="W64">
        <f t="shared" ca="1" si="10"/>
        <v>2.1574967313155877E-2</v>
      </c>
      <c r="X64">
        <f t="shared" ca="1" si="11"/>
        <v>-1.2058577453238444</v>
      </c>
      <c r="Y64">
        <f t="shared" ca="1" si="12"/>
        <v>0.80833893771322618</v>
      </c>
      <c r="AA64">
        <v>1.51</v>
      </c>
      <c r="AB64">
        <f t="shared" ca="1" si="4"/>
        <v>2.1079702193954164</v>
      </c>
      <c r="AC64" s="14">
        <f t="shared" ca="1" si="5"/>
        <v>0.39600676781153399</v>
      </c>
      <c r="AD64">
        <f t="shared" ca="1" si="6"/>
        <v>0.59797021939541639</v>
      </c>
    </row>
    <row r="65" spans="1:30">
      <c r="A65">
        <v>0.14492093764752939</v>
      </c>
      <c r="B65">
        <v>1.1556398441193665</v>
      </c>
      <c r="C65">
        <v>0.95605162632234075</v>
      </c>
      <c r="D65">
        <v>0.33234213721618139</v>
      </c>
      <c r="E65">
        <v>-0.75349078389494395</v>
      </c>
      <c r="F65">
        <v>-0.86123802864489718</v>
      </c>
      <c r="G65">
        <v>0.39416649733342779</v>
      </c>
      <c r="H65">
        <v>0.61238038135107176</v>
      </c>
      <c r="I65">
        <v>0.76098974781931061</v>
      </c>
      <c r="J65">
        <v>0.27275454845138153</v>
      </c>
      <c r="L65">
        <v>0.84279074533251086</v>
      </c>
      <c r="M65">
        <v>3.0887103172283052</v>
      </c>
      <c r="N65">
        <v>2.8022412609160954</v>
      </c>
      <c r="P65">
        <v>1.417913827864916E-12</v>
      </c>
      <c r="R65">
        <v>3.879698490595195</v>
      </c>
      <c r="S65">
        <v>3.8811004351956018</v>
      </c>
      <c r="T65">
        <v>1</v>
      </c>
      <c r="U65">
        <v>2.409062993440434</v>
      </c>
      <c r="W65">
        <f t="shared" ca="1" si="10"/>
        <v>-0.11503137516440323</v>
      </c>
      <c r="X65">
        <f t="shared" ca="1" si="11"/>
        <v>-1.199208637978912</v>
      </c>
      <c r="Y65">
        <f t="shared" ca="1" si="12"/>
        <v>0.53175732032286094</v>
      </c>
      <c r="AA65">
        <v>1.51</v>
      </c>
      <c r="AB65">
        <f t="shared" ca="1" si="4"/>
        <v>1.7340994223924004</v>
      </c>
      <c r="AC65" s="14">
        <f t="shared" ca="1" si="5"/>
        <v>0.14841021350490102</v>
      </c>
      <c r="AD65">
        <f t="shared" ca="1" si="6"/>
        <v>0.22409942239240044</v>
      </c>
    </row>
    <row r="66" spans="1:30">
      <c r="A66">
        <v>0.13854209617614133</v>
      </c>
      <c r="B66">
        <v>1.1576639829749058</v>
      </c>
      <c r="C66">
        <v>0.97147832498984477</v>
      </c>
      <c r="D66">
        <v>0.25028333154492249</v>
      </c>
      <c r="E66">
        <v>7.9569783433124392E-3</v>
      </c>
      <c r="F66">
        <v>-0.20417675808406952</v>
      </c>
      <c r="G66">
        <v>0.64105289723879266</v>
      </c>
      <c r="H66">
        <v>0.56702781289220683</v>
      </c>
      <c r="I66">
        <v>0.33167433642129479</v>
      </c>
      <c r="J66">
        <v>0.72570283060070095</v>
      </c>
      <c r="L66">
        <v>0.84279030007750511</v>
      </c>
      <c r="M66">
        <v>3.0887103388564583</v>
      </c>
      <c r="N66">
        <v>2.8022410545419092</v>
      </c>
      <c r="P66">
        <v>2.059027536322944E-12</v>
      </c>
      <c r="R66">
        <v>3.879698490595195</v>
      </c>
      <c r="S66">
        <v>3.8811004351956018</v>
      </c>
      <c r="T66">
        <v>1</v>
      </c>
      <c r="U66">
        <v>2.409062993440434</v>
      </c>
      <c r="W66">
        <f t="shared" ca="1" si="10"/>
        <v>5.3786330704036808E-2</v>
      </c>
      <c r="X66">
        <f t="shared" ca="1" si="11"/>
        <v>-1.2025419400483737</v>
      </c>
      <c r="Y66">
        <f t="shared" ca="1" si="12"/>
        <v>0.74387951956228116</v>
      </c>
      <c r="AA66">
        <v>1.51</v>
      </c>
      <c r="AB66">
        <f t="shared" ca="1" si="4"/>
        <v>2.0023568265701206</v>
      </c>
      <c r="AC66" s="14">
        <f t="shared" ca="1" si="5"/>
        <v>0.32606412355637127</v>
      </c>
      <c r="AD66">
        <f t="shared" ca="1" si="6"/>
        <v>0.49235682657012059</v>
      </c>
    </row>
    <row r="67" spans="1:30">
      <c r="A67">
        <v>0.14819056573067152</v>
      </c>
      <c r="B67">
        <v>1.1645714128746276</v>
      </c>
      <c r="C67">
        <v>0.97350926997396303</v>
      </c>
      <c r="D67">
        <v>0.4164516800504342</v>
      </c>
      <c r="E67">
        <v>7.9403094700700033E-2</v>
      </c>
      <c r="F67">
        <v>1.3271141443792262E-2</v>
      </c>
      <c r="G67">
        <v>0.95671321421982858</v>
      </c>
      <c r="H67">
        <v>0.48096526559803193</v>
      </c>
      <c r="I67">
        <v>0.43959878966364851</v>
      </c>
      <c r="J67">
        <v>0.42885082482491721</v>
      </c>
      <c r="L67">
        <v>0.84279035941361158</v>
      </c>
      <c r="M67">
        <v>3.088710305511305</v>
      </c>
      <c r="N67">
        <v>2.802241114213917</v>
      </c>
      <c r="P67">
        <v>1.9365593195077728E-12</v>
      </c>
      <c r="R67">
        <v>3.879698490595195</v>
      </c>
      <c r="S67">
        <v>3.8811004351956018</v>
      </c>
      <c r="T67">
        <v>1</v>
      </c>
      <c r="U67">
        <v>2.409062993440434</v>
      </c>
      <c r="W67">
        <f t="shared" ca="1" si="10"/>
        <v>4.9173670812167239E-2</v>
      </c>
      <c r="X67">
        <f t="shared" ca="1" si="11"/>
        <v>-1.4150824582469608</v>
      </c>
      <c r="Y67">
        <f t="shared" ca="1" si="12"/>
        <v>0.37129386681109899</v>
      </c>
      <c r="AA67">
        <v>1.51</v>
      </c>
      <c r="AB67">
        <f t="shared" ca="1" si="4"/>
        <v>2.142735549070943</v>
      </c>
      <c r="AC67" s="14">
        <f t="shared" ca="1" si="5"/>
        <v>0.41903016494764445</v>
      </c>
      <c r="AD67">
        <f t="shared" ca="1" si="6"/>
        <v>0.63273554907094298</v>
      </c>
    </row>
    <row r="68" spans="1:30">
      <c r="A68">
        <v>0.1448898430207716</v>
      </c>
      <c r="B68">
        <v>1.1609469136892574</v>
      </c>
      <c r="C68">
        <v>0.96313753780438183</v>
      </c>
      <c r="D68">
        <v>-0.35776325399230358</v>
      </c>
      <c r="E68">
        <v>-0.47843076987939198</v>
      </c>
      <c r="F68">
        <v>-0.12693558556424295</v>
      </c>
      <c r="G68">
        <v>0.96103692523992246</v>
      </c>
      <c r="H68">
        <v>0.47185177484202473</v>
      </c>
      <c r="I68">
        <v>0.72386091570139366</v>
      </c>
      <c r="J68">
        <v>0.77713112286396324</v>
      </c>
      <c r="L68">
        <v>0.84279044120133129</v>
      </c>
      <c r="M68">
        <v>3.0887102725610158</v>
      </c>
      <c r="N68">
        <v>2.8022411347817777</v>
      </c>
      <c r="P68">
        <v>1.8812807840715584E-12</v>
      </c>
      <c r="R68">
        <v>3.879698490595195</v>
      </c>
      <c r="S68">
        <v>3.8811004351956018</v>
      </c>
      <c r="T68">
        <v>1</v>
      </c>
      <c r="U68">
        <v>2.409062993440434</v>
      </c>
      <c r="W68">
        <f t="shared" ca="1" si="10"/>
        <v>8.7765899237500722E-2</v>
      </c>
      <c r="X68">
        <f t="shared" ca="1" si="11"/>
        <v>-1.2831438730067646</v>
      </c>
      <c r="Y68">
        <f t="shared" ca="1" si="12"/>
        <v>0.75767132875247301</v>
      </c>
      <c r="AA68">
        <v>1.51</v>
      </c>
      <c r="AB68">
        <f t="shared" ca="1" si="4"/>
        <v>2.2282268943173049</v>
      </c>
      <c r="AC68" s="14">
        <f t="shared" ca="1" si="5"/>
        <v>0.47564694987900991</v>
      </c>
      <c r="AD68">
        <f t="shared" ca="1" si="6"/>
        <v>0.71822689431730491</v>
      </c>
    </row>
    <row r="69" spans="1:30">
      <c r="A69">
        <v>0.1409926835331132</v>
      </c>
      <c r="B69">
        <v>1.1606469389331553</v>
      </c>
      <c r="C69">
        <v>0.95652821316478254</v>
      </c>
      <c r="D69">
        <v>-0.1678516756098517</v>
      </c>
      <c r="E69">
        <v>9.8483909968660716E-2</v>
      </c>
      <c r="F69">
        <v>0.31398665850121982</v>
      </c>
      <c r="G69">
        <v>2.4957077249126155E-2</v>
      </c>
      <c r="H69">
        <v>0.10448532514206083</v>
      </c>
      <c r="I69">
        <v>0.11785934220612146</v>
      </c>
      <c r="J69">
        <v>0.1552553847720394</v>
      </c>
      <c r="L69">
        <v>0.84279069827441155</v>
      </c>
      <c r="M69">
        <v>3.0887103200652177</v>
      </c>
      <c r="N69">
        <v>2.802241259380565</v>
      </c>
      <c r="P69">
        <v>1.4289101628887588E-12</v>
      </c>
      <c r="R69">
        <v>3.879698490595195</v>
      </c>
      <c r="S69">
        <v>3.8811004351956018</v>
      </c>
      <c r="T69">
        <v>1</v>
      </c>
      <c r="U69">
        <v>2.409062993440434</v>
      </c>
      <c r="W69">
        <f t="shared" ca="1" si="10"/>
        <v>-2.5414146290024066E-2</v>
      </c>
      <c r="X69">
        <f t="shared" ca="1" si="11"/>
        <v>-1.3846826310907261</v>
      </c>
      <c r="Y69">
        <f t="shared" ca="1" si="12"/>
        <v>0.58420298665849557</v>
      </c>
      <c r="AA69">
        <v>1.51</v>
      </c>
      <c r="AB69">
        <f t="shared" ca="1" si="4"/>
        <v>2.2592849972966929</v>
      </c>
      <c r="AC69" s="14">
        <f t="shared" ca="1" si="5"/>
        <v>0.49621522999780976</v>
      </c>
      <c r="AD69">
        <f t="shared" ca="1" si="6"/>
        <v>0.74928499729669285</v>
      </c>
    </row>
    <row r="70" spans="1:30">
      <c r="A70">
        <v>0.14349884444428485</v>
      </c>
      <c r="B70">
        <v>1.1537226251282622</v>
      </c>
      <c r="C70">
        <v>0.97069884706394582</v>
      </c>
      <c r="D70">
        <v>0.25710608905081961</v>
      </c>
      <c r="E70">
        <v>4.1513266407283415E-2</v>
      </c>
      <c r="F70">
        <v>-0.56188659570791732</v>
      </c>
      <c r="G70">
        <v>0.39502962688863247</v>
      </c>
      <c r="H70">
        <v>0.13054461422043517</v>
      </c>
      <c r="I70">
        <v>0.90832173118850223</v>
      </c>
      <c r="J70">
        <v>0.66622539336616349</v>
      </c>
      <c r="L70">
        <v>0.8427904712099562</v>
      </c>
      <c r="M70">
        <v>3.0887102644071276</v>
      </c>
      <c r="N70">
        <v>2.8022411157803679</v>
      </c>
      <c r="P70">
        <v>1.9073982124664518E-12</v>
      </c>
      <c r="R70">
        <v>3.879698490595195</v>
      </c>
      <c r="S70">
        <v>3.8811004351956018</v>
      </c>
      <c r="T70">
        <v>1</v>
      </c>
      <c r="U70">
        <v>2.409062993440434</v>
      </c>
      <c r="W70">
        <f t="shared" ca="1" si="10"/>
        <v>2.8293634743358716E-2</v>
      </c>
      <c r="X70">
        <f t="shared" ca="1" si="11"/>
        <v>-1.2548787795613805</v>
      </c>
      <c r="Y70">
        <f t="shared" ca="1" si="12"/>
        <v>0.69484789068363884</v>
      </c>
      <c r="AA70">
        <v>1.51</v>
      </c>
      <c r="AB70">
        <f t="shared" ca="1" si="4"/>
        <v>2.0583348723479524</v>
      </c>
      <c r="AC70" s="14">
        <f t="shared" ca="1" si="5"/>
        <v>0.36313567705162408</v>
      </c>
      <c r="AD70">
        <f t="shared" ca="1" si="6"/>
        <v>0.54833487234795242</v>
      </c>
    </row>
    <row r="71" spans="1:30">
      <c r="A71">
        <v>6.1507032435961144E-4</v>
      </c>
      <c r="B71">
        <v>1.0730512385786337</v>
      </c>
      <c r="C71">
        <v>0.98995289685366761</v>
      </c>
      <c r="D71">
        <v>0.65612739729583369</v>
      </c>
      <c r="E71">
        <v>0.63934014408177109</v>
      </c>
      <c r="F71">
        <v>-0.26843381995878046</v>
      </c>
      <c r="G71">
        <v>0.263285002986404</v>
      </c>
      <c r="H71">
        <v>0.22650127887219107</v>
      </c>
      <c r="I71">
        <v>0.3440475374979598</v>
      </c>
      <c r="J71">
        <v>0.8032242183134165</v>
      </c>
      <c r="L71">
        <v>1.5751683479821719</v>
      </c>
      <c r="M71">
        <v>1.8919380917299815</v>
      </c>
      <c r="N71">
        <v>3.0887092329593409</v>
      </c>
      <c r="P71">
        <v>5.4078432662936853E-12</v>
      </c>
      <c r="R71">
        <v>7.3489080575917889</v>
      </c>
      <c r="S71">
        <v>7.3654400484483462</v>
      </c>
      <c r="T71">
        <v>1</v>
      </c>
      <c r="U71">
        <v>2.6163177829877382</v>
      </c>
    </row>
    <row r="72" spans="1:30">
      <c r="A72">
        <v>4.458880761412324E-3</v>
      </c>
      <c r="B72">
        <v>1.0976548396568417</v>
      </c>
      <c r="C72">
        <v>0.94009053358409733</v>
      </c>
      <c r="D72">
        <v>9.4057094012110376E-2</v>
      </c>
      <c r="E72">
        <v>0.11295382378094247</v>
      </c>
      <c r="F72">
        <v>-0.3962370846673085</v>
      </c>
      <c r="G72">
        <v>0.45339829404292714</v>
      </c>
      <c r="H72">
        <v>0.98354302429318952</v>
      </c>
      <c r="I72">
        <v>0.61511768919103804</v>
      </c>
      <c r="J72">
        <v>0.53960493497639173</v>
      </c>
      <c r="L72">
        <v>1.5751683960308511</v>
      </c>
      <c r="M72">
        <v>1.891938022948549</v>
      </c>
      <c r="N72">
        <v>3.0887091007923506</v>
      </c>
      <c r="P72">
        <v>6.1268046808958271E-12</v>
      </c>
      <c r="R72">
        <v>7.3489080575917889</v>
      </c>
      <c r="S72">
        <v>7.3654400484483462</v>
      </c>
      <c r="T72">
        <v>1</v>
      </c>
      <c r="U72">
        <v>2.6163177829877382</v>
      </c>
    </row>
    <row r="73" spans="1:30">
      <c r="A73">
        <v>1.5335513291297518E-4</v>
      </c>
      <c r="B73">
        <v>1.0984164852879188</v>
      </c>
      <c r="C73">
        <v>0.94914566261895428</v>
      </c>
      <c r="D73">
        <v>0.10306261652395932</v>
      </c>
      <c r="E73">
        <v>-0.45710428258354857</v>
      </c>
      <c r="F73">
        <v>-0.19358663969054493</v>
      </c>
      <c r="G73">
        <v>0.62645316548288033</v>
      </c>
      <c r="H73">
        <v>0.5694679458219537</v>
      </c>
      <c r="I73">
        <v>0.21438636777156403</v>
      </c>
      <c r="J73">
        <v>0.11649625147861464</v>
      </c>
      <c r="L73">
        <v>1.5751683769374596</v>
      </c>
      <c r="M73">
        <v>1.8919380068606406</v>
      </c>
      <c r="N73">
        <v>3.0887091101081188</v>
      </c>
      <c r="P73">
        <v>6.0598749932025142E-12</v>
      </c>
      <c r="R73">
        <v>7.3489080575917889</v>
      </c>
      <c r="S73">
        <v>7.3654400484483462</v>
      </c>
      <c r="T73">
        <v>1</v>
      </c>
      <c r="U73">
        <v>2.6163177829877382</v>
      </c>
    </row>
    <row r="74" spans="1:30">
      <c r="A74">
        <v>-1.7513335241669088E-3</v>
      </c>
      <c r="B74">
        <v>1.084308304849684</v>
      </c>
      <c r="C74">
        <v>0.97808648350776428</v>
      </c>
      <c r="D74">
        <v>0.11521519551520656</v>
      </c>
      <c r="E74">
        <v>-0.10797248226904275</v>
      </c>
      <c r="F74">
        <v>4.7130351122735725E-2</v>
      </c>
      <c r="G74">
        <v>0.88735381520425893</v>
      </c>
      <c r="H74">
        <v>0.29539163494714898</v>
      </c>
      <c r="I74">
        <v>0.55565367445068381</v>
      </c>
      <c r="J74">
        <v>0.93097417033652008</v>
      </c>
      <c r="L74">
        <v>1.5751679813486454</v>
      </c>
      <c r="M74">
        <v>1.8919379797676894</v>
      </c>
      <c r="N74">
        <v>3.0887091021362951</v>
      </c>
      <c r="P74">
        <v>5.3372234670258571E-12</v>
      </c>
      <c r="R74">
        <v>7.3489080575917889</v>
      </c>
      <c r="S74">
        <v>7.3654400484483462</v>
      </c>
      <c r="T74">
        <v>1</v>
      </c>
      <c r="U74">
        <v>2.6163177829877382</v>
      </c>
    </row>
    <row r="75" spans="1:30">
      <c r="A75">
        <v>-3.523868482054509E-3</v>
      </c>
      <c r="B75">
        <v>1.0835350650567692</v>
      </c>
      <c r="C75">
        <v>0.98358246709643082</v>
      </c>
      <c r="D75">
        <v>5.467648374491197E-2</v>
      </c>
      <c r="E75">
        <v>2.2658618427295576E-2</v>
      </c>
      <c r="F75">
        <v>0.18352036748724329</v>
      </c>
      <c r="G75">
        <v>0.9964384052781281</v>
      </c>
      <c r="H75">
        <v>0.10147390859628223</v>
      </c>
      <c r="I75">
        <v>0.7626322032055135</v>
      </c>
      <c r="J75">
        <v>0.90951364021342007</v>
      </c>
      <c r="L75">
        <v>1.575168290401582</v>
      </c>
      <c r="M75">
        <v>1.8919379559062859</v>
      </c>
      <c r="N75">
        <v>3.0887092068922697</v>
      </c>
      <c r="P75">
        <v>5.5276689247549706E-12</v>
      </c>
      <c r="R75">
        <v>7.3489080575917889</v>
      </c>
      <c r="S75">
        <v>7.3654400484483462</v>
      </c>
      <c r="T75">
        <v>1</v>
      </c>
      <c r="U75">
        <v>2.6163177829877382</v>
      </c>
    </row>
    <row r="76" spans="1:30">
      <c r="A76">
        <v>3.1973842151839329E-4</v>
      </c>
      <c r="B76">
        <v>1.0923374514513358</v>
      </c>
      <c r="C76">
        <v>0.963990849505447</v>
      </c>
      <c r="D76">
        <v>0.6169616710350817</v>
      </c>
      <c r="E76">
        <v>0.37581106254434482</v>
      </c>
      <c r="F76">
        <v>0.13863860705229408</v>
      </c>
      <c r="G76">
        <v>0.44641658938104112</v>
      </c>
      <c r="H76">
        <v>0.49271743894988812</v>
      </c>
      <c r="I76">
        <v>0.39582043327694921</v>
      </c>
      <c r="J76">
        <v>0.22345886020463962</v>
      </c>
      <c r="L76">
        <v>1.575167450426626</v>
      </c>
      <c r="M76">
        <v>1.8919382408441003</v>
      </c>
      <c r="N76">
        <v>3.0887090574193925</v>
      </c>
      <c r="P76">
        <v>4.7225285892614582E-12</v>
      </c>
      <c r="R76">
        <v>7.3489080575917889</v>
      </c>
      <c r="S76">
        <v>7.3654400484483462</v>
      </c>
      <c r="T76">
        <v>1</v>
      </c>
      <c r="U76">
        <v>2.6163177829877382</v>
      </c>
    </row>
    <row r="77" spans="1:30">
      <c r="A77">
        <v>6.2589145997169774E-3</v>
      </c>
      <c r="B77">
        <v>1.0984813489290479</v>
      </c>
      <c r="C77">
        <v>0.95507568016160282</v>
      </c>
      <c r="D77">
        <v>0.42352690375144236</v>
      </c>
      <c r="E77">
        <v>0.8321628744532048</v>
      </c>
      <c r="F77">
        <v>0.72459479854659559</v>
      </c>
      <c r="G77">
        <v>0.22204676251659056</v>
      </c>
      <c r="H77">
        <v>0.57993388187908368</v>
      </c>
      <c r="I77">
        <v>2.7074218758410248E-2</v>
      </c>
      <c r="J77">
        <v>0.50573100216011369</v>
      </c>
      <c r="L77">
        <v>1.5751682917984333</v>
      </c>
      <c r="M77">
        <v>1.8919378817809447</v>
      </c>
      <c r="N77">
        <v>3.0887091420408974</v>
      </c>
      <c r="P77">
        <v>5.888328790531047E-12</v>
      </c>
      <c r="R77">
        <v>7.3489080575917889</v>
      </c>
      <c r="S77">
        <v>7.3654400484483462</v>
      </c>
      <c r="T77">
        <v>1</v>
      </c>
      <c r="U77">
        <v>2.6163177829877382</v>
      </c>
    </row>
    <row r="78" spans="1:30">
      <c r="A78">
        <v>1.6031842829109879E-3</v>
      </c>
      <c r="B78">
        <v>1.092590151660662</v>
      </c>
      <c r="C78">
        <v>0.95326298283297495</v>
      </c>
      <c r="D78">
        <v>0.46242106841077735</v>
      </c>
      <c r="E78">
        <v>-0.34077722197261695</v>
      </c>
      <c r="F78">
        <v>0.17840894857497996</v>
      </c>
      <c r="G78">
        <v>0.5002436034949358</v>
      </c>
      <c r="H78">
        <v>0.85775861126349773</v>
      </c>
      <c r="I78">
        <v>0.19776393937412196</v>
      </c>
      <c r="J78">
        <v>0.94111173602822396</v>
      </c>
      <c r="L78">
        <v>1.5751683676137642</v>
      </c>
      <c r="M78">
        <v>1.8919380074068948</v>
      </c>
      <c r="N78">
        <v>3.088709135260582</v>
      </c>
      <c r="P78">
        <v>5.9331532330653182E-12</v>
      </c>
      <c r="R78">
        <v>7.3489080575917889</v>
      </c>
      <c r="S78">
        <v>7.3654400484483462</v>
      </c>
      <c r="T78">
        <v>1</v>
      </c>
      <c r="U78">
        <v>2.6163177829877382</v>
      </c>
    </row>
    <row r="79" spans="1:30">
      <c r="A79">
        <v>3.8990760579667589E-4</v>
      </c>
      <c r="B79">
        <v>1.0839858485412002</v>
      </c>
      <c r="C79">
        <v>0.98870506561819849</v>
      </c>
      <c r="D79">
        <v>0.55182628679736478</v>
      </c>
      <c r="E79">
        <v>0.20562771833975085</v>
      </c>
      <c r="F79">
        <v>2.5943395311981612E-2</v>
      </c>
      <c r="G79">
        <v>0.85215147973626315</v>
      </c>
      <c r="H79">
        <v>0.35809787125864739</v>
      </c>
      <c r="I79">
        <v>0.11226314543440175</v>
      </c>
      <c r="J79">
        <v>0.49303417214960099</v>
      </c>
      <c r="L79">
        <v>1.5751684514612585</v>
      </c>
      <c r="M79">
        <v>1.8919381998764988</v>
      </c>
      <c r="N79">
        <v>3.0887092147487598</v>
      </c>
      <c r="P79">
        <v>5.6396141756222406E-12</v>
      </c>
      <c r="R79">
        <v>7.3489080575917889</v>
      </c>
      <c r="S79">
        <v>7.3654400484483462</v>
      </c>
      <c r="T79">
        <v>1</v>
      </c>
      <c r="U79">
        <v>2.6163177829877382</v>
      </c>
    </row>
    <row r="80" spans="1:30">
      <c r="A80">
        <v>4.8966661601630964E-3</v>
      </c>
      <c r="B80">
        <v>1.0800454283475065</v>
      </c>
      <c r="C80">
        <v>0.97093144698385658</v>
      </c>
      <c r="D80">
        <v>0.32526456903589007</v>
      </c>
      <c r="E80">
        <v>0.5135906577083359</v>
      </c>
      <c r="F80">
        <v>-0.56048656524802487</v>
      </c>
      <c r="G80">
        <v>0.14044545271545086</v>
      </c>
      <c r="H80">
        <v>0.51055595593852132</v>
      </c>
      <c r="I80">
        <v>0.15809437083646991</v>
      </c>
      <c r="J80">
        <v>0.70516674550375313</v>
      </c>
      <c r="L80">
        <v>1.5751683699476602</v>
      </c>
      <c r="M80">
        <v>1.8919380877512595</v>
      </c>
      <c r="N80">
        <v>3.08870918564216</v>
      </c>
      <c r="P80">
        <v>5.6506197783651818E-12</v>
      </c>
      <c r="R80">
        <v>7.3489080575917889</v>
      </c>
      <c r="S80">
        <v>7.3654400484483462</v>
      </c>
      <c r="T80">
        <v>1</v>
      </c>
      <c r="U80">
        <v>2.6163177829877382</v>
      </c>
    </row>
    <row r="81" spans="1:21">
      <c r="A81">
        <v>-9.8167352035369282E-4</v>
      </c>
      <c r="B81">
        <v>1.1662564239867432</v>
      </c>
      <c r="C81">
        <v>0.87852058515651876</v>
      </c>
      <c r="D81">
        <v>-0.28652897848423176</v>
      </c>
      <c r="E81">
        <v>0.40693979315836576</v>
      </c>
      <c r="F81">
        <v>0.2715948802536674</v>
      </c>
      <c r="G81">
        <v>0.86464386117198211</v>
      </c>
      <c r="H81">
        <v>0.27070273125961097</v>
      </c>
      <c r="I81">
        <v>0.50740131931841603</v>
      </c>
      <c r="J81">
        <v>0.43515690330849416</v>
      </c>
      <c r="L81">
        <v>1.5751668952955065</v>
      </c>
      <c r="M81">
        <v>1.891938149770668</v>
      </c>
      <c r="N81">
        <v>2.8022412717009866</v>
      </c>
      <c r="P81">
        <v>8.8455167237348089E-13</v>
      </c>
      <c r="R81">
        <v>3.1635782706465303</v>
      </c>
      <c r="S81">
        <v>3.1648692167093064</v>
      </c>
      <c r="T81">
        <v>1</v>
      </c>
      <c r="U81">
        <v>2.3876783103034156</v>
      </c>
    </row>
    <row r="82" spans="1:21">
      <c r="A82">
        <v>3.4950461272304206E-4</v>
      </c>
      <c r="B82">
        <v>1.1543432452110443</v>
      </c>
      <c r="C82">
        <v>0.88335799430526341</v>
      </c>
      <c r="D82">
        <v>-0.15951230159450031</v>
      </c>
      <c r="E82">
        <v>6.0786306381644922E-2</v>
      </c>
      <c r="F82">
        <v>-0.47454234431030373</v>
      </c>
      <c r="G82">
        <v>0.57836354209076457</v>
      </c>
      <c r="H82">
        <v>0.43847775364851593</v>
      </c>
      <c r="I82">
        <v>0.2155095403276705</v>
      </c>
      <c r="J82">
        <v>0.94664339372774253</v>
      </c>
      <c r="L82">
        <v>1.5751668415386464</v>
      </c>
      <c r="M82">
        <v>1.8919381581360137</v>
      </c>
      <c r="N82">
        <v>2.802241278399245</v>
      </c>
      <c r="P82">
        <v>9.0104314074835478E-13</v>
      </c>
      <c r="R82">
        <v>3.1635782706465303</v>
      </c>
      <c r="S82">
        <v>3.1648692167093064</v>
      </c>
      <c r="T82">
        <v>1</v>
      </c>
      <c r="U82">
        <v>2.3876783103034156</v>
      </c>
    </row>
    <row r="83" spans="1:21">
      <c r="A83">
        <v>-5.9448462472865438E-4</v>
      </c>
      <c r="B83">
        <v>1.1653437327778884</v>
      </c>
      <c r="C83">
        <v>0.87955876981138825</v>
      </c>
      <c r="D83">
        <v>0.50989350518807131</v>
      </c>
      <c r="E83">
        <v>0.22250427566386716</v>
      </c>
      <c r="F83">
        <v>0.15009073805820369</v>
      </c>
      <c r="G83">
        <v>0.83270258361630212</v>
      </c>
      <c r="H83">
        <v>0.79702797249851054</v>
      </c>
      <c r="I83">
        <v>0.26801723785893677</v>
      </c>
      <c r="J83">
        <v>0.41499597650345382</v>
      </c>
      <c r="L83">
        <v>1.5751669418867553</v>
      </c>
      <c r="M83">
        <v>1.8919381382142491</v>
      </c>
      <c r="N83">
        <v>2.8022412900488236</v>
      </c>
      <c r="P83">
        <v>8.4088555429930952E-13</v>
      </c>
      <c r="R83">
        <v>3.1635782706465303</v>
      </c>
      <c r="S83">
        <v>3.1648692167093064</v>
      </c>
      <c r="T83">
        <v>1</v>
      </c>
      <c r="U83">
        <v>2.3876783103034156</v>
      </c>
    </row>
    <row r="84" spans="1:21">
      <c r="A84">
        <v>-5.6950997427557644E-3</v>
      </c>
      <c r="B84">
        <v>1.1554154629293274</v>
      </c>
      <c r="C84">
        <v>0.86100204278282555</v>
      </c>
      <c r="D84">
        <v>-0.13755813186730872</v>
      </c>
      <c r="E84">
        <v>-0.29288976906536801</v>
      </c>
      <c r="F84">
        <v>-0.72551788106273518</v>
      </c>
      <c r="G84">
        <v>9.3551305478592764E-2</v>
      </c>
      <c r="H84">
        <v>0.28194090085095241</v>
      </c>
      <c r="I84">
        <v>0.79293815572429627</v>
      </c>
      <c r="J84">
        <v>0.18660062634098368</v>
      </c>
      <c r="L84">
        <v>1.5751669094157361</v>
      </c>
      <c r="M84">
        <v>1.8919380728350244</v>
      </c>
      <c r="N84">
        <v>2.8022412658733025</v>
      </c>
      <c r="P84">
        <v>9.5612204176759273E-13</v>
      </c>
      <c r="R84">
        <v>3.1635782706465303</v>
      </c>
      <c r="S84">
        <v>3.1648692167093064</v>
      </c>
      <c r="T84">
        <v>1</v>
      </c>
      <c r="U84">
        <v>2.3876783103034156</v>
      </c>
    </row>
    <row r="85" spans="1:21">
      <c r="A85">
        <v>-4.8868290856939594E-3</v>
      </c>
      <c r="B85">
        <v>1.1614490172442473</v>
      </c>
      <c r="C85">
        <v>0.86178494862569377</v>
      </c>
      <c r="D85">
        <v>0.55279983916667119</v>
      </c>
      <c r="E85">
        <v>0.182412639273281</v>
      </c>
      <c r="F85">
        <v>6.5883658121001248E-2</v>
      </c>
      <c r="G85">
        <v>0.26999371207956074</v>
      </c>
      <c r="H85">
        <v>0.72194388976674717</v>
      </c>
      <c r="I85">
        <v>0.97112957750082374</v>
      </c>
      <c r="J85">
        <v>0.25482464603447219</v>
      </c>
      <c r="L85">
        <v>1.5751669058299624</v>
      </c>
      <c r="M85">
        <v>1.8919380775694703</v>
      </c>
      <c r="N85">
        <v>2.8022412605990721</v>
      </c>
      <c r="P85">
        <v>9.6187563983837602E-13</v>
      </c>
      <c r="R85">
        <v>3.1635782706465303</v>
      </c>
      <c r="S85">
        <v>3.1648692167093064</v>
      </c>
      <c r="T85">
        <v>1</v>
      </c>
      <c r="U85">
        <v>2.3876783103034156</v>
      </c>
    </row>
    <row r="86" spans="1:21">
      <c r="A86">
        <v>1.930134566226629E-3</v>
      </c>
      <c r="B86">
        <v>1.1645503061969471</v>
      </c>
      <c r="C86">
        <v>0.86567602734873406</v>
      </c>
      <c r="D86">
        <v>9.0678690071419127E-2</v>
      </c>
      <c r="E86">
        <v>-2.011512540849866E-2</v>
      </c>
      <c r="F86">
        <v>-8.0251528463836874E-2</v>
      </c>
      <c r="G86">
        <v>0.55176083916575991</v>
      </c>
      <c r="H86">
        <v>0.87609226985921829</v>
      </c>
      <c r="I86">
        <v>0.16850689373437355</v>
      </c>
      <c r="J86">
        <v>8.606225660547577E-2</v>
      </c>
      <c r="L86">
        <v>1.5751668302198583</v>
      </c>
      <c r="M86">
        <v>1.8919381140654994</v>
      </c>
      <c r="N86">
        <v>2.8022413001661319</v>
      </c>
      <c r="P86">
        <v>9.1332676550012537E-13</v>
      </c>
      <c r="R86">
        <v>3.1635782706465303</v>
      </c>
      <c r="S86">
        <v>3.1648692167093064</v>
      </c>
      <c r="T86">
        <v>1</v>
      </c>
      <c r="U86">
        <v>2.3876783103034156</v>
      </c>
    </row>
    <row r="87" spans="1:21">
      <c r="A87">
        <v>1.3191176435740494E-3</v>
      </c>
      <c r="B87">
        <v>1.1605761184164218</v>
      </c>
      <c r="C87">
        <v>0.87555751721481168</v>
      </c>
      <c r="D87">
        <v>0.24213213130624253</v>
      </c>
      <c r="E87">
        <v>0.21289789286854965</v>
      </c>
      <c r="F87">
        <v>-1.2958611990178547E-2</v>
      </c>
      <c r="G87">
        <v>0.55580752849062498</v>
      </c>
      <c r="H87">
        <v>0.77015315507201054</v>
      </c>
      <c r="I87">
        <v>0.2183018148265681</v>
      </c>
      <c r="J87">
        <v>0.56643066071203607</v>
      </c>
      <c r="L87">
        <v>1.5751668427399839</v>
      </c>
      <c r="M87">
        <v>1.8919381410560259</v>
      </c>
      <c r="N87">
        <v>2.8022412167671695</v>
      </c>
      <c r="P87">
        <v>1.0150151465117289E-12</v>
      </c>
      <c r="R87">
        <v>3.1635782706465303</v>
      </c>
      <c r="S87">
        <v>3.1648692167093064</v>
      </c>
      <c r="T87">
        <v>1</v>
      </c>
      <c r="U87">
        <v>2.3876783103034156</v>
      </c>
    </row>
    <row r="88" spans="1:21">
      <c r="A88">
        <v>5.8760013886910451E-3</v>
      </c>
      <c r="B88">
        <v>1.1610053770123439</v>
      </c>
      <c r="C88">
        <v>0.85888453352389671</v>
      </c>
      <c r="D88">
        <v>-0.90998549606202739</v>
      </c>
      <c r="E88">
        <v>0.39277394267690996</v>
      </c>
      <c r="F88">
        <v>0.43567458820199101</v>
      </c>
      <c r="G88">
        <v>0.27078714690853495</v>
      </c>
      <c r="H88">
        <v>0.52702271448166826</v>
      </c>
      <c r="I88">
        <v>0.37997681547755568</v>
      </c>
      <c r="J88">
        <v>0.59930536696267223</v>
      </c>
      <c r="L88">
        <v>1.5751669088684712</v>
      </c>
      <c r="M88">
        <v>1.8919381158907318</v>
      </c>
      <c r="N88">
        <v>2.8022412532164953</v>
      </c>
      <c r="P88">
        <v>9.3596952752760347E-13</v>
      </c>
      <c r="R88">
        <v>3.1635782706465303</v>
      </c>
      <c r="S88">
        <v>3.1648692167093064</v>
      </c>
      <c r="T88">
        <v>1</v>
      </c>
      <c r="U88">
        <v>2.3876783103034156</v>
      </c>
    </row>
    <row r="89" spans="1:21">
      <c r="A89">
        <v>-3.5698924780992363E-3</v>
      </c>
      <c r="B89">
        <v>1.1528324681132986</v>
      </c>
      <c r="C89">
        <v>0.87196951023256442</v>
      </c>
      <c r="D89">
        <v>2.4824155256377153E-2</v>
      </c>
      <c r="E89">
        <v>0.11990856252698863</v>
      </c>
      <c r="F89">
        <v>-0.13940733604541608</v>
      </c>
      <c r="G89">
        <v>3.9458120223402997E-2</v>
      </c>
      <c r="H89">
        <v>0.21264144884574054</v>
      </c>
      <c r="I89">
        <v>0.54546730881070693</v>
      </c>
      <c r="J89">
        <v>0.82377817099192974</v>
      </c>
      <c r="L89">
        <v>1.5751668676477719</v>
      </c>
      <c r="M89">
        <v>1.891938140754083</v>
      </c>
      <c r="N89">
        <v>2.8022412203279732</v>
      </c>
      <c r="P89">
        <v>9.9285957335151247E-13</v>
      </c>
      <c r="R89">
        <v>3.1635782706465303</v>
      </c>
      <c r="S89">
        <v>3.1648692167093064</v>
      </c>
      <c r="T89">
        <v>1</v>
      </c>
      <c r="U89">
        <v>2.3876783103034156</v>
      </c>
    </row>
    <row r="90" spans="1:21">
      <c r="A90">
        <v>-1.3157608406515352E-3</v>
      </c>
      <c r="B90">
        <v>1.1612021974807634</v>
      </c>
      <c r="C90">
        <v>0.86586139437065257</v>
      </c>
      <c r="D90">
        <v>-0.29757533548884391</v>
      </c>
      <c r="E90">
        <v>0.15679098686004306</v>
      </c>
      <c r="F90">
        <v>0.24618738701857118</v>
      </c>
      <c r="G90">
        <v>0.23863086834843633</v>
      </c>
      <c r="H90">
        <v>0.22368998914626398</v>
      </c>
      <c r="I90">
        <v>0.40587662210278486</v>
      </c>
      <c r="J90">
        <v>0.37346179752818554</v>
      </c>
      <c r="L90">
        <v>1.5751668375528785</v>
      </c>
      <c r="M90">
        <v>1.8919381086793445</v>
      </c>
      <c r="N90">
        <v>2.8022411905308839</v>
      </c>
      <c r="P90">
        <v>1.0923715447089594E-12</v>
      </c>
      <c r="R90">
        <v>3.1635782706465303</v>
      </c>
      <c r="S90">
        <v>3.1648692167093064</v>
      </c>
      <c r="T90">
        <v>1</v>
      </c>
      <c r="U90">
        <v>2.3876783103034156</v>
      </c>
    </row>
    <row r="91" spans="1:21">
      <c r="A91">
        <v>-0.18879888049996096</v>
      </c>
      <c r="B91">
        <v>1.1657068283055494</v>
      </c>
      <c r="C91">
        <v>0.52374485091797862</v>
      </c>
      <c r="D91">
        <v>0.5817815250115963</v>
      </c>
      <c r="E91">
        <v>-0.38818984917759708</v>
      </c>
      <c r="F91">
        <v>0.25701197552525579</v>
      </c>
      <c r="G91">
        <v>0.36340467637631557</v>
      </c>
      <c r="H91">
        <v>1.8425524551475617E-2</v>
      </c>
      <c r="I91">
        <v>0.54909621134268949</v>
      </c>
      <c r="J91">
        <v>0.8235287730905686</v>
      </c>
      <c r="L91">
        <v>1.575167399388876</v>
      </c>
      <c r="M91">
        <v>3.0887104421169123</v>
      </c>
      <c r="N91">
        <v>2.8022423172353577</v>
      </c>
      <c r="P91">
        <v>6.6910578903883277E-13</v>
      </c>
      <c r="R91">
        <v>21.15355593936761</v>
      </c>
      <c r="S91">
        <v>21.390548698925272</v>
      </c>
      <c r="T91">
        <v>1</v>
      </c>
      <c r="U91">
        <v>2.4089871765427575</v>
      </c>
    </row>
    <row r="92" spans="1:21">
      <c r="A92">
        <v>-0.15404097169153283</v>
      </c>
      <c r="B92">
        <v>1.1676739057686469</v>
      </c>
      <c r="C92">
        <v>0.5796506177370051</v>
      </c>
      <c r="D92">
        <v>0.23384396660685727</v>
      </c>
      <c r="E92">
        <v>-0.30531895860012237</v>
      </c>
      <c r="F92">
        <v>0.30367307958245027</v>
      </c>
      <c r="G92">
        <v>0.69612616649135928</v>
      </c>
      <c r="H92">
        <v>0.41889532175017608</v>
      </c>
      <c r="I92">
        <v>0.17232041959915678</v>
      </c>
      <c r="J92">
        <v>0.85377106002386782</v>
      </c>
      <c r="L92">
        <v>1.5751673648008182</v>
      </c>
      <c r="M92">
        <v>3.0887104441568853</v>
      </c>
      <c r="N92">
        <v>2.802242316274989</v>
      </c>
      <c r="P92">
        <v>6.5189937315444799E-13</v>
      </c>
      <c r="R92">
        <v>21.15355593936761</v>
      </c>
      <c r="S92">
        <v>21.390548698925272</v>
      </c>
      <c r="T92">
        <v>1</v>
      </c>
      <c r="U92">
        <v>2.4089871765427575</v>
      </c>
    </row>
    <row r="93" spans="1:21">
      <c r="A93">
        <v>-0.18134978846714475</v>
      </c>
      <c r="B93">
        <v>1.1705183580276188</v>
      </c>
      <c r="C93">
        <v>0.53125103436366583</v>
      </c>
      <c r="D93">
        <v>0.67760381735390174</v>
      </c>
      <c r="E93">
        <v>-0.6441013142173927</v>
      </c>
      <c r="F93">
        <v>0.33568399546344885</v>
      </c>
      <c r="G93">
        <v>0.66524530865239906</v>
      </c>
      <c r="H93">
        <v>0.42690875587458282</v>
      </c>
      <c r="I93">
        <v>0.18016629911360332</v>
      </c>
      <c r="J93">
        <v>0.63262249936441062</v>
      </c>
      <c r="L93">
        <v>1.5751673172052874</v>
      </c>
      <c r="M93">
        <v>3.0887104398763547</v>
      </c>
      <c r="N93">
        <v>2.8022422862181959</v>
      </c>
      <c r="P93">
        <v>6.2906316636173475E-13</v>
      </c>
      <c r="R93">
        <v>21.15355593936761</v>
      </c>
      <c r="S93">
        <v>21.390548698925272</v>
      </c>
      <c r="T93">
        <v>1</v>
      </c>
      <c r="U93">
        <v>2.4089871765427575</v>
      </c>
    </row>
    <row r="94" spans="1:21">
      <c r="A94">
        <v>-0.11254884703160301</v>
      </c>
      <c r="B94">
        <v>1.1671869114665039</v>
      </c>
      <c r="C94">
        <v>0.63661194519442377</v>
      </c>
      <c r="D94">
        <v>-0.57661772872696382</v>
      </c>
      <c r="E94">
        <v>0.78287492949848037</v>
      </c>
      <c r="F94">
        <v>0.20963847489093679</v>
      </c>
      <c r="G94">
        <v>0.57485583483215164</v>
      </c>
      <c r="H94">
        <v>0.54498216081838669</v>
      </c>
      <c r="I94">
        <v>0.82451353306505393</v>
      </c>
      <c r="J94">
        <v>0.58714636999113079</v>
      </c>
      <c r="L94">
        <v>1.5751672518014435</v>
      </c>
      <c r="M94">
        <v>3.0887103513212377</v>
      </c>
      <c r="N94">
        <v>2.8022422664082636</v>
      </c>
      <c r="P94">
        <v>7.4807945877080754E-13</v>
      </c>
      <c r="R94">
        <v>21.15355593936761</v>
      </c>
      <c r="S94">
        <v>21.390548698925272</v>
      </c>
      <c r="T94">
        <v>1</v>
      </c>
      <c r="U94">
        <v>2.4089871765427575</v>
      </c>
    </row>
    <row r="95" spans="1:21">
      <c r="A95">
        <v>-0.13265510401299674</v>
      </c>
      <c r="B95">
        <v>1.1621519934271032</v>
      </c>
      <c r="C95">
        <v>0.60980237920770208</v>
      </c>
      <c r="D95">
        <v>-0.11370390477297768</v>
      </c>
      <c r="E95">
        <v>0.34670042714529875</v>
      </c>
      <c r="F95">
        <v>-0.25469005967513292</v>
      </c>
      <c r="G95">
        <v>0.38144395996090907</v>
      </c>
      <c r="H95">
        <v>0.45167539540859686</v>
      </c>
      <c r="I95">
        <v>0.90301087697710158</v>
      </c>
      <c r="J95">
        <v>0.6814723780483567</v>
      </c>
      <c r="L95">
        <v>1.5751673258483392</v>
      </c>
      <c r="M95">
        <v>3.0887103898809931</v>
      </c>
      <c r="N95">
        <v>2.8022423015512969</v>
      </c>
      <c r="P95">
        <v>7.1594653268033362E-13</v>
      </c>
      <c r="R95">
        <v>21.15355593936761</v>
      </c>
      <c r="S95">
        <v>21.390548698925272</v>
      </c>
      <c r="T95">
        <v>1</v>
      </c>
      <c r="U95">
        <v>2.4089871765427575</v>
      </c>
    </row>
    <row r="96" spans="1:21">
      <c r="A96">
        <v>-8.2850876935526327E-2</v>
      </c>
      <c r="B96">
        <v>1.1550956755053001</v>
      </c>
      <c r="C96">
        <v>0.69358699954091629</v>
      </c>
      <c r="D96">
        <v>-0.18132241715044153</v>
      </c>
      <c r="E96">
        <v>0.34735220345791112</v>
      </c>
      <c r="F96">
        <v>-0.7734001736423386</v>
      </c>
      <c r="G96">
        <v>5.4679780037223687E-2</v>
      </c>
      <c r="H96">
        <v>0.77285761114344897</v>
      </c>
      <c r="I96">
        <v>0.26548182713226853</v>
      </c>
      <c r="J96">
        <v>0.5710886422657101</v>
      </c>
      <c r="L96">
        <v>1.5751673609967833</v>
      </c>
      <c r="M96">
        <v>3.0887102492519971</v>
      </c>
      <c r="N96">
        <v>2.8022423366296745</v>
      </c>
      <c r="P96">
        <v>9.8970291091676922E-13</v>
      </c>
      <c r="R96">
        <v>21.15355593936761</v>
      </c>
      <c r="S96">
        <v>21.390548698925272</v>
      </c>
      <c r="T96">
        <v>1</v>
      </c>
      <c r="U96">
        <v>2.4089871765427575</v>
      </c>
    </row>
    <row r="97" spans="1:21">
      <c r="A97">
        <v>-0.13986986694666248</v>
      </c>
      <c r="B97">
        <v>1.1683007643381471</v>
      </c>
      <c r="C97">
        <v>0.58175752326407681</v>
      </c>
      <c r="D97">
        <v>-0.19129552364658198</v>
      </c>
      <c r="E97">
        <v>-0.32314887298344136</v>
      </c>
      <c r="F97">
        <v>-9.592073962157753E-2</v>
      </c>
      <c r="G97">
        <v>0.74849067422118321</v>
      </c>
      <c r="H97">
        <v>0.98270678651015531</v>
      </c>
      <c r="I97">
        <v>0.95362157747508625</v>
      </c>
      <c r="J97">
        <v>0.55624296776203852</v>
      </c>
      <c r="L97">
        <v>1.5751673616706341</v>
      </c>
      <c r="M97">
        <v>3.0887105056295239</v>
      </c>
      <c r="N97">
        <v>2.8022423049390723</v>
      </c>
      <c r="P97">
        <v>5.573372066995216E-13</v>
      </c>
      <c r="R97">
        <v>21.15355593936761</v>
      </c>
      <c r="S97">
        <v>21.390548698925272</v>
      </c>
      <c r="T97">
        <v>1</v>
      </c>
      <c r="U97">
        <v>2.4089871765427575</v>
      </c>
    </row>
    <row r="98" spans="1:21">
      <c r="A98">
        <v>-0.1432230479870728</v>
      </c>
      <c r="B98">
        <v>1.166689252222147</v>
      </c>
      <c r="C98">
        <v>0.60281160324782723</v>
      </c>
      <c r="D98">
        <v>-0.10389508937631566</v>
      </c>
      <c r="E98">
        <v>0.24987270776136183</v>
      </c>
      <c r="F98">
        <v>-0.42819606489620843</v>
      </c>
      <c r="G98">
        <v>0.52978279004009243</v>
      </c>
      <c r="H98">
        <v>0</v>
      </c>
      <c r="I98">
        <v>9.4810539859692372E-2</v>
      </c>
      <c r="J98">
        <v>0.19754002007804763</v>
      </c>
      <c r="L98">
        <v>1.5751669258478662</v>
      </c>
      <c r="M98">
        <v>3.088709592482501</v>
      </c>
      <c r="N98">
        <v>2.8022412818084468</v>
      </c>
      <c r="P98">
        <v>3.2266375192072084E-12</v>
      </c>
      <c r="R98">
        <v>21.15355593936761</v>
      </c>
      <c r="S98">
        <v>21.390548698925272</v>
      </c>
      <c r="T98">
        <v>1</v>
      </c>
      <c r="U98">
        <v>2.4089871765427575</v>
      </c>
    </row>
    <row r="99" spans="1:21">
      <c r="A99">
        <v>-0.14972156211224413</v>
      </c>
      <c r="B99">
        <v>1.1562220540914157</v>
      </c>
      <c r="C99">
        <v>0.57751875988591517</v>
      </c>
      <c r="D99">
        <v>-0.10523799462419894</v>
      </c>
      <c r="E99">
        <v>-0.6943883536298493</v>
      </c>
      <c r="F99">
        <v>-0.66021049625336692</v>
      </c>
      <c r="G99">
        <v>0.17119037152508262</v>
      </c>
      <c r="H99">
        <v>0.4366680066124588</v>
      </c>
      <c r="I99">
        <v>0.98983935405089318</v>
      </c>
      <c r="J99">
        <v>0.92484058969806215</v>
      </c>
      <c r="L99">
        <v>1.575167128095494</v>
      </c>
      <c r="M99">
        <v>3.088710241324105</v>
      </c>
      <c r="N99">
        <v>2.8022421686724375</v>
      </c>
      <c r="P99">
        <v>9.1292266695313353E-13</v>
      </c>
      <c r="R99">
        <v>21.15355593936761</v>
      </c>
      <c r="S99">
        <v>21.390548698925272</v>
      </c>
      <c r="T99">
        <v>1</v>
      </c>
      <c r="U99">
        <v>2.4089871765427575</v>
      </c>
    </row>
    <row r="100" spans="1:21">
      <c r="A100">
        <v>-0.1564783859391895</v>
      </c>
      <c r="B100">
        <v>1.1700203827500673</v>
      </c>
      <c r="C100">
        <v>0.55289880869398222</v>
      </c>
      <c r="D100">
        <v>-0.3492408012278026</v>
      </c>
      <c r="E100">
        <v>0.14879127055575161</v>
      </c>
      <c r="F100">
        <v>3.7887252132952041E-2</v>
      </c>
      <c r="G100">
        <v>0.32710712685133586</v>
      </c>
      <c r="H100">
        <v>0.29091956173623151</v>
      </c>
      <c r="I100">
        <v>1.0167110013450797</v>
      </c>
      <c r="J100">
        <v>7.7051591766915242E-2</v>
      </c>
      <c r="L100">
        <v>1.575167294374884</v>
      </c>
      <c r="M100">
        <v>3.0887104697309478</v>
      </c>
      <c r="N100">
        <v>2.802242272273844</v>
      </c>
      <c r="P100">
        <v>5.7363440929489694E-13</v>
      </c>
      <c r="R100">
        <v>21.15355593936761</v>
      </c>
      <c r="S100">
        <v>21.390548698925272</v>
      </c>
      <c r="T100">
        <v>1</v>
      </c>
      <c r="U100">
        <v>2.4089871765427575</v>
      </c>
    </row>
    <row r="101" spans="1:21">
      <c r="A101">
        <v>3.3010330184131645E-2</v>
      </c>
      <c r="B101">
        <v>1.1715761817863461</v>
      </c>
      <c r="C101">
        <v>0.78935421602888378</v>
      </c>
      <c r="D101">
        <v>-0.37747337628530681</v>
      </c>
      <c r="E101">
        <v>-0.25742024916057382</v>
      </c>
      <c r="F101">
        <v>0.3150233573799045</v>
      </c>
      <c r="G101">
        <v>0.75155187082687436</v>
      </c>
      <c r="H101">
        <v>0.60520506822358688</v>
      </c>
      <c r="I101">
        <v>1.0158089611430767</v>
      </c>
      <c r="J101">
        <v>5.209231790999614E-2</v>
      </c>
      <c r="L101">
        <v>1.8919381923332981</v>
      </c>
      <c r="M101">
        <v>3.0887099803755285</v>
      </c>
      <c r="N101">
        <v>2.8022408950987554</v>
      </c>
      <c r="P101">
        <v>2.9663138061994625E-12</v>
      </c>
      <c r="R101">
        <v>4.7226020324850646</v>
      </c>
      <c r="S101">
        <v>4.7248309144760778</v>
      </c>
      <c r="T101">
        <v>1</v>
      </c>
      <c r="U101">
        <v>2.5926992506716622</v>
      </c>
    </row>
    <row r="102" spans="1:21">
      <c r="A102">
        <v>2.6102451122493341E-2</v>
      </c>
      <c r="B102">
        <v>1.1610505184880071</v>
      </c>
      <c r="C102">
        <v>0.81393956154270986</v>
      </c>
      <c r="D102">
        <v>6.0462716124311325E-2</v>
      </c>
      <c r="E102">
        <v>-0.44949526943805629</v>
      </c>
      <c r="F102">
        <v>-0.66726644709619798</v>
      </c>
      <c r="G102">
        <v>0.58113436760319359</v>
      </c>
      <c r="H102">
        <v>0.87534967537906461</v>
      </c>
      <c r="I102">
        <v>0.2653259276488858</v>
      </c>
      <c r="J102">
        <v>0.28261042451398061</v>
      </c>
      <c r="L102">
        <v>1.8919377063838672</v>
      </c>
      <c r="M102">
        <v>3.088710229507992</v>
      </c>
      <c r="N102">
        <v>2.8022408718375065</v>
      </c>
      <c r="P102">
        <v>3.0822156746825041E-12</v>
      </c>
      <c r="R102">
        <v>4.7226020324850646</v>
      </c>
      <c r="S102">
        <v>4.7248309144760778</v>
      </c>
      <c r="T102">
        <v>1</v>
      </c>
      <c r="U102">
        <v>2.5926992506716622</v>
      </c>
    </row>
    <row r="103" spans="1:21">
      <c r="A103">
        <v>2.6250626644875215E-2</v>
      </c>
      <c r="B103">
        <v>1.1624583884457118</v>
      </c>
      <c r="C103">
        <v>0.82604828008488651</v>
      </c>
      <c r="D103">
        <v>0.54721108877316726</v>
      </c>
      <c r="E103">
        <v>-9.4660469836491207E-2</v>
      </c>
      <c r="F103">
        <v>0.22281426876476645</v>
      </c>
      <c r="G103">
        <v>0.79200243429049288</v>
      </c>
      <c r="H103">
        <v>0.91556174056240358</v>
      </c>
      <c r="I103">
        <v>8.1677672300979443E-2</v>
      </c>
      <c r="J103">
        <v>0.95699491342575183</v>
      </c>
      <c r="L103">
        <v>1.891937838090701</v>
      </c>
      <c r="M103">
        <v>3.0887100847695819</v>
      </c>
      <c r="N103">
        <v>2.8022408895741959</v>
      </c>
      <c r="P103">
        <v>3.1294237672561798E-12</v>
      </c>
      <c r="R103">
        <v>4.7226020324850646</v>
      </c>
      <c r="S103">
        <v>4.7248309144760778</v>
      </c>
      <c r="T103">
        <v>1</v>
      </c>
      <c r="U103">
        <v>2.5926992506716622</v>
      </c>
    </row>
    <row r="104" spans="1:21">
      <c r="A104">
        <v>3.5752665533204116E-2</v>
      </c>
      <c r="B104">
        <v>1.1583640815840628</v>
      </c>
      <c r="C104">
        <v>0.82395448736552213</v>
      </c>
      <c r="D104">
        <v>0.77119546496712565</v>
      </c>
      <c r="E104">
        <v>-0.94389295324008571</v>
      </c>
      <c r="F104">
        <v>-0.21292119525329867</v>
      </c>
      <c r="G104">
        <v>0.4971584449060929</v>
      </c>
      <c r="H104">
        <v>0.24743059561999545</v>
      </c>
      <c r="I104">
        <v>0.14607390561787337</v>
      </c>
      <c r="J104">
        <v>0.81602136165882577</v>
      </c>
      <c r="L104">
        <v>1.891937884380871</v>
      </c>
      <c r="M104">
        <v>3.0887100433835339</v>
      </c>
      <c r="N104">
        <v>2.8022408726080146</v>
      </c>
      <c r="P104">
        <v>3.1972215251743094E-12</v>
      </c>
      <c r="R104">
        <v>4.7226020324850646</v>
      </c>
      <c r="S104">
        <v>4.7248309144760778</v>
      </c>
      <c r="T104">
        <v>1</v>
      </c>
      <c r="U104">
        <v>2.5926992506716622</v>
      </c>
    </row>
    <row r="105" spans="1:21">
      <c r="A105">
        <v>2.8452483963673204E-2</v>
      </c>
      <c r="B105">
        <v>1.1658619588077075</v>
      </c>
      <c r="C105">
        <v>0.81411861289582499</v>
      </c>
      <c r="D105">
        <v>-9.7189538367369127E-2</v>
      </c>
      <c r="E105">
        <v>-0.30069134310490214</v>
      </c>
      <c r="F105">
        <v>-7.1523269254301969E-2</v>
      </c>
      <c r="G105">
        <v>0.74893760776103868</v>
      </c>
      <c r="H105">
        <v>0.42852017719126639</v>
      </c>
      <c r="I105">
        <v>0.14324305938580129</v>
      </c>
      <c r="J105">
        <v>0.34346074995157555</v>
      </c>
      <c r="L105">
        <v>1.8919381043785728</v>
      </c>
      <c r="M105">
        <v>3.0887101422475816</v>
      </c>
      <c r="N105">
        <v>2.8022407066791253</v>
      </c>
      <c r="P105">
        <v>3.1505557077239333E-12</v>
      </c>
      <c r="R105">
        <v>4.7226020324850646</v>
      </c>
      <c r="S105">
        <v>4.7248309144760778</v>
      </c>
      <c r="T105">
        <v>1</v>
      </c>
      <c r="U105">
        <v>2.5926992506716622</v>
      </c>
    </row>
    <row r="106" spans="1:21">
      <c r="A106">
        <v>1.856314874582702E-2</v>
      </c>
      <c r="B106">
        <v>1.1564378470808865</v>
      </c>
      <c r="C106">
        <v>0.8164386134967031</v>
      </c>
      <c r="D106">
        <v>-0.65524106712739194</v>
      </c>
      <c r="E106">
        <v>-0.15181811717604793</v>
      </c>
      <c r="F106">
        <v>-0.28521404316552246</v>
      </c>
      <c r="G106">
        <v>0.24919400620032922</v>
      </c>
      <c r="H106">
        <v>0.61347096937305323</v>
      </c>
      <c r="I106">
        <v>8.0886560197515361E-2</v>
      </c>
      <c r="J106">
        <v>0.72399639942505867</v>
      </c>
      <c r="L106">
        <v>1.8919379390682172</v>
      </c>
      <c r="M106">
        <v>3.0887100304363733</v>
      </c>
      <c r="N106">
        <v>2.8022408838221362</v>
      </c>
      <c r="P106">
        <v>3.1287047906829701E-12</v>
      </c>
      <c r="R106">
        <v>4.7226020324850646</v>
      </c>
      <c r="S106">
        <v>4.7248309144760778</v>
      </c>
      <c r="T106">
        <v>1</v>
      </c>
      <c r="U106">
        <v>2.5926992506716622</v>
      </c>
    </row>
    <row r="107" spans="1:21">
      <c r="A107">
        <v>2.9960521111300969E-2</v>
      </c>
      <c r="B107">
        <v>1.1710349710307761</v>
      </c>
      <c r="C107">
        <v>0.79457710336609277</v>
      </c>
      <c r="D107">
        <v>-0.23824464673360832</v>
      </c>
      <c r="E107">
        <v>-0.17258636906255873</v>
      </c>
      <c r="F107">
        <v>0.36756518558121803</v>
      </c>
      <c r="G107">
        <v>0.83662247522081923</v>
      </c>
      <c r="H107">
        <v>0.89967919320681189</v>
      </c>
      <c r="I107">
        <v>0.81401319367361102</v>
      </c>
      <c r="J107">
        <v>0.22324812414351408</v>
      </c>
      <c r="L107">
        <v>1.891937850061512</v>
      </c>
      <c r="M107">
        <v>3.088710182339315</v>
      </c>
      <c r="N107">
        <v>2.802240764475024</v>
      </c>
      <c r="P107">
        <v>3.2152981605197191E-12</v>
      </c>
      <c r="R107">
        <v>4.7226020324850646</v>
      </c>
      <c r="S107">
        <v>4.7248309144760778</v>
      </c>
      <c r="T107">
        <v>1</v>
      </c>
      <c r="U107">
        <v>2.5926992506716622</v>
      </c>
    </row>
    <row r="108" spans="1:21">
      <c r="A108">
        <v>2.7041128984122361E-2</v>
      </c>
      <c r="B108">
        <v>1.1654632349263883</v>
      </c>
      <c r="C108">
        <v>0.80328850068738122</v>
      </c>
      <c r="D108">
        <v>0.11180679928309002</v>
      </c>
      <c r="E108">
        <v>-0.17315100291087202</v>
      </c>
      <c r="F108">
        <v>0.26753987378358768</v>
      </c>
      <c r="G108">
        <v>0.51719274435436302</v>
      </c>
      <c r="H108">
        <v>0.98783209153873086</v>
      </c>
      <c r="I108">
        <v>0.46997103977227572</v>
      </c>
      <c r="J108">
        <v>0.42284503449600641</v>
      </c>
      <c r="L108">
        <v>1.8919378731631482</v>
      </c>
      <c r="M108">
        <v>3.0887100616362395</v>
      </c>
      <c r="N108">
        <v>2.8022408806908592</v>
      </c>
      <c r="P108">
        <v>3.1520119299820902E-12</v>
      </c>
      <c r="R108">
        <v>4.7226020324850646</v>
      </c>
      <c r="S108">
        <v>4.7248309144760778</v>
      </c>
      <c r="T108">
        <v>1</v>
      </c>
      <c r="U108">
        <v>2.5926992506716622</v>
      </c>
    </row>
    <row r="109" spans="1:21">
      <c r="A109">
        <v>3.0757352398568121E-2</v>
      </c>
      <c r="B109">
        <v>1.1624558438284558</v>
      </c>
      <c r="C109">
        <v>0.82732220778935184</v>
      </c>
      <c r="D109">
        <v>0.48101653138842521</v>
      </c>
      <c r="E109">
        <v>0.18259311265757022</v>
      </c>
      <c r="F109">
        <v>0.37125068592406368</v>
      </c>
      <c r="G109">
        <v>0.58363171765194766</v>
      </c>
      <c r="H109">
        <v>0.11266425583133685</v>
      </c>
      <c r="I109">
        <v>0.28384308280451659</v>
      </c>
      <c r="J109">
        <v>0.84603935016033893</v>
      </c>
      <c r="L109">
        <v>1.8919378157863163</v>
      </c>
      <c r="M109">
        <v>3.0887101269631363</v>
      </c>
      <c r="N109">
        <v>2.8022409110301956</v>
      </c>
      <c r="P109">
        <v>3.0211705030938203E-12</v>
      </c>
      <c r="R109">
        <v>4.7226020324850646</v>
      </c>
      <c r="S109">
        <v>4.7248309144760778</v>
      </c>
      <c r="T109">
        <v>1</v>
      </c>
      <c r="U109">
        <v>2.5926992506716622</v>
      </c>
    </row>
    <row r="110" spans="1:21">
      <c r="A110">
        <v>2.0992055530895413E-2</v>
      </c>
      <c r="B110">
        <v>1.1553871065032435</v>
      </c>
      <c r="C110">
        <v>0.82721873003933288</v>
      </c>
      <c r="D110">
        <v>-0.31176281105647391</v>
      </c>
      <c r="E110">
        <v>0.34473165422349933</v>
      </c>
      <c r="F110">
        <v>-0.45002711590383543</v>
      </c>
      <c r="G110">
        <v>0.44077405303908396</v>
      </c>
      <c r="H110">
        <v>0.51547896982129515</v>
      </c>
      <c r="I110">
        <v>0.54462358861502158</v>
      </c>
      <c r="J110">
        <v>0.89782296837482678</v>
      </c>
      <c r="L110">
        <v>1.8919378029223444</v>
      </c>
      <c r="M110">
        <v>3.0887102342749073</v>
      </c>
      <c r="N110">
        <v>2.8022407673524201</v>
      </c>
      <c r="P110">
        <v>3.175855261258941E-12</v>
      </c>
      <c r="R110">
        <v>4.7226020324850646</v>
      </c>
      <c r="S110">
        <v>4.7248309144760778</v>
      </c>
      <c r="T110">
        <v>1</v>
      </c>
      <c r="U110">
        <v>2.5926992506716622</v>
      </c>
    </row>
    <row r="111" spans="1:21">
      <c r="A111">
        <v>-1.0318143074454964</v>
      </c>
      <c r="B111">
        <v>1.0023161080519341</v>
      </c>
      <c r="C111">
        <v>0.34013922134725361</v>
      </c>
      <c r="D111">
        <v>-0.62312351584770809</v>
      </c>
      <c r="E111">
        <v>3.4227358417027148E-2</v>
      </c>
      <c r="F111">
        <v>0.13988803346226958</v>
      </c>
      <c r="G111">
        <v>0.96229349868099934</v>
      </c>
      <c r="H111">
        <v>2.9175527568153531E-2</v>
      </c>
      <c r="I111">
        <v>0.71007880813773161</v>
      </c>
      <c r="J111">
        <v>0.5054511718550303</v>
      </c>
      <c r="L111">
        <v>0.84118834297653799</v>
      </c>
      <c r="M111">
        <v>3.3553840509510504</v>
      </c>
      <c r="N111">
        <v>0.66342310067245402</v>
      </c>
      <c r="P111">
        <v>1.2084153629395378E-12</v>
      </c>
      <c r="R111">
        <v>4.2196534208925307</v>
      </c>
      <c r="S111">
        <v>4.2243239500446652</v>
      </c>
      <c r="T111">
        <v>1</v>
      </c>
      <c r="U111">
        <v>2.4503036114677172</v>
      </c>
    </row>
    <row r="112" spans="1:21">
      <c r="A112">
        <v>-1.0352714957742977</v>
      </c>
      <c r="B112">
        <v>0.99571939990731717</v>
      </c>
      <c r="C112">
        <v>0.33633045857129734</v>
      </c>
      <c r="D112">
        <v>0.47379788285597729</v>
      </c>
      <c r="E112">
        <v>0.15151339874640357</v>
      </c>
      <c r="F112">
        <v>-0.23858126154119896</v>
      </c>
      <c r="G112">
        <v>0.56553968132240939</v>
      </c>
      <c r="H112">
        <v>7.9372479877313037E-2</v>
      </c>
      <c r="I112">
        <v>0.24878356239156182</v>
      </c>
      <c r="J112">
        <v>0.12659932631951512</v>
      </c>
      <c r="L112">
        <v>0.84118866709826523</v>
      </c>
      <c r="M112">
        <v>3.3553840446607852</v>
      </c>
      <c r="N112">
        <v>0.66342140999309374</v>
      </c>
      <c r="P112">
        <v>4.3755377769701016E-12</v>
      </c>
      <c r="R112">
        <v>4.2196534208925307</v>
      </c>
      <c r="S112">
        <v>4.2243239500446652</v>
      </c>
      <c r="T112">
        <v>1</v>
      </c>
      <c r="U112">
        <v>2.4503036114677172</v>
      </c>
    </row>
    <row r="113" spans="1:21">
      <c r="A113">
        <v>-1.0358776556387079</v>
      </c>
      <c r="B113">
        <v>0.98982281105487857</v>
      </c>
      <c r="C113">
        <v>0.33678310581131177</v>
      </c>
      <c r="D113">
        <v>0.55072288158821714</v>
      </c>
      <c r="E113">
        <v>0.35247904412616582</v>
      </c>
      <c r="F113">
        <v>-0.80754393555603621</v>
      </c>
      <c r="G113">
        <v>0.58665114974846977</v>
      </c>
      <c r="H113">
        <v>0.15255465012618266</v>
      </c>
      <c r="I113">
        <v>0.56513363679154549</v>
      </c>
      <c r="J113">
        <v>3.9241159506659129E-2</v>
      </c>
      <c r="L113">
        <v>0.8411889981965881</v>
      </c>
      <c r="M113">
        <v>3.3553839140350057</v>
      </c>
      <c r="N113">
        <v>0.66342231478943803</v>
      </c>
      <c r="P113">
        <v>2.4520049395214179E-12</v>
      </c>
      <c r="R113">
        <v>4.2196534208925307</v>
      </c>
      <c r="S113">
        <v>4.2243239500446652</v>
      </c>
      <c r="T113">
        <v>1</v>
      </c>
      <c r="U113">
        <v>2.4503036114677172</v>
      </c>
    </row>
    <row r="114" spans="1:21">
      <c r="A114">
        <v>-1.0388539361704439</v>
      </c>
      <c r="B114">
        <v>0.97977951956718634</v>
      </c>
      <c r="C114">
        <v>0.36486779492185928</v>
      </c>
      <c r="D114">
        <v>0.61598096430328586</v>
      </c>
      <c r="E114">
        <v>6.6113827333034128E-2</v>
      </c>
      <c r="F114">
        <v>-0.54386229628300131</v>
      </c>
      <c r="G114">
        <v>0.14708265413185193</v>
      </c>
      <c r="H114">
        <v>0.60803268540512678</v>
      </c>
      <c r="I114">
        <v>4.9395782226707846E-2</v>
      </c>
      <c r="J114">
        <v>0.37827197021935011</v>
      </c>
      <c r="L114">
        <v>0.84118860063110645</v>
      </c>
      <c r="M114">
        <v>3.3553841056160185</v>
      </c>
      <c r="N114">
        <v>0.6634229650033151</v>
      </c>
      <c r="P114">
        <v>1.593278075976089E-12</v>
      </c>
      <c r="R114">
        <v>4.2196534208925307</v>
      </c>
      <c r="S114">
        <v>4.2243239500446652</v>
      </c>
      <c r="T114">
        <v>1</v>
      </c>
      <c r="U114">
        <v>2.4503036114677172</v>
      </c>
    </row>
    <row r="115" spans="1:21">
      <c r="A115">
        <v>-1.0360397682055889</v>
      </c>
      <c r="B115">
        <v>0.9981081065744204</v>
      </c>
      <c r="C115">
        <v>0.34811340428781273</v>
      </c>
      <c r="D115">
        <v>-0.17215088584917018</v>
      </c>
      <c r="E115">
        <v>0.73580229365373273</v>
      </c>
      <c r="F115">
        <v>-0.42815281202840244</v>
      </c>
      <c r="G115">
        <v>0.83281673371930387</v>
      </c>
      <c r="H115">
        <v>0.29200295869356291</v>
      </c>
      <c r="I115">
        <v>0.76577667510555558</v>
      </c>
      <c r="J115">
        <v>0.17536345845489901</v>
      </c>
      <c r="L115">
        <v>0.84118906411668015</v>
      </c>
      <c r="M115">
        <v>3.3553838810468286</v>
      </c>
      <c r="N115">
        <v>0.66342210230680876</v>
      </c>
      <c r="P115">
        <v>2.9087086309868631E-12</v>
      </c>
      <c r="R115">
        <v>4.2196534208925307</v>
      </c>
      <c r="S115">
        <v>4.2243239500446652</v>
      </c>
      <c r="T115">
        <v>1</v>
      </c>
      <c r="U115">
        <v>2.4503036114677172</v>
      </c>
    </row>
    <row r="116" spans="1:21">
      <c r="A116">
        <v>-1.0306397470898909</v>
      </c>
      <c r="B116">
        <v>1.0038302515707351</v>
      </c>
      <c r="C116">
        <v>0.34744108273041796</v>
      </c>
      <c r="D116">
        <v>-0.14267741689541388</v>
      </c>
      <c r="E116">
        <v>0.17714028589494024</v>
      </c>
      <c r="F116">
        <v>-0.14006320882190296</v>
      </c>
      <c r="G116">
        <v>0.89792328913098518</v>
      </c>
      <c r="H116">
        <v>0.60416900866136314</v>
      </c>
      <c r="I116">
        <v>0.8276711947931279</v>
      </c>
      <c r="J116">
        <v>1.8597765706193377E-2</v>
      </c>
      <c r="L116">
        <v>0.84118887555670419</v>
      </c>
      <c r="M116">
        <v>3.3553839673947108</v>
      </c>
      <c r="N116">
        <v>0.66342161454206672</v>
      </c>
      <c r="P116">
        <v>3.9020198994683154E-12</v>
      </c>
      <c r="R116">
        <v>4.2196534208925307</v>
      </c>
      <c r="S116">
        <v>4.2243239500446652</v>
      </c>
      <c r="T116">
        <v>1</v>
      </c>
      <c r="U116">
        <v>2.4503036114677172</v>
      </c>
    </row>
    <row r="117" spans="1:21">
      <c r="A117">
        <v>-1.03666695913217</v>
      </c>
      <c r="B117">
        <v>0.97234808736955547</v>
      </c>
      <c r="C117">
        <v>0.37590684160151178</v>
      </c>
      <c r="D117">
        <v>7.3681413842948185E-2</v>
      </c>
      <c r="E117">
        <v>7.3121358807057044E-2</v>
      </c>
      <c r="F117">
        <v>-0.54391139291221313</v>
      </c>
      <c r="G117">
        <v>4.4527276029425897E-2</v>
      </c>
      <c r="H117">
        <v>0.63715661614263142</v>
      </c>
      <c r="I117">
        <v>0.49821712385703842</v>
      </c>
      <c r="J117">
        <v>0.66448089777192654</v>
      </c>
      <c r="L117">
        <v>0.8411889473630263</v>
      </c>
      <c r="M117">
        <v>3.3553839460854764</v>
      </c>
      <c r="N117">
        <v>0.66342174443696611</v>
      </c>
      <c r="P117">
        <v>3.6268660489925154E-12</v>
      </c>
      <c r="R117">
        <v>4.2196534208925307</v>
      </c>
      <c r="S117">
        <v>4.2243239500446652</v>
      </c>
      <c r="T117">
        <v>1</v>
      </c>
      <c r="U117">
        <v>2.4503036114677172</v>
      </c>
    </row>
    <row r="118" spans="1:21">
      <c r="A118">
        <v>-1.0354701091534892</v>
      </c>
      <c r="B118">
        <v>0.99194097968039896</v>
      </c>
      <c r="C118">
        <v>0.3426618780477147</v>
      </c>
      <c r="D118">
        <v>0.12302483832239511</v>
      </c>
      <c r="E118">
        <v>0.50223258822447048</v>
      </c>
      <c r="F118">
        <v>-0.45439525483660193</v>
      </c>
      <c r="G118">
        <v>0.5818071147193965</v>
      </c>
      <c r="H118">
        <v>7.7171260248849613E-2</v>
      </c>
      <c r="I118">
        <v>0.63792344536822376</v>
      </c>
      <c r="J118">
        <v>0.20085222211838016</v>
      </c>
      <c r="L118">
        <v>0.84118867561114552</v>
      </c>
      <c r="M118">
        <v>3.3553840276026321</v>
      </c>
      <c r="N118">
        <v>0.66342141115843467</v>
      </c>
      <c r="P118">
        <v>4.3483565015212032E-12</v>
      </c>
      <c r="R118">
        <v>4.2196534208925307</v>
      </c>
      <c r="S118">
        <v>4.2243239500446652</v>
      </c>
      <c r="T118">
        <v>1</v>
      </c>
      <c r="U118">
        <v>2.4503036114677172</v>
      </c>
    </row>
    <row r="119" spans="1:21">
      <c r="A119">
        <v>-1.0318441187638185</v>
      </c>
      <c r="B119">
        <v>0.99200884368661146</v>
      </c>
      <c r="C119">
        <v>0.35865884853543356</v>
      </c>
      <c r="D119">
        <v>-0.15471774836402785</v>
      </c>
      <c r="E119">
        <v>8.4818941308070175E-2</v>
      </c>
      <c r="F119">
        <v>0.17152330539451441</v>
      </c>
      <c r="G119">
        <v>0.25650155761137278</v>
      </c>
      <c r="H119">
        <v>0.28495506962837597</v>
      </c>
      <c r="I119">
        <v>0.45723032272144992</v>
      </c>
      <c r="J119">
        <v>0.21001689299450693</v>
      </c>
      <c r="L119">
        <v>0.84118899683060133</v>
      </c>
      <c r="M119">
        <v>3.3553839109959558</v>
      </c>
      <c r="N119">
        <v>0.66342183569157054</v>
      </c>
      <c r="P119">
        <v>3.4218846773202919E-12</v>
      </c>
      <c r="R119">
        <v>4.2196534208925307</v>
      </c>
      <c r="S119">
        <v>4.2243239500446652</v>
      </c>
      <c r="T119">
        <v>1</v>
      </c>
      <c r="U119">
        <v>2.4503036114677172</v>
      </c>
    </row>
    <row r="120" spans="1:21">
      <c r="A120">
        <v>-1.0307669865029949</v>
      </c>
      <c r="B120">
        <v>0.98867250409822027</v>
      </c>
      <c r="C120">
        <v>0.34900972434121702</v>
      </c>
      <c r="D120">
        <v>-7.0083830060129373E-2</v>
      </c>
      <c r="E120">
        <v>-0.49473308785423709</v>
      </c>
      <c r="F120">
        <v>-0.78440703140103685</v>
      </c>
      <c r="G120">
        <v>0.95757458349684266</v>
      </c>
      <c r="H120">
        <v>0.79457800043274984</v>
      </c>
      <c r="I120">
        <v>1.0077750456137324</v>
      </c>
      <c r="J120">
        <v>0.52121725655120754</v>
      </c>
      <c r="L120">
        <v>0.8411886964674864</v>
      </c>
      <c r="M120">
        <v>3.3553840144123339</v>
      </c>
      <c r="N120">
        <v>0.66342143568182521</v>
      </c>
      <c r="P120">
        <v>4.2689590960043399E-12</v>
      </c>
      <c r="R120">
        <v>4.2196534208925307</v>
      </c>
      <c r="S120">
        <v>4.2243239500446652</v>
      </c>
      <c r="T120">
        <v>1</v>
      </c>
      <c r="U120">
        <v>2.4503036114677172</v>
      </c>
    </row>
    <row r="121" spans="1:21">
      <c r="A121">
        <v>-0.98904783598635371</v>
      </c>
      <c r="B121">
        <v>1.1199973082163672</v>
      </c>
      <c r="C121">
        <v>0.29652724347983894</v>
      </c>
      <c r="D121">
        <v>-0.55420320815977686</v>
      </c>
      <c r="E121">
        <v>-0.16419707943424852</v>
      </c>
      <c r="F121">
        <v>5.2245580604368083E-2</v>
      </c>
      <c r="G121">
        <v>0.91441577458000289</v>
      </c>
      <c r="H121">
        <v>0.3046599224142777</v>
      </c>
      <c r="I121">
        <v>0.59871296983608469</v>
      </c>
      <c r="J121">
        <v>0.15575388877945023</v>
      </c>
      <c r="L121">
        <v>0.84118910176808703</v>
      </c>
      <c r="M121">
        <v>3.3553881466275319</v>
      </c>
      <c r="N121">
        <v>4.453816753598689</v>
      </c>
      <c r="P121">
        <v>4.1673029815508183E-11</v>
      </c>
      <c r="R121">
        <v>7.3001627320782827</v>
      </c>
      <c r="S121">
        <v>7.309134947611736</v>
      </c>
      <c r="T121">
        <v>1</v>
      </c>
      <c r="U121">
        <v>2.4721205257502379</v>
      </c>
    </row>
    <row r="122" spans="1:21">
      <c r="A122">
        <v>-0.99035378476055458</v>
      </c>
      <c r="B122">
        <v>1.1117281078857708</v>
      </c>
      <c r="C122">
        <v>0.31251040627813842</v>
      </c>
      <c r="D122">
        <v>-0.10963116781914294</v>
      </c>
      <c r="E122">
        <v>0.31274270983258973</v>
      </c>
      <c r="F122">
        <v>0.34010877567984998</v>
      </c>
      <c r="G122">
        <v>0.41952925804652491</v>
      </c>
      <c r="H122">
        <v>0.61068716835791437</v>
      </c>
      <c r="I122">
        <v>0.6235616794324198</v>
      </c>
      <c r="J122">
        <v>0.60111954730156403</v>
      </c>
      <c r="L122">
        <v>0.84119061207218282</v>
      </c>
      <c r="M122">
        <v>3.3553870284713692</v>
      </c>
      <c r="N122">
        <v>4.4538175902189732</v>
      </c>
      <c r="P122">
        <v>3.1522303061567314E-11</v>
      </c>
      <c r="R122">
        <v>7.3001627320782827</v>
      </c>
      <c r="S122">
        <v>7.309134947611736</v>
      </c>
      <c r="T122">
        <v>1</v>
      </c>
      <c r="U122">
        <v>2.4721205257502379</v>
      </c>
    </row>
    <row r="123" spans="1:21">
      <c r="A123">
        <v>-0.99419547081589477</v>
      </c>
      <c r="B123">
        <v>1.1100763711449693</v>
      </c>
      <c r="C123">
        <v>0.32215228074590707</v>
      </c>
      <c r="D123">
        <v>-0.83483938038000682</v>
      </c>
      <c r="E123">
        <v>0.66375623896297065</v>
      </c>
      <c r="F123">
        <v>-6.0998151493214768E-2</v>
      </c>
      <c r="G123">
        <v>0.64175287959188065</v>
      </c>
      <c r="H123">
        <v>0.50624442418246696</v>
      </c>
      <c r="I123">
        <v>0.75205902591397245</v>
      </c>
      <c r="J123">
        <v>0.23080975805595494</v>
      </c>
      <c r="L123">
        <v>0.84118972212176402</v>
      </c>
      <c r="M123">
        <v>3.3553879046493802</v>
      </c>
      <c r="N123">
        <v>4.4538170538324406</v>
      </c>
      <c r="P123">
        <v>3.88563286135193E-11</v>
      </c>
      <c r="R123">
        <v>7.3001627320782827</v>
      </c>
      <c r="S123">
        <v>7.309134947611736</v>
      </c>
      <c r="T123">
        <v>1</v>
      </c>
      <c r="U123">
        <v>2.4721205257502379</v>
      </c>
    </row>
    <row r="124" spans="1:21">
      <c r="A124">
        <v>-0.99719380994196893</v>
      </c>
      <c r="B124">
        <v>1.0993376419795613</v>
      </c>
      <c r="C124">
        <v>0.31653303575351943</v>
      </c>
      <c r="D124">
        <v>0.19161340091754608</v>
      </c>
      <c r="E124">
        <v>-0.18445865217404087</v>
      </c>
      <c r="F124">
        <v>-0.59976531119247201</v>
      </c>
      <c r="G124">
        <v>0.49351449197843872</v>
      </c>
      <c r="H124">
        <v>0.73431774304823572</v>
      </c>
      <c r="I124">
        <v>0.10219930701097966</v>
      </c>
      <c r="J124">
        <v>0.5848625904103204</v>
      </c>
      <c r="L124">
        <v>0.84119086793880071</v>
      </c>
      <c r="M124">
        <v>3.3553865651278225</v>
      </c>
      <c r="N124">
        <v>4.4538179288833337</v>
      </c>
      <c r="P124">
        <v>2.7566636387371309E-11</v>
      </c>
      <c r="R124">
        <v>7.3001627320782827</v>
      </c>
      <c r="S124">
        <v>7.309134947611736</v>
      </c>
      <c r="T124">
        <v>1</v>
      </c>
      <c r="U124">
        <v>2.4721205257502379</v>
      </c>
    </row>
    <row r="125" spans="1:21">
      <c r="A125">
        <v>-0.98940816684422905</v>
      </c>
      <c r="B125">
        <v>1.105312735807376</v>
      </c>
      <c r="C125">
        <v>0.30268720776931873</v>
      </c>
      <c r="D125">
        <v>0.75686720418194142</v>
      </c>
      <c r="E125">
        <v>0.30181276513219002</v>
      </c>
      <c r="F125">
        <v>-0.30024512177358065</v>
      </c>
      <c r="G125">
        <v>0.37952524677322941</v>
      </c>
      <c r="H125">
        <v>0.87369776991146475</v>
      </c>
      <c r="I125">
        <v>0.90061286907173521</v>
      </c>
      <c r="J125">
        <v>0.96205126874932079</v>
      </c>
      <c r="L125">
        <v>0.84119022844865554</v>
      </c>
      <c r="M125">
        <v>3.3553874439455278</v>
      </c>
      <c r="N125">
        <v>4.4538172845010688</v>
      </c>
      <c r="P125">
        <v>3.5038200530931632E-11</v>
      </c>
      <c r="R125">
        <v>7.3001627320782827</v>
      </c>
      <c r="S125">
        <v>7.309134947611736</v>
      </c>
      <c r="T125">
        <v>1</v>
      </c>
      <c r="U125">
        <v>2.4721205257502379</v>
      </c>
    </row>
    <row r="126" spans="1:21">
      <c r="A126">
        <v>-0.99593073005394228</v>
      </c>
      <c r="B126">
        <v>1.1066349415804804</v>
      </c>
      <c r="C126">
        <v>0.31905237580007428</v>
      </c>
      <c r="D126">
        <v>0.49923879654314091</v>
      </c>
      <c r="E126">
        <v>0.39173398544819182</v>
      </c>
      <c r="F126">
        <v>0.3536400840132759</v>
      </c>
      <c r="G126">
        <v>0.18090163489777369</v>
      </c>
      <c r="H126">
        <v>0.75385385130090043</v>
      </c>
      <c r="I126">
        <v>3.3611966505384588E-2</v>
      </c>
      <c r="J126">
        <v>0.20754376510558448</v>
      </c>
      <c r="L126">
        <v>0.84119103272421025</v>
      </c>
      <c r="M126">
        <v>3.3553853925163648</v>
      </c>
      <c r="N126">
        <v>4.4538187449535975</v>
      </c>
      <c r="P126">
        <v>1.8050348884010766E-11</v>
      </c>
      <c r="R126">
        <v>7.3001627320782827</v>
      </c>
      <c r="S126">
        <v>7.309134947611736</v>
      </c>
      <c r="T126">
        <v>1</v>
      </c>
      <c r="U126">
        <v>2.4721205257502379</v>
      </c>
    </row>
    <row r="127" spans="1:21">
      <c r="A127">
        <v>-0.97337113947670362</v>
      </c>
      <c r="B127">
        <v>1.1252732937796583</v>
      </c>
      <c r="C127">
        <v>0.29971852722531328</v>
      </c>
      <c r="D127">
        <v>-2.9399030480673379E-2</v>
      </c>
      <c r="E127">
        <v>-0.5948895148411304</v>
      </c>
      <c r="F127">
        <v>0.32402754645677179</v>
      </c>
      <c r="G127">
        <v>4.4328819994403024E-2</v>
      </c>
      <c r="H127">
        <v>0.60519435717921999</v>
      </c>
      <c r="I127">
        <v>0.9392719287970045</v>
      </c>
      <c r="J127">
        <v>0.4838513912841591</v>
      </c>
      <c r="L127">
        <v>0.84118976973931803</v>
      </c>
      <c r="M127">
        <v>3.3553878288926287</v>
      </c>
      <c r="N127">
        <v>4.4538170865484314</v>
      </c>
      <c r="P127">
        <v>3.8063865736963827E-11</v>
      </c>
      <c r="R127">
        <v>7.3001627320782827</v>
      </c>
      <c r="S127">
        <v>7.309134947611736</v>
      </c>
      <c r="T127">
        <v>1</v>
      </c>
      <c r="U127">
        <v>2.4721205257502379</v>
      </c>
    </row>
    <row r="128" spans="1:21">
      <c r="A128">
        <v>-1.0006753355055538</v>
      </c>
      <c r="B128">
        <v>1.0980725137637219</v>
      </c>
      <c r="C128">
        <v>0.30702639045258634</v>
      </c>
      <c r="D128">
        <v>0.28524078059410951</v>
      </c>
      <c r="E128">
        <v>0.54480125405984314</v>
      </c>
      <c r="F128">
        <v>-0.20479144791201176</v>
      </c>
      <c r="G128">
        <v>0.45572948409556019</v>
      </c>
      <c r="H128">
        <v>0.25804283585547982</v>
      </c>
      <c r="I128">
        <v>0.19749459559250249</v>
      </c>
      <c r="J128">
        <v>0.65246649406722568</v>
      </c>
      <c r="L128">
        <v>0.84118989657041465</v>
      </c>
      <c r="M128">
        <v>3.3553841402497602</v>
      </c>
      <c r="N128">
        <v>4.4538206081284155</v>
      </c>
      <c r="P128">
        <v>4.9405287556201157E-12</v>
      </c>
      <c r="R128">
        <v>7.3001627320782827</v>
      </c>
      <c r="S128">
        <v>7.309134947611736</v>
      </c>
      <c r="T128">
        <v>1</v>
      </c>
      <c r="U128">
        <v>2.4721205257502379</v>
      </c>
    </row>
    <row r="129" spans="1:21">
      <c r="A129">
        <v>-0.98850416506247984</v>
      </c>
      <c r="B129">
        <v>1.1097303416074673</v>
      </c>
      <c r="C129">
        <v>0.31590675511187438</v>
      </c>
      <c r="D129">
        <v>-0.27754998206169867</v>
      </c>
      <c r="E129">
        <v>0.51344563422831668</v>
      </c>
      <c r="F129">
        <v>-0.17059211854552483</v>
      </c>
      <c r="G129">
        <v>1.7196369719646488E-2</v>
      </c>
      <c r="H129">
        <v>0.28553919491411611</v>
      </c>
      <c r="I129">
        <v>0.6332606671394938</v>
      </c>
      <c r="J129">
        <v>4.2329243842734503E-2</v>
      </c>
      <c r="L129">
        <v>0.84119054204661148</v>
      </c>
      <c r="M129">
        <v>3.355387114256009</v>
      </c>
      <c r="N129">
        <v>4.4538175371034434</v>
      </c>
      <c r="P129">
        <v>3.2167961842590376E-11</v>
      </c>
      <c r="R129">
        <v>7.3001627320782827</v>
      </c>
      <c r="S129">
        <v>7.309134947611736</v>
      </c>
      <c r="T129">
        <v>1</v>
      </c>
      <c r="U129">
        <v>2.4721205257502379</v>
      </c>
    </row>
    <row r="130" spans="1:21">
      <c r="A130">
        <v>-0.99231522192465649</v>
      </c>
      <c r="B130">
        <v>1.1101383738230319</v>
      </c>
      <c r="C130">
        <v>0.28982527577765821</v>
      </c>
      <c r="D130">
        <v>-0.38562811215576481</v>
      </c>
      <c r="E130">
        <v>-0.35189596491166947</v>
      </c>
      <c r="F130">
        <v>-0.14765698352462561</v>
      </c>
      <c r="G130">
        <v>0.88175594641839916</v>
      </c>
      <c r="H130">
        <v>1.1170795564825867E-2</v>
      </c>
      <c r="I130">
        <v>0.44364021214170646</v>
      </c>
      <c r="J130">
        <v>0.8441724205924872</v>
      </c>
      <c r="L130">
        <v>0.84119105286129814</v>
      </c>
      <c r="M130">
        <v>3.355385731099465</v>
      </c>
      <c r="N130">
        <v>4.453818628469187</v>
      </c>
      <c r="P130">
        <v>2.0323454398359188E-11</v>
      </c>
      <c r="R130">
        <v>7.3001627320782827</v>
      </c>
      <c r="S130">
        <v>7.309134947611736</v>
      </c>
      <c r="T130">
        <v>1</v>
      </c>
      <c r="U130">
        <v>2.4721205257502379</v>
      </c>
    </row>
    <row r="131" spans="1:21">
      <c r="A131">
        <v>-0.95859240393410972</v>
      </c>
      <c r="B131">
        <v>1.1990614408352815</v>
      </c>
      <c r="C131">
        <v>0.27373474161790257</v>
      </c>
      <c r="D131">
        <v>-0.15593706253024822</v>
      </c>
      <c r="E131">
        <v>0.3410465129681543</v>
      </c>
      <c r="F131">
        <v>-0.19645777729996486</v>
      </c>
      <c r="G131">
        <v>0.45854153121650532</v>
      </c>
      <c r="H131">
        <v>0.60016444434995619</v>
      </c>
      <c r="I131">
        <v>0.72183997647668974</v>
      </c>
      <c r="J131">
        <v>0.43451003365675711</v>
      </c>
      <c r="L131">
        <v>0.84118892517412447</v>
      </c>
      <c r="M131">
        <v>3.3553849263244286</v>
      </c>
      <c r="N131">
        <v>3.7173656295468906</v>
      </c>
      <c r="P131">
        <v>9.0228694688624115E-12</v>
      </c>
      <c r="R131">
        <v>4.797781381421685</v>
      </c>
      <c r="S131">
        <v>4.8011093563140337</v>
      </c>
      <c r="T131">
        <v>1</v>
      </c>
      <c r="U131">
        <v>2.1469341607833865</v>
      </c>
    </row>
    <row r="132" spans="1:21">
      <c r="A132">
        <v>-0.9632919769136753</v>
      </c>
      <c r="B132">
        <v>1.1982154762571922</v>
      </c>
      <c r="C132">
        <v>0.28080481734286511</v>
      </c>
      <c r="D132">
        <v>-0.20772694406787531</v>
      </c>
      <c r="E132">
        <v>0.41229278629370364</v>
      </c>
      <c r="F132">
        <v>-0.20194935658948265</v>
      </c>
      <c r="G132">
        <v>0.80835412190863842</v>
      </c>
      <c r="H132">
        <v>0.9590724201563785</v>
      </c>
      <c r="I132">
        <v>0.662720838715674</v>
      </c>
      <c r="J132">
        <v>0.91944391381141033</v>
      </c>
      <c r="L132">
        <v>0.84118782728329944</v>
      </c>
      <c r="M132">
        <v>3.3553841621837743</v>
      </c>
      <c r="N132">
        <v>3.7173668822889181</v>
      </c>
      <c r="P132">
        <v>2.0913490742744611E-12</v>
      </c>
      <c r="R132">
        <v>4.797781381421685</v>
      </c>
      <c r="S132">
        <v>4.8011093563140337</v>
      </c>
      <c r="T132">
        <v>1</v>
      </c>
      <c r="U132">
        <v>2.1469341607833865</v>
      </c>
    </row>
    <row r="133" spans="1:21">
      <c r="A133">
        <v>-0.94937100109920669</v>
      </c>
      <c r="B133">
        <v>1.199875047913546</v>
      </c>
      <c r="C133">
        <v>0.26189282351454701</v>
      </c>
      <c r="D133">
        <v>0.73584901480083764</v>
      </c>
      <c r="E133">
        <v>-0.26474693922408216</v>
      </c>
      <c r="F133">
        <v>-0.14620922427327049</v>
      </c>
      <c r="G133">
        <v>9.7725145017693429E-2</v>
      </c>
      <c r="H133">
        <v>0.85442475645971971</v>
      </c>
      <c r="I133">
        <v>0.89543009712345378</v>
      </c>
      <c r="J133">
        <v>4.4342944297998815E-2</v>
      </c>
      <c r="L133">
        <v>0.84118824970311157</v>
      </c>
      <c r="M133">
        <v>3.355382989297659</v>
      </c>
      <c r="N133">
        <v>3.7173678162438932</v>
      </c>
      <c r="P133">
        <v>7.6004272177918053E-14</v>
      </c>
      <c r="R133">
        <v>4.797781381421685</v>
      </c>
      <c r="S133">
        <v>4.8011093563140337</v>
      </c>
      <c r="T133">
        <v>1</v>
      </c>
      <c r="U133">
        <v>2.1469341607833865</v>
      </c>
    </row>
    <row r="134" spans="1:21">
      <c r="A134">
        <v>-0.95247092495124464</v>
      </c>
      <c r="B134">
        <v>1.1975538105831145</v>
      </c>
      <c r="C134">
        <v>0.24498779824938666</v>
      </c>
      <c r="D134">
        <v>0.88043588197468592</v>
      </c>
      <c r="E134">
        <v>-0.43435648084541911</v>
      </c>
      <c r="F134">
        <v>9.3723875627240414E-4</v>
      </c>
      <c r="G134">
        <v>0.425671724698029</v>
      </c>
      <c r="H134">
        <v>0.55502408066753905</v>
      </c>
      <c r="I134">
        <v>0.82720650814445418</v>
      </c>
      <c r="J134">
        <v>4.4482130503961229E-2</v>
      </c>
      <c r="L134">
        <v>0.84118801661522447</v>
      </c>
      <c r="M134">
        <v>3.355384461211945</v>
      </c>
      <c r="N134">
        <v>3.7173665141961973</v>
      </c>
      <c r="P134">
        <v>3.6152388069029692E-12</v>
      </c>
      <c r="R134">
        <v>4.797781381421685</v>
      </c>
      <c r="S134">
        <v>4.8011093563140337</v>
      </c>
      <c r="T134">
        <v>1</v>
      </c>
      <c r="U134">
        <v>2.1469341607833865</v>
      </c>
    </row>
    <row r="135" spans="1:21">
      <c r="A135">
        <v>-0.95973283526439535</v>
      </c>
      <c r="B135">
        <v>1.1986768478435834</v>
      </c>
      <c r="C135">
        <v>0.26348356350382446</v>
      </c>
      <c r="D135">
        <v>-0.17309087575265755</v>
      </c>
      <c r="E135">
        <v>-0.15819134737510315</v>
      </c>
      <c r="F135">
        <v>-0.25528241213253766</v>
      </c>
      <c r="G135">
        <v>0.78287962423873136</v>
      </c>
      <c r="H135">
        <v>0.51161621235080035</v>
      </c>
      <c r="I135">
        <v>0.58477555887401711</v>
      </c>
      <c r="J135">
        <v>0.38482521317120361</v>
      </c>
      <c r="L135">
        <v>0.84118912409204161</v>
      </c>
      <c r="M135">
        <v>3.3553834812813053</v>
      </c>
      <c r="N135">
        <v>3.7173668852275159</v>
      </c>
      <c r="P135">
        <v>2.2572457856380987E-12</v>
      </c>
      <c r="R135">
        <v>4.797781381421685</v>
      </c>
      <c r="S135">
        <v>4.8011093563140337</v>
      </c>
      <c r="T135">
        <v>1</v>
      </c>
      <c r="U135">
        <v>2.1469341607833865</v>
      </c>
    </row>
    <row r="136" spans="1:21">
      <c r="A136">
        <v>-0.94996106426228444</v>
      </c>
      <c r="B136">
        <v>1.2003572132953531</v>
      </c>
      <c r="C136">
        <v>0.26308875033260742</v>
      </c>
      <c r="D136">
        <v>7.3699740122933941E-2</v>
      </c>
      <c r="E136">
        <v>-0.80106101837858679</v>
      </c>
      <c r="F136">
        <v>-1.6517055016044602E-2</v>
      </c>
      <c r="G136">
        <v>0.16899043668623037</v>
      </c>
      <c r="H136">
        <v>0.48707255476244288</v>
      </c>
      <c r="I136">
        <v>0.52911409349834038</v>
      </c>
      <c r="J136">
        <v>0.17250922220302151</v>
      </c>
      <c r="L136">
        <v>0.84118781143867938</v>
      </c>
      <c r="M136">
        <v>3.3553841058380516</v>
      </c>
      <c r="N136">
        <v>3.7173668705310825</v>
      </c>
      <c r="P136">
        <v>1.9905265274821017E-12</v>
      </c>
      <c r="R136">
        <v>4.797781381421685</v>
      </c>
      <c r="S136">
        <v>4.8011093563140337</v>
      </c>
      <c r="T136">
        <v>1</v>
      </c>
      <c r="U136">
        <v>2.1469341607833865</v>
      </c>
    </row>
    <row r="137" spans="1:21">
      <c r="A137">
        <v>-0.95493214156152728</v>
      </c>
      <c r="B137">
        <v>1.1929712250311821</v>
      </c>
      <c r="C137">
        <v>0.27420313193172413</v>
      </c>
      <c r="D137">
        <v>0.26913439978307013</v>
      </c>
      <c r="E137">
        <v>-2.219558116829248E-2</v>
      </c>
      <c r="F137">
        <v>-0.52712214330739215</v>
      </c>
      <c r="G137">
        <v>0.18362558261429426</v>
      </c>
      <c r="H137">
        <v>0.80701360050253279</v>
      </c>
      <c r="I137">
        <v>0.83129030087867106</v>
      </c>
      <c r="J137">
        <v>0.80762064432336755</v>
      </c>
      <c r="L137">
        <v>0.84118931809146069</v>
      </c>
      <c r="M137">
        <v>3.3553848377280682</v>
      </c>
      <c r="N137">
        <v>3.7173656835822344</v>
      </c>
      <c r="P137">
        <v>9.3594436289372844E-12</v>
      </c>
      <c r="R137">
        <v>4.797781381421685</v>
      </c>
      <c r="S137">
        <v>4.8011093563140337</v>
      </c>
      <c r="T137">
        <v>1</v>
      </c>
      <c r="U137">
        <v>2.1469341607833865</v>
      </c>
    </row>
    <row r="138" spans="1:21">
      <c r="A138">
        <v>-0.95939833571695821</v>
      </c>
      <c r="B138">
        <v>1.2011230574275795</v>
      </c>
      <c r="C138">
        <v>0.2646662670016241</v>
      </c>
      <c r="D138">
        <v>5.9893900722560983E-2</v>
      </c>
      <c r="E138">
        <v>1.700942949217385E-2</v>
      </c>
      <c r="F138">
        <v>-0.53299462249536045</v>
      </c>
      <c r="G138">
        <v>0.89623344675453076</v>
      </c>
      <c r="H138">
        <v>0.84413524978985954</v>
      </c>
      <c r="I138">
        <v>0.76380408617294804</v>
      </c>
      <c r="J138">
        <v>7.9511257380295575E-2</v>
      </c>
      <c r="L138">
        <v>0.84118944138929663</v>
      </c>
      <c r="M138">
        <v>3.3553845661023849</v>
      </c>
      <c r="N138">
        <v>3.7173658420514428</v>
      </c>
      <c r="P138">
        <v>8.1573015514858818E-12</v>
      </c>
      <c r="R138">
        <v>4.797781381421685</v>
      </c>
      <c r="S138">
        <v>4.8011093563140337</v>
      </c>
      <c r="T138">
        <v>1</v>
      </c>
      <c r="U138">
        <v>2.1469341607833865</v>
      </c>
    </row>
    <row r="139" spans="1:21">
      <c r="A139">
        <v>-0.96257833268073023</v>
      </c>
      <c r="B139">
        <v>1.1951404051934447</v>
      </c>
      <c r="C139">
        <v>0.27118996795357991</v>
      </c>
      <c r="D139">
        <v>-0.30309727412494092</v>
      </c>
      <c r="E139">
        <v>-0.49094758651967996</v>
      </c>
      <c r="F139">
        <v>-0.62942013065601077</v>
      </c>
      <c r="G139">
        <v>0.63359469406856816</v>
      </c>
      <c r="H139">
        <v>0.40927621011354987</v>
      </c>
      <c r="I139">
        <v>5.2019867169893777E-2</v>
      </c>
      <c r="J139">
        <v>0.47821347006660297</v>
      </c>
      <c r="L139">
        <v>0.84118910841546957</v>
      </c>
      <c r="M139">
        <v>3.355383462070463</v>
      </c>
      <c r="N139">
        <v>3.7173669698935567</v>
      </c>
      <c r="P139">
        <v>2.0657786152444267E-12</v>
      </c>
      <c r="R139">
        <v>4.797781381421685</v>
      </c>
      <c r="S139">
        <v>4.8011093563140337</v>
      </c>
      <c r="T139">
        <v>1</v>
      </c>
      <c r="U139">
        <v>2.1469341607833865</v>
      </c>
    </row>
    <row r="140" spans="1:21">
      <c r="A140">
        <v>-0.96370986399696446</v>
      </c>
      <c r="B140">
        <v>1.2089774977945007</v>
      </c>
      <c r="C140">
        <v>0.29286041948999042</v>
      </c>
      <c r="D140">
        <v>-0.76894744500670742</v>
      </c>
      <c r="E140">
        <v>0.30955022408830279</v>
      </c>
      <c r="F140">
        <v>0.24311728076719427</v>
      </c>
      <c r="G140">
        <v>0.81234201461344591</v>
      </c>
      <c r="H140">
        <v>0.96440507095536765</v>
      </c>
      <c r="I140">
        <v>0.16954248401297375</v>
      </c>
      <c r="J140">
        <v>0.38109278938647906</v>
      </c>
      <c r="L140">
        <v>0.84118776868763334</v>
      </c>
      <c r="M140">
        <v>3.3553835490039963</v>
      </c>
      <c r="N140">
        <v>3.7173674972340103</v>
      </c>
      <c r="P140">
        <v>3.9626762456611007E-13</v>
      </c>
      <c r="R140">
        <v>4.797781381421685</v>
      </c>
      <c r="S140">
        <v>4.8011093563140337</v>
      </c>
      <c r="T140">
        <v>1</v>
      </c>
      <c r="U140">
        <v>2.1469341607833865</v>
      </c>
    </row>
    <row r="141" spans="1:21">
      <c r="A141">
        <v>-1.0985826191860875</v>
      </c>
      <c r="B141">
        <v>1.0041823879107141</v>
      </c>
      <c r="C141">
        <v>0.43682370315963709</v>
      </c>
      <c r="D141">
        <v>0.21425013352353006</v>
      </c>
      <c r="E141">
        <v>-0.57844499437747665</v>
      </c>
      <c r="F141">
        <v>-0.28597714316018952</v>
      </c>
      <c r="G141">
        <v>0.73354528428282473</v>
      </c>
      <c r="H141">
        <v>0.59651848711094291</v>
      </c>
      <c r="I141">
        <v>0.94060403817122751</v>
      </c>
      <c r="J141">
        <v>0.38802573098372367</v>
      </c>
      <c r="L141">
        <v>0.84118952468135044</v>
      </c>
      <c r="M141">
        <v>0.66341979029717291</v>
      </c>
      <c r="N141">
        <v>4.4538205871096732</v>
      </c>
      <c r="P141">
        <v>1.3307150075145777E-11</v>
      </c>
      <c r="R141">
        <v>5.4601440346102681</v>
      </c>
      <c r="S141">
        <v>5.4695394540896514</v>
      </c>
      <c r="T141">
        <v>1</v>
      </c>
      <c r="U141">
        <v>2.7123915755660324</v>
      </c>
    </row>
    <row r="142" spans="1:21">
      <c r="A142">
        <v>-1.0955517156129326</v>
      </c>
      <c r="B142">
        <v>1.0052719175837244</v>
      </c>
      <c r="C142">
        <v>0.45782715369420551</v>
      </c>
      <c r="D142">
        <v>-0.43805027868750623</v>
      </c>
      <c r="E142">
        <v>-0.36446316458179362</v>
      </c>
      <c r="F142">
        <v>-0.46702125523225163</v>
      </c>
      <c r="G142">
        <v>0.56717783860673854</v>
      </c>
      <c r="H142">
        <v>0.8604994306948428</v>
      </c>
      <c r="I142">
        <v>0.73453976897267592</v>
      </c>
      <c r="J142">
        <v>0.1532349049370044</v>
      </c>
      <c r="L142">
        <v>0.84118863073269046</v>
      </c>
      <c r="M142">
        <v>0.66341922933540798</v>
      </c>
      <c r="N142">
        <v>4.4538210344275573</v>
      </c>
      <c r="P142">
        <v>1.5651407423974431E-11</v>
      </c>
      <c r="R142">
        <v>5.4601440346102681</v>
      </c>
      <c r="S142">
        <v>5.4695394540896514</v>
      </c>
      <c r="T142">
        <v>1</v>
      </c>
      <c r="U142">
        <v>2.7123915755660324</v>
      </c>
    </row>
    <row r="143" spans="1:21">
      <c r="A143">
        <v>-1.0919872148760108</v>
      </c>
      <c r="B143">
        <v>1.007591554459192</v>
      </c>
      <c r="C143">
        <v>0.44142712731189693</v>
      </c>
      <c r="D143">
        <v>-0.64146272861024878</v>
      </c>
      <c r="E143">
        <v>0.23051533591701198</v>
      </c>
      <c r="F143">
        <v>0.1398499536451899</v>
      </c>
      <c r="G143">
        <v>0.39935705620182721</v>
      </c>
      <c r="H143">
        <v>0.12936763995310446</v>
      </c>
      <c r="I143">
        <v>0.82192057383677475</v>
      </c>
      <c r="J143">
        <v>0.69273883988964091</v>
      </c>
      <c r="L143">
        <v>0.84118960770968543</v>
      </c>
      <c r="M143">
        <v>0.66342214878226879</v>
      </c>
      <c r="N143">
        <v>4.4538200963859431</v>
      </c>
      <c r="P143">
        <v>3.6974438355597645E-12</v>
      </c>
      <c r="R143">
        <v>5.4601440346102681</v>
      </c>
      <c r="S143">
        <v>5.4695394540896514</v>
      </c>
      <c r="T143">
        <v>1</v>
      </c>
      <c r="U143">
        <v>2.7123915755660324</v>
      </c>
    </row>
    <row r="144" spans="1:21">
      <c r="A144">
        <v>-1.0903357697512681</v>
      </c>
      <c r="B144">
        <v>1.0097845041861693</v>
      </c>
      <c r="C144">
        <v>0.43513478161371821</v>
      </c>
      <c r="D144">
        <v>-0.37405951983251873</v>
      </c>
      <c r="E144">
        <v>0.3517176313436966</v>
      </c>
      <c r="F144">
        <v>0.11546571955082306</v>
      </c>
      <c r="G144">
        <v>0.45046632114672647</v>
      </c>
      <c r="H144">
        <v>0.21871047699852933</v>
      </c>
      <c r="I144">
        <v>0.82506355944049337</v>
      </c>
      <c r="J144">
        <v>0.68572296820974799</v>
      </c>
      <c r="L144">
        <v>0.84118908297148598</v>
      </c>
      <c r="M144">
        <v>0.66341941593980669</v>
      </c>
      <c r="N144">
        <v>4.4538208754136477</v>
      </c>
      <c r="P144">
        <v>1.4888444233301015E-11</v>
      </c>
      <c r="R144">
        <v>5.4601440346102681</v>
      </c>
      <c r="S144">
        <v>5.4695394540896514</v>
      </c>
      <c r="T144">
        <v>1</v>
      </c>
      <c r="U144">
        <v>2.7123915755660324</v>
      </c>
    </row>
    <row r="145" spans="1:21">
      <c r="A145">
        <v>-1.0835107340541363</v>
      </c>
      <c r="B145">
        <v>1.0117005716928182</v>
      </c>
      <c r="C145">
        <v>0.42297281841310924</v>
      </c>
      <c r="D145">
        <v>0.72219754935054625</v>
      </c>
      <c r="E145">
        <v>0.38343930708644697</v>
      </c>
      <c r="F145">
        <v>-0.34114868593600928</v>
      </c>
      <c r="G145">
        <v>0.34124882370751697</v>
      </c>
      <c r="H145">
        <v>0.74967653647951904</v>
      </c>
      <c r="I145">
        <v>0.41696253566671293</v>
      </c>
      <c r="J145">
        <v>0.77419658238477318</v>
      </c>
      <c r="L145">
        <v>0.84118898702895317</v>
      </c>
      <c r="M145">
        <v>0.66341936898796083</v>
      </c>
      <c r="N145">
        <v>4.4538207993952019</v>
      </c>
      <c r="P145">
        <v>1.498380612369663E-11</v>
      </c>
      <c r="R145">
        <v>5.4601440346102681</v>
      </c>
      <c r="S145">
        <v>5.4695394540896514</v>
      </c>
      <c r="T145">
        <v>1</v>
      </c>
      <c r="U145">
        <v>2.7123915755660324</v>
      </c>
    </row>
    <row r="146" spans="1:21">
      <c r="A146">
        <v>-1.0994268686546662</v>
      </c>
      <c r="B146">
        <v>1.0007780211890187</v>
      </c>
      <c r="C146">
        <v>0.46545861893596036</v>
      </c>
      <c r="D146">
        <v>-0.59551949640922253</v>
      </c>
      <c r="E146">
        <v>-0.22875966897757849</v>
      </c>
      <c r="F146">
        <v>0.245772638483468</v>
      </c>
      <c r="G146">
        <v>0.22941110496795458</v>
      </c>
      <c r="H146">
        <v>0.4914636471196675</v>
      </c>
      <c r="I146">
        <v>0.77171443018139996</v>
      </c>
      <c r="J146">
        <v>0.41090858663041757</v>
      </c>
      <c r="L146">
        <v>0.84118980944768196</v>
      </c>
      <c r="M146">
        <v>0.66342028438893164</v>
      </c>
      <c r="N146">
        <v>4.4538203822360627</v>
      </c>
      <c r="P146">
        <v>1.1250387078768365E-11</v>
      </c>
      <c r="R146">
        <v>5.4601440346102681</v>
      </c>
      <c r="S146">
        <v>5.4695394540896514</v>
      </c>
      <c r="T146">
        <v>1</v>
      </c>
      <c r="U146">
        <v>2.7123915755660324</v>
      </c>
    </row>
    <row r="147" spans="1:21">
      <c r="A147">
        <v>-1.0947067062131199</v>
      </c>
      <c r="B147">
        <v>1.0036776916293753</v>
      </c>
      <c r="C147">
        <v>0.44983014647349923</v>
      </c>
      <c r="D147">
        <v>2.93442276820961E-3</v>
      </c>
      <c r="E147">
        <v>0.15289297488287173</v>
      </c>
      <c r="F147">
        <v>-0.49603404373654042</v>
      </c>
      <c r="G147">
        <v>0.27305638716184849</v>
      </c>
      <c r="H147">
        <v>0.61511844781834168</v>
      </c>
      <c r="I147">
        <v>0.89185025469634849</v>
      </c>
      <c r="J147">
        <v>5.7107462188427806E-2</v>
      </c>
      <c r="L147">
        <v>0.84118878665557684</v>
      </c>
      <c r="M147">
        <v>0.66342045857619381</v>
      </c>
      <c r="N147">
        <v>4.4538207934518681</v>
      </c>
      <c r="P147">
        <v>7.6840134281613232E-12</v>
      </c>
      <c r="R147">
        <v>5.4601440346102681</v>
      </c>
      <c r="S147">
        <v>5.4695394540896514</v>
      </c>
      <c r="T147">
        <v>1</v>
      </c>
      <c r="U147">
        <v>2.7123915755660324</v>
      </c>
    </row>
    <row r="148" spans="1:21">
      <c r="A148">
        <v>-1.0846703039118926</v>
      </c>
      <c r="B148">
        <v>1.0088141390421776</v>
      </c>
      <c r="C148">
        <v>0.44011680368294803</v>
      </c>
      <c r="D148">
        <v>-9.5718676613461229E-2</v>
      </c>
      <c r="E148">
        <v>-0.35945146038527687</v>
      </c>
      <c r="F148">
        <v>-0.6563679984537012</v>
      </c>
      <c r="G148">
        <v>0.48534851968996556</v>
      </c>
      <c r="H148">
        <v>0.89592062904033642</v>
      </c>
      <c r="I148">
        <v>0.13756900867083188</v>
      </c>
      <c r="J148">
        <v>0.86067400394184757</v>
      </c>
      <c r="L148">
        <v>0.84118864449066122</v>
      </c>
      <c r="M148">
        <v>0.66341923845275164</v>
      </c>
      <c r="N148">
        <v>4.4538209646078508</v>
      </c>
      <c r="P148">
        <v>1.5529620379356933E-11</v>
      </c>
      <c r="R148">
        <v>5.4601440346102681</v>
      </c>
      <c r="S148">
        <v>5.4695394540896514</v>
      </c>
      <c r="T148">
        <v>1</v>
      </c>
      <c r="U148">
        <v>2.7123915755660324</v>
      </c>
    </row>
    <row r="149" spans="1:21">
      <c r="A149">
        <v>-1.0929407831080844</v>
      </c>
      <c r="B149">
        <v>1.0087253163358358</v>
      </c>
      <c r="C149">
        <v>0.44631670605635482</v>
      </c>
      <c r="D149">
        <v>0.11954883923287299</v>
      </c>
      <c r="E149">
        <v>0.3998886079258841</v>
      </c>
      <c r="F149">
        <v>7.5187988485099153E-2</v>
      </c>
      <c r="G149">
        <v>0.35689392949181215</v>
      </c>
      <c r="H149">
        <v>0.73373217315977091</v>
      </c>
      <c r="I149">
        <v>0.86125713970425832</v>
      </c>
      <c r="J149">
        <v>0.27763299691891247</v>
      </c>
      <c r="L149">
        <v>0.84118869559907505</v>
      </c>
      <c r="M149">
        <v>0.66342279912978752</v>
      </c>
      <c r="N149">
        <v>4.4538202171158723</v>
      </c>
      <c r="P149">
        <v>6.7554953021191874E-13</v>
      </c>
      <c r="R149">
        <v>5.4601440346102681</v>
      </c>
      <c r="S149">
        <v>5.4695394540896514</v>
      </c>
      <c r="T149">
        <v>1</v>
      </c>
      <c r="U149">
        <v>2.7123915755660324</v>
      </c>
    </row>
    <row r="150" spans="1:21">
      <c r="A150">
        <v>-1.0886412252205144</v>
      </c>
      <c r="B150">
        <v>1.0138827187798849</v>
      </c>
      <c r="C150">
        <v>0.43466509307365053</v>
      </c>
      <c r="D150">
        <v>0.36216126976608548</v>
      </c>
      <c r="E150">
        <v>0.97165792835872788</v>
      </c>
      <c r="F150">
        <v>0.24419180529007534</v>
      </c>
      <c r="G150">
        <v>0.25774273379316115</v>
      </c>
      <c r="H150">
        <v>0.57950221800846058</v>
      </c>
      <c r="I150">
        <v>0.81107659223186479</v>
      </c>
      <c r="J150">
        <v>0.20223802190995468</v>
      </c>
      <c r="L150">
        <v>0.84118934406990531</v>
      </c>
      <c r="M150">
        <v>0.66341980492000918</v>
      </c>
      <c r="N150">
        <v>4.4538202461228433</v>
      </c>
      <c r="P150">
        <v>1.2745869172518594E-11</v>
      </c>
      <c r="R150">
        <v>5.4601440346102681</v>
      </c>
      <c r="S150">
        <v>5.4695394540896514</v>
      </c>
      <c r="T150">
        <v>1</v>
      </c>
      <c r="U150">
        <v>2.7123915755660324</v>
      </c>
    </row>
    <row r="151" spans="1:21">
      <c r="A151">
        <v>-1.5691831776437686</v>
      </c>
      <c r="B151">
        <v>1.1666104830056097</v>
      </c>
      <c r="C151">
        <v>1.0958328230953844</v>
      </c>
      <c r="D151">
        <v>-0.42131817495250323</v>
      </c>
      <c r="E151">
        <v>-0.5740829624525291</v>
      </c>
      <c r="F151">
        <v>7.4064062413086343E-2</v>
      </c>
      <c r="G151">
        <v>0.25583460835648753</v>
      </c>
      <c r="H151">
        <v>0.21404172550948602</v>
      </c>
      <c r="I151">
        <v>0.34317196012461759</v>
      </c>
      <c r="J151">
        <v>0.84999687732290197</v>
      </c>
      <c r="L151">
        <v>0.84118728356479966</v>
      </c>
      <c r="M151">
        <v>0.66342189174257937</v>
      </c>
      <c r="N151">
        <v>3.7173684381372447</v>
      </c>
      <c r="P151">
        <v>2.422936063957936E-12</v>
      </c>
      <c r="R151">
        <v>14.825211659433096</v>
      </c>
      <c r="S151">
        <v>15.029251889619651</v>
      </c>
      <c r="T151">
        <v>1</v>
      </c>
      <c r="U151">
        <v>2.4798020697948133</v>
      </c>
    </row>
    <row r="152" spans="1:21">
      <c r="A152">
        <v>-1.5083449869387113</v>
      </c>
      <c r="B152">
        <v>1.1754712916511851</v>
      </c>
      <c r="C152">
        <v>1.0173226782288112</v>
      </c>
      <c r="D152">
        <v>-0.71582987722152758</v>
      </c>
      <c r="E152">
        <v>0.38778344027699918</v>
      </c>
      <c r="F152">
        <v>-0.64680401795839693</v>
      </c>
      <c r="G152">
        <v>0.84487234897970476</v>
      </c>
      <c r="H152">
        <v>0.73871767872950655</v>
      </c>
      <c r="I152">
        <v>5.1329023238122037E-2</v>
      </c>
      <c r="J152">
        <v>0.39302151807708346</v>
      </c>
      <c r="L152">
        <v>0.8411872660787727</v>
      </c>
      <c r="M152">
        <v>0.66342189092104942</v>
      </c>
      <c r="N152">
        <v>3.7173683952244567</v>
      </c>
      <c r="P152">
        <v>2.3920332539144179E-12</v>
      </c>
      <c r="R152">
        <v>14.825211659433096</v>
      </c>
      <c r="S152">
        <v>15.029251889619651</v>
      </c>
      <c r="T152">
        <v>1</v>
      </c>
      <c r="U152">
        <v>2.4798020697948133</v>
      </c>
    </row>
    <row r="153" spans="1:21">
      <c r="A153">
        <v>-1.502479930770843</v>
      </c>
      <c r="B153">
        <v>1.1686074347750284</v>
      </c>
      <c r="C153">
        <v>1.0015013377066357</v>
      </c>
      <c r="D153">
        <v>7.3454708016676445E-2</v>
      </c>
      <c r="E153">
        <v>0.67267978663085282</v>
      </c>
      <c r="F153">
        <v>-0.28287709486790363</v>
      </c>
      <c r="G153">
        <v>0.52806906147190769</v>
      </c>
      <c r="H153">
        <v>0.68160727345522854</v>
      </c>
      <c r="I153">
        <v>0.1981923097759738</v>
      </c>
      <c r="J153">
        <v>0.86963382627100616</v>
      </c>
      <c r="L153">
        <v>0.84118730207633829</v>
      </c>
      <c r="M153">
        <v>0.66342186368586953</v>
      </c>
      <c r="N153">
        <v>3.7173684707102117</v>
      </c>
      <c r="P153">
        <v>2.5119490458011184E-12</v>
      </c>
      <c r="R153">
        <v>14.825211659433096</v>
      </c>
      <c r="S153">
        <v>15.029251889619651</v>
      </c>
      <c r="T153">
        <v>1</v>
      </c>
      <c r="U153">
        <v>2.4798020697948133</v>
      </c>
    </row>
    <row r="154" spans="1:21">
      <c r="A154">
        <v>-1.5335204021459647</v>
      </c>
      <c r="B154">
        <v>1.1626527221623499</v>
      </c>
      <c r="C154">
        <v>1.0184053379680065</v>
      </c>
      <c r="D154">
        <v>0.95636917194731208</v>
      </c>
      <c r="E154">
        <v>-0.31667820342089148</v>
      </c>
      <c r="F154">
        <v>0.29003321206151628</v>
      </c>
      <c r="G154">
        <v>0.35820570926145451</v>
      </c>
      <c r="H154">
        <v>0.23703624789408625</v>
      </c>
      <c r="I154">
        <v>0.19056871794394586</v>
      </c>
      <c r="J154">
        <v>0.76678801881157121</v>
      </c>
      <c r="L154">
        <v>0.84118724499787534</v>
      </c>
      <c r="M154">
        <v>0.66342183440391633</v>
      </c>
      <c r="N154">
        <v>3.717368457768023</v>
      </c>
      <c r="P154">
        <v>2.6475055697497996E-12</v>
      </c>
      <c r="R154">
        <v>14.825211659433096</v>
      </c>
      <c r="S154">
        <v>15.029251889619651</v>
      </c>
      <c r="T154">
        <v>1</v>
      </c>
      <c r="U154">
        <v>2.4798020697948133</v>
      </c>
    </row>
    <row r="155" spans="1:21">
      <c r="A155">
        <v>-1.5303922318418701</v>
      </c>
      <c r="B155">
        <v>1.1719830237947366</v>
      </c>
      <c r="C155">
        <v>1.0092204102917297</v>
      </c>
      <c r="D155">
        <v>1.8509050156639243E-3</v>
      </c>
      <c r="E155">
        <v>-0.31520427096222947</v>
      </c>
      <c r="F155">
        <v>7.3150788438883577E-2</v>
      </c>
      <c r="G155">
        <v>1.0062136286820329</v>
      </c>
      <c r="H155">
        <v>6.7096115736460057E-2</v>
      </c>
      <c r="I155">
        <v>0.41426813161638409</v>
      </c>
      <c r="J155">
        <v>8.1435742303138686E-2</v>
      </c>
      <c r="L155">
        <v>0.84118732126140672</v>
      </c>
      <c r="M155">
        <v>0.66342180243164328</v>
      </c>
      <c r="N155">
        <v>3.7173685629942352</v>
      </c>
      <c r="P155">
        <v>2.7834325318140253E-12</v>
      </c>
      <c r="R155">
        <v>14.825211659433096</v>
      </c>
      <c r="S155">
        <v>15.029251889619651</v>
      </c>
      <c r="T155">
        <v>1</v>
      </c>
      <c r="U155">
        <v>2.4798020697948133</v>
      </c>
    </row>
    <row r="156" spans="1:21">
      <c r="A156">
        <v>-1.589978958808836</v>
      </c>
      <c r="B156">
        <v>1.1675928499235566</v>
      </c>
      <c r="C156">
        <v>1.1404253768627459</v>
      </c>
      <c r="D156">
        <v>-0.45556788701640083</v>
      </c>
      <c r="E156">
        <v>-0.30151996954559157</v>
      </c>
      <c r="F156">
        <v>-0.3435615655552442</v>
      </c>
      <c r="G156">
        <v>0.19197715226060794</v>
      </c>
      <c r="H156">
        <v>0.70795641417544986</v>
      </c>
      <c r="I156">
        <v>0.90559622411238194</v>
      </c>
      <c r="J156">
        <v>0.81707554593845855</v>
      </c>
      <c r="L156">
        <v>0.84118740470606257</v>
      </c>
      <c r="M156">
        <v>0.66342190402819379</v>
      </c>
      <c r="N156">
        <v>3.7173685578481699</v>
      </c>
      <c r="P156">
        <v>2.4187799797529874E-12</v>
      </c>
      <c r="R156">
        <v>14.825211659433096</v>
      </c>
      <c r="S156">
        <v>15.029251889619651</v>
      </c>
      <c r="T156">
        <v>1</v>
      </c>
      <c r="U156">
        <v>2.4798020697948133</v>
      </c>
    </row>
    <row r="157" spans="1:21">
      <c r="A157">
        <v>-1.5645354282025028</v>
      </c>
      <c r="B157">
        <v>1.1728597624117105</v>
      </c>
      <c r="C157">
        <v>1.0909449795238604</v>
      </c>
      <c r="D157">
        <v>-0.44767255425537578</v>
      </c>
      <c r="E157">
        <v>-0.42552651525121493</v>
      </c>
      <c r="F157">
        <v>0.47465347160322707</v>
      </c>
      <c r="G157">
        <v>0.37354383500169935</v>
      </c>
      <c r="H157">
        <v>0.35667775680748182</v>
      </c>
      <c r="I157">
        <v>0.11943771579346324</v>
      </c>
      <c r="J157">
        <v>0.61357004344484245</v>
      </c>
      <c r="L157">
        <v>0.8411874019279888</v>
      </c>
      <c r="M157">
        <v>0.66342199191080375</v>
      </c>
      <c r="N157">
        <v>3.7173685485539916</v>
      </c>
      <c r="P157">
        <v>2.2051841655356762E-12</v>
      </c>
      <c r="R157">
        <v>14.825211659433096</v>
      </c>
      <c r="S157">
        <v>15.029251889619651</v>
      </c>
      <c r="T157">
        <v>1</v>
      </c>
      <c r="U157">
        <v>2.4798020697948133</v>
      </c>
    </row>
    <row r="158" spans="1:21">
      <c r="A158">
        <v>-1.5251797519797432</v>
      </c>
      <c r="B158">
        <v>1.166873962432579</v>
      </c>
      <c r="C158">
        <v>1.0032988893794819</v>
      </c>
      <c r="D158">
        <v>0.43011112426254844</v>
      </c>
      <c r="E158">
        <v>0.18087903091309179</v>
      </c>
      <c r="F158">
        <v>-0.31499970839443675</v>
      </c>
      <c r="G158">
        <v>0.71560978407394749</v>
      </c>
      <c r="H158">
        <v>0.10555225682329167</v>
      </c>
      <c r="I158">
        <v>0.68168351377752456</v>
      </c>
      <c r="J158">
        <v>0.13998385680598699</v>
      </c>
      <c r="L158">
        <v>0.84118719970642486</v>
      </c>
      <c r="M158">
        <v>0.66342183992038439</v>
      </c>
      <c r="N158">
        <v>3.7173683951611567</v>
      </c>
      <c r="P158">
        <v>2.6172468663755118E-12</v>
      </c>
      <c r="R158">
        <v>14.825211659433096</v>
      </c>
      <c r="S158">
        <v>15.029251889619651</v>
      </c>
      <c r="T158">
        <v>1</v>
      </c>
      <c r="U158">
        <v>2.4798020697948133</v>
      </c>
    </row>
    <row r="159" spans="1:21">
      <c r="A159">
        <v>-1.5012366037162499</v>
      </c>
      <c r="B159">
        <v>1.1673131983545648</v>
      </c>
      <c r="C159">
        <v>0.96243057171631574</v>
      </c>
      <c r="D159">
        <v>0.73288353524042216</v>
      </c>
      <c r="E159">
        <v>0.11541646357312206</v>
      </c>
      <c r="F159">
        <v>-0.17458537240719912</v>
      </c>
      <c r="G159">
        <v>1.126016327448798</v>
      </c>
      <c r="H159">
        <v>0.4397418163150334</v>
      </c>
      <c r="I159">
        <v>0.62229648520009206</v>
      </c>
      <c r="J159">
        <v>0.48220955955491634</v>
      </c>
      <c r="L159">
        <v>0.84118722844512428</v>
      </c>
      <c r="M159">
        <v>0.66342177688370463</v>
      </c>
      <c r="N159">
        <v>3.7173684653877856</v>
      </c>
      <c r="P159">
        <v>2.8316381927174563E-12</v>
      </c>
      <c r="R159">
        <v>14.825211659433096</v>
      </c>
      <c r="S159">
        <v>15.029251889619651</v>
      </c>
      <c r="T159">
        <v>1</v>
      </c>
      <c r="U159">
        <v>2.4798020697948133</v>
      </c>
    </row>
    <row r="160" spans="1:21">
      <c r="A160">
        <v>-1.5062936110955949</v>
      </c>
      <c r="B160">
        <v>1.1633517924262435</v>
      </c>
      <c r="C160">
        <v>0.98778557718841764</v>
      </c>
      <c r="D160">
        <v>4.0985912585168573E-2</v>
      </c>
      <c r="E160">
        <v>0.47070746276050218</v>
      </c>
      <c r="F160">
        <v>-0.77292989574876614</v>
      </c>
      <c r="G160">
        <v>0.68724106684889663</v>
      </c>
      <c r="H160">
        <v>0.16775604419757165</v>
      </c>
      <c r="I160">
        <v>0.69505130892652733</v>
      </c>
      <c r="J160">
        <v>0.63357511398955535</v>
      </c>
      <c r="L160">
        <v>0.84118738323461828</v>
      </c>
      <c r="M160">
        <v>0.66342180085518621</v>
      </c>
      <c r="N160">
        <v>3.7173686137699273</v>
      </c>
      <c r="P160">
        <v>2.794858638780016E-12</v>
      </c>
      <c r="R160">
        <v>14.825211659433096</v>
      </c>
      <c r="S160">
        <v>15.029251889619651</v>
      </c>
      <c r="T160">
        <v>1</v>
      </c>
      <c r="U160">
        <v>2.4798020697948133</v>
      </c>
    </row>
    <row r="161" spans="1:21">
      <c r="A161">
        <v>-0.89188346385298833</v>
      </c>
      <c r="B161">
        <v>1.2087123629927412</v>
      </c>
      <c r="C161">
        <v>0.18675981222874863</v>
      </c>
      <c r="D161">
        <v>-0.3761454247397828</v>
      </c>
      <c r="E161">
        <v>-0.53913006803911145</v>
      </c>
      <c r="F161">
        <v>0.13418860850159572</v>
      </c>
      <c r="G161">
        <v>0.63580667289604098</v>
      </c>
      <c r="H161">
        <v>0.72309701515670666</v>
      </c>
      <c r="I161">
        <v>0.3152142270785151</v>
      </c>
      <c r="J161">
        <v>0.20703766667470477</v>
      </c>
      <c r="L161">
        <v>0.84119085010841776</v>
      </c>
      <c r="M161">
        <v>4.4538199307082218</v>
      </c>
      <c r="N161">
        <v>3.7173665812154684</v>
      </c>
      <c r="P161">
        <v>9.8921851911028717E-12</v>
      </c>
      <c r="R161">
        <v>4.7080601680628069</v>
      </c>
      <c r="S161">
        <v>4.7098691394570427</v>
      </c>
      <c r="T161">
        <v>1</v>
      </c>
      <c r="U161">
        <v>2.5021295704526123</v>
      </c>
    </row>
    <row r="162" spans="1:21">
      <c r="A162">
        <v>-0.91118752271607861</v>
      </c>
      <c r="B162">
        <v>1.1952457465393274</v>
      </c>
      <c r="C162">
        <v>0.18009945128077071</v>
      </c>
      <c r="D162">
        <v>0.50264373473716251</v>
      </c>
      <c r="E162">
        <v>0.40720546091085441</v>
      </c>
      <c r="F162">
        <v>-0.26532660881685793</v>
      </c>
      <c r="G162">
        <v>0.50810146278298352</v>
      </c>
      <c r="H162">
        <v>5.987733948579025E-2</v>
      </c>
      <c r="I162">
        <v>0.34191963329289327</v>
      </c>
      <c r="J162">
        <v>0.11868464210332121</v>
      </c>
      <c r="L162">
        <v>0.84119072692922303</v>
      </c>
      <c r="M162">
        <v>4.4538198125106163</v>
      </c>
      <c r="N162">
        <v>3.7173666706728778</v>
      </c>
      <c r="P162">
        <v>9.1505454413108605E-12</v>
      </c>
      <c r="R162">
        <v>4.7080601680628069</v>
      </c>
      <c r="S162">
        <v>4.7098691394570427</v>
      </c>
      <c r="T162">
        <v>1</v>
      </c>
      <c r="U162">
        <v>2.5021295704526123</v>
      </c>
    </row>
    <row r="163" spans="1:21">
      <c r="A163">
        <v>-0.8925324870837632</v>
      </c>
      <c r="B163">
        <v>1.2025174738544864</v>
      </c>
      <c r="C163">
        <v>0.19912406399319649</v>
      </c>
      <c r="D163">
        <v>-0.29420680850694397</v>
      </c>
      <c r="E163">
        <v>-0.2559195278616716</v>
      </c>
      <c r="F163">
        <v>-0.30570104803219783</v>
      </c>
      <c r="G163">
        <v>0.20169146768620952</v>
      </c>
      <c r="H163">
        <v>0.74270185625612017</v>
      </c>
      <c r="I163">
        <v>0.66294717681952575</v>
      </c>
      <c r="J163">
        <v>0.52191215808171454</v>
      </c>
      <c r="L163">
        <v>0.84119116434719876</v>
      </c>
      <c r="M163">
        <v>4.4538202839461407</v>
      </c>
      <c r="N163">
        <v>3.7173659032703879</v>
      </c>
      <c r="P163">
        <v>1.3549094513459158E-11</v>
      </c>
      <c r="R163">
        <v>4.7080601680628069</v>
      </c>
      <c r="S163">
        <v>4.7098691394570427</v>
      </c>
      <c r="T163">
        <v>1</v>
      </c>
      <c r="U163">
        <v>2.5021295704526123</v>
      </c>
    </row>
    <row r="164" spans="1:21">
      <c r="A164">
        <v>-0.89681428034901411</v>
      </c>
      <c r="B164">
        <v>1.2036024595865631</v>
      </c>
      <c r="C164">
        <v>0.17664643709945957</v>
      </c>
      <c r="D164">
        <v>0.51083875329148543</v>
      </c>
      <c r="E164">
        <v>-2.952728518855299E-2</v>
      </c>
      <c r="F164">
        <v>0.24588070954413119</v>
      </c>
      <c r="G164">
        <v>0.68777384578599643</v>
      </c>
      <c r="H164">
        <v>0.80309952395980688</v>
      </c>
      <c r="I164">
        <v>0.94873848417565587</v>
      </c>
      <c r="J164">
        <v>0.3402560040896031</v>
      </c>
      <c r="L164">
        <v>0.84119100839420191</v>
      </c>
      <c r="M164">
        <v>4.4538200595128385</v>
      </c>
      <c r="N164">
        <v>3.7173663730784492</v>
      </c>
      <c r="P164">
        <v>1.1221087014501274E-11</v>
      </c>
      <c r="R164">
        <v>4.7080601680628069</v>
      </c>
      <c r="S164">
        <v>4.7098691394570427</v>
      </c>
      <c r="T164">
        <v>1</v>
      </c>
      <c r="U164">
        <v>2.5021295704526123</v>
      </c>
    </row>
    <row r="165" spans="1:21">
      <c r="A165">
        <v>-0.89910201739373996</v>
      </c>
      <c r="B165">
        <v>1.1961232044739867</v>
      </c>
      <c r="C165">
        <v>0.17372501517136385</v>
      </c>
      <c r="D165">
        <v>-3.5909960067808805E-2</v>
      </c>
      <c r="E165">
        <v>-0.86682847109047645</v>
      </c>
      <c r="F165">
        <v>0.30785300181811004</v>
      </c>
      <c r="G165">
        <v>0.58953963148442834</v>
      </c>
      <c r="H165">
        <v>0.12497703243450804</v>
      </c>
      <c r="I165">
        <v>0.73937650126136523</v>
      </c>
      <c r="J165">
        <v>0.93356967027287452</v>
      </c>
      <c r="L165">
        <v>0.84118814749777171</v>
      </c>
      <c r="M165">
        <v>4.4538213732680418</v>
      </c>
      <c r="N165">
        <v>3.7173656572120799</v>
      </c>
      <c r="P165">
        <v>5.1401807777839334E-12</v>
      </c>
      <c r="R165">
        <v>4.7080601680628069</v>
      </c>
      <c r="S165">
        <v>4.7098691394570427</v>
      </c>
      <c r="T165">
        <v>1</v>
      </c>
      <c r="U165">
        <v>2.5021295704526123</v>
      </c>
    </row>
    <row r="166" spans="1:21">
      <c r="A166">
        <v>-0.90345260402729455</v>
      </c>
      <c r="B166">
        <v>1.2015377467727821</v>
      </c>
      <c r="C166">
        <v>0.1917017818744971</v>
      </c>
      <c r="D166">
        <v>-0.41160306961337806</v>
      </c>
      <c r="E166">
        <v>0.39056961930849959</v>
      </c>
      <c r="F166">
        <v>0.32184324151435856</v>
      </c>
      <c r="G166">
        <v>0.63954061830461373</v>
      </c>
      <c r="H166">
        <v>0.33808371016893179</v>
      </c>
      <c r="I166">
        <v>0.63444705030902782</v>
      </c>
      <c r="J166">
        <v>0.75899663962518471</v>
      </c>
      <c r="L166">
        <v>0.84118855099730039</v>
      </c>
      <c r="M166">
        <v>4.4538196640356249</v>
      </c>
      <c r="N166">
        <v>3.7173674955177298</v>
      </c>
      <c r="P166">
        <v>1.0867166019206299E-12</v>
      </c>
      <c r="R166">
        <v>4.7080601680628069</v>
      </c>
      <c r="S166">
        <v>4.7098691394570427</v>
      </c>
      <c r="T166">
        <v>1</v>
      </c>
      <c r="U166">
        <v>2.5021295704526123</v>
      </c>
    </row>
    <row r="167" spans="1:21">
      <c r="A167">
        <v>-0.90463200830490187</v>
      </c>
      <c r="B167">
        <v>1.1967372772333467</v>
      </c>
      <c r="C167">
        <v>0.17538099647887381</v>
      </c>
      <c r="D167">
        <v>-2.2461648465880086E-3</v>
      </c>
      <c r="E167">
        <v>-0.15558680110986103</v>
      </c>
      <c r="F167">
        <v>-0.48831866936522089</v>
      </c>
      <c r="G167">
        <v>0.75532092544151019</v>
      </c>
      <c r="H167">
        <v>0.11536146906007406</v>
      </c>
      <c r="I167">
        <v>0.8367361971952908</v>
      </c>
      <c r="J167">
        <v>0.23436807665742163</v>
      </c>
      <c r="L167">
        <v>0.84118977086457802</v>
      </c>
      <c r="M167">
        <v>4.4538195373038016</v>
      </c>
      <c r="N167">
        <v>3.7173673008695953</v>
      </c>
      <c r="P167">
        <v>4.3203769767944582E-12</v>
      </c>
      <c r="R167">
        <v>4.7080601680628069</v>
      </c>
      <c r="S167">
        <v>4.7098691394570427</v>
      </c>
      <c r="T167">
        <v>1</v>
      </c>
      <c r="U167">
        <v>2.5021295704526123</v>
      </c>
    </row>
    <row r="168" spans="1:21">
      <c r="A168">
        <v>-0.88825885909690749</v>
      </c>
      <c r="B168">
        <v>1.2049633514044193</v>
      </c>
      <c r="C168">
        <v>0.19231194272582688</v>
      </c>
      <c r="D168">
        <v>8.5544747954921826E-2</v>
      </c>
      <c r="E168">
        <v>-0.14837177801274137</v>
      </c>
      <c r="F168">
        <v>0.71647980781171638</v>
      </c>
      <c r="G168">
        <v>0.10055832308402618</v>
      </c>
      <c r="H168">
        <v>0.85596985259250769</v>
      </c>
      <c r="I168">
        <v>0.87054937717064118</v>
      </c>
      <c r="J168">
        <v>0.85597993217774571</v>
      </c>
      <c r="L168">
        <v>0.84118982811997034</v>
      </c>
      <c r="M168">
        <v>4.4538195237240519</v>
      </c>
      <c r="N168">
        <v>3.717367206698059</v>
      </c>
      <c r="P168">
        <v>4.6470251724351891E-12</v>
      </c>
      <c r="R168">
        <v>4.7080601680628069</v>
      </c>
      <c r="S168">
        <v>4.7098691394570427</v>
      </c>
      <c r="T168">
        <v>1</v>
      </c>
      <c r="U168">
        <v>2.5021295704526123</v>
      </c>
    </row>
    <row r="169" spans="1:21">
      <c r="A169">
        <v>-0.90801725727796245</v>
      </c>
      <c r="B169">
        <v>1.1910312807255441</v>
      </c>
      <c r="C169">
        <v>0.18897534379909181</v>
      </c>
      <c r="D169">
        <v>0.89618528300318745</v>
      </c>
      <c r="E169">
        <v>0.10521142005165203</v>
      </c>
      <c r="F169">
        <v>3.3787708761216034E-2</v>
      </c>
      <c r="G169">
        <v>0.14897242659855836</v>
      </c>
      <c r="H169">
        <v>0.42760956217261203</v>
      </c>
      <c r="I169">
        <v>0.49087377405809451</v>
      </c>
      <c r="J169">
        <v>0.90284918467912612</v>
      </c>
      <c r="L169">
        <v>0.84118905276048528</v>
      </c>
      <c r="M169">
        <v>4.4538195656233954</v>
      </c>
      <c r="N169">
        <v>3.7173674909868186</v>
      </c>
      <c r="P169">
        <v>2.0840699036890805E-12</v>
      </c>
      <c r="R169">
        <v>4.7080601680628069</v>
      </c>
      <c r="S169">
        <v>4.7098691394570427</v>
      </c>
      <c r="T169">
        <v>1</v>
      </c>
      <c r="U169">
        <v>2.5021295704526123</v>
      </c>
    </row>
    <row r="170" spans="1:21">
      <c r="A170">
        <v>-0.91445382163427802</v>
      </c>
      <c r="B170">
        <v>1.1953154360421241</v>
      </c>
      <c r="C170">
        <v>0.18607837662769885</v>
      </c>
      <c r="D170">
        <v>0.18174110828071258</v>
      </c>
      <c r="E170">
        <v>3.3816136376280483E-2</v>
      </c>
      <c r="F170">
        <v>-0.41685175660329521</v>
      </c>
      <c r="G170">
        <v>0.90904573664939958</v>
      </c>
      <c r="H170">
        <v>0.31543443912027025</v>
      </c>
      <c r="I170">
        <v>0.11027433125146555</v>
      </c>
      <c r="J170">
        <v>0.48334888437890794</v>
      </c>
      <c r="L170">
        <v>0.8411885008257961</v>
      </c>
      <c r="M170">
        <v>4.4538196822433695</v>
      </c>
      <c r="N170">
        <v>3.7173674980194304</v>
      </c>
      <c r="P170">
        <v>1.0009307790332021E-12</v>
      </c>
      <c r="R170">
        <v>4.7080601680628069</v>
      </c>
      <c r="S170">
        <v>4.7098691394570427</v>
      </c>
      <c r="T170">
        <v>1</v>
      </c>
      <c r="U170">
        <v>2.5021295704526123</v>
      </c>
    </row>
    <row r="171" spans="1:21">
      <c r="A171">
        <v>-1.0694432484052971</v>
      </c>
      <c r="B171">
        <v>1.0058061946366645</v>
      </c>
      <c r="C171">
        <v>1.6482126767774381</v>
      </c>
      <c r="D171">
        <v>0.18132725790593679</v>
      </c>
      <c r="E171">
        <v>0.16400032348533558</v>
      </c>
      <c r="F171">
        <v>0.36836191093672049</v>
      </c>
      <c r="G171">
        <v>1.2984024283708546</v>
      </c>
      <c r="H171">
        <v>0</v>
      </c>
      <c r="I171">
        <v>0.33858079503347932</v>
      </c>
      <c r="J171">
        <v>1.0857211546362371</v>
      </c>
      <c r="L171">
        <v>3.3553824034400686</v>
      </c>
      <c r="M171">
        <v>0.66341792205349259</v>
      </c>
      <c r="N171">
        <v>4.4538216975577534</v>
      </c>
      <c r="P171">
        <v>2.8567131278350117E-11</v>
      </c>
      <c r="R171">
        <v>67.653017609703767</v>
      </c>
      <c r="S171">
        <v>77.582923469237784</v>
      </c>
      <c r="T171">
        <v>1</v>
      </c>
      <c r="U171">
        <v>2.7198061315476592</v>
      </c>
    </row>
    <row r="172" spans="1:21">
      <c r="A172">
        <v>-1.061532779438515</v>
      </c>
      <c r="B172">
        <v>1.0149069135916944</v>
      </c>
      <c r="C172">
        <v>1.4660925208080111</v>
      </c>
      <c r="D172">
        <v>5.9202146132859401E-2</v>
      </c>
      <c r="E172">
        <v>0.3459386988535148</v>
      </c>
      <c r="F172">
        <v>-0.47182551898135994</v>
      </c>
      <c r="G172">
        <v>1.5150875047633976</v>
      </c>
      <c r="H172">
        <v>0.22533076935951582</v>
      </c>
      <c r="I172">
        <v>0.19830136166444406</v>
      </c>
      <c r="J172">
        <v>1.0602645496937664</v>
      </c>
      <c r="L172">
        <v>3.3553811828813074</v>
      </c>
      <c r="M172">
        <v>0.66342083419410181</v>
      </c>
      <c r="N172">
        <v>4.4538227224256595</v>
      </c>
      <c r="P172">
        <v>1.3386622421553802E-11</v>
      </c>
      <c r="R172">
        <v>67.653017609703767</v>
      </c>
      <c r="S172">
        <v>77.582923469237784</v>
      </c>
      <c r="T172">
        <v>1</v>
      </c>
      <c r="U172">
        <v>2.7198061315476592</v>
      </c>
    </row>
    <row r="173" spans="1:21">
      <c r="A173">
        <v>-1.0683938090331933</v>
      </c>
      <c r="B173">
        <v>1.001429455021029</v>
      </c>
      <c r="C173">
        <v>1.7867201369595103</v>
      </c>
      <c r="D173">
        <v>0.84917619672983413</v>
      </c>
      <c r="E173">
        <v>0.90901204302435534</v>
      </c>
      <c r="F173">
        <v>0.11972608136566121</v>
      </c>
      <c r="G173">
        <v>0.8385836711261403</v>
      </c>
      <c r="H173">
        <v>0.58650584586460808</v>
      </c>
      <c r="I173">
        <v>0.50153825849881128</v>
      </c>
      <c r="J173">
        <v>0.42674000413759755</v>
      </c>
      <c r="L173">
        <v>3.355381033737951</v>
      </c>
      <c r="M173">
        <v>0.66342076479425016</v>
      </c>
      <c r="N173">
        <v>4.4538225163760305</v>
      </c>
      <c r="P173">
        <v>1.3400993886922587E-11</v>
      </c>
      <c r="R173">
        <v>67.653017609703767</v>
      </c>
      <c r="S173">
        <v>77.582923469237784</v>
      </c>
      <c r="T173">
        <v>1</v>
      </c>
      <c r="U173">
        <v>2.7198061315476592</v>
      </c>
    </row>
    <row r="174" spans="1:21">
      <c r="A174">
        <v>-1.0642666214093748</v>
      </c>
      <c r="B174">
        <v>1.0133619104516514</v>
      </c>
      <c r="C174">
        <v>1.5398261171255945</v>
      </c>
      <c r="D174">
        <v>-4.6518248410753332E-2</v>
      </c>
      <c r="E174">
        <v>0.37369298525971434</v>
      </c>
      <c r="F174">
        <v>-0.1719361780355709</v>
      </c>
      <c r="G174">
        <v>1.427677589009128</v>
      </c>
      <c r="H174">
        <v>0</v>
      </c>
      <c r="I174">
        <v>0.1949589560375703</v>
      </c>
      <c r="J174">
        <v>0.80682155119100851</v>
      </c>
      <c r="L174">
        <v>3.3553826043499844</v>
      </c>
      <c r="M174">
        <v>0.6634226232076128</v>
      </c>
      <c r="N174">
        <v>4.4538211122641318</v>
      </c>
      <c r="P174">
        <v>7.6076214958306655E-13</v>
      </c>
      <c r="R174">
        <v>67.653017609703767</v>
      </c>
      <c r="S174">
        <v>77.582923469237784</v>
      </c>
      <c r="T174">
        <v>1</v>
      </c>
      <c r="U174">
        <v>2.7198061315476592</v>
      </c>
    </row>
    <row r="175" spans="1:21">
      <c r="A175">
        <v>-1.0719834610944163</v>
      </c>
      <c r="B175">
        <v>0.99200193714882001</v>
      </c>
      <c r="C175">
        <v>1.8649650142295155</v>
      </c>
      <c r="D175">
        <v>0.64312196871019034</v>
      </c>
      <c r="E175">
        <v>0.25758204725353601</v>
      </c>
      <c r="F175">
        <v>-8.5577670784586057E-2</v>
      </c>
      <c r="G175">
        <v>0.58881163701825412</v>
      </c>
      <c r="H175">
        <v>0.34646190019417483</v>
      </c>
      <c r="I175">
        <v>0.18498236876483651</v>
      </c>
      <c r="J175">
        <v>0.39784767323456366</v>
      </c>
      <c r="L175">
        <v>3.3553809575645577</v>
      </c>
      <c r="M175">
        <v>0.66342077488605167</v>
      </c>
      <c r="N175">
        <v>4.453822378845417</v>
      </c>
      <c r="P175">
        <v>1.3126306435636024E-11</v>
      </c>
      <c r="R175">
        <v>67.653017609703767</v>
      </c>
      <c r="S175">
        <v>77.582923469237784</v>
      </c>
      <c r="T175">
        <v>1</v>
      </c>
      <c r="U175">
        <v>2.7198061315476592</v>
      </c>
    </row>
    <row r="176" spans="1:21">
      <c r="A176">
        <v>-1.0712328361356256</v>
      </c>
      <c r="B176">
        <v>0.98877122169767584</v>
      </c>
      <c r="C176">
        <v>1.8011101593525427</v>
      </c>
      <c r="D176">
        <v>0.11769290944791154</v>
      </c>
      <c r="E176">
        <v>-0.45611218397859293</v>
      </c>
      <c r="F176">
        <v>-0.40053696533370725</v>
      </c>
      <c r="G176">
        <v>0.73828542642866168</v>
      </c>
      <c r="H176">
        <v>0.20187951477211397</v>
      </c>
      <c r="I176">
        <v>0</v>
      </c>
      <c r="J176">
        <v>1.0742608343968845</v>
      </c>
      <c r="L176">
        <v>3.3553808128382241</v>
      </c>
      <c r="M176">
        <v>0.6634201269058142</v>
      </c>
      <c r="N176">
        <v>4.4538225545653853</v>
      </c>
      <c r="P176">
        <v>1.7859969792433616E-11</v>
      </c>
      <c r="R176">
        <v>67.653017609703767</v>
      </c>
      <c r="S176">
        <v>77.582923469237784</v>
      </c>
      <c r="T176">
        <v>1</v>
      </c>
      <c r="U176">
        <v>2.7198061315476592</v>
      </c>
    </row>
    <row r="177" spans="1:21">
      <c r="A177">
        <v>-1.074203851008904</v>
      </c>
      <c r="B177">
        <v>0.98695142951553605</v>
      </c>
      <c r="C177">
        <v>1.8291490814656284</v>
      </c>
      <c r="D177">
        <v>1.3254037319329948E-2</v>
      </c>
      <c r="E177">
        <v>-0.15989324265384683</v>
      </c>
      <c r="F177">
        <v>-0.65392041795382871</v>
      </c>
      <c r="G177">
        <v>0.7938015698673252</v>
      </c>
      <c r="H177">
        <v>0</v>
      </c>
      <c r="I177">
        <v>0.51735016722854077</v>
      </c>
      <c r="J177">
        <v>0.67440851148869974</v>
      </c>
      <c r="L177">
        <v>3.3553808317797564</v>
      </c>
      <c r="M177">
        <v>0.66342032792404326</v>
      </c>
      <c r="N177">
        <v>4.4538221040405208</v>
      </c>
      <c r="P177">
        <v>1.4978147962764297E-11</v>
      </c>
      <c r="R177">
        <v>67.653017609703767</v>
      </c>
      <c r="S177">
        <v>77.582923469237784</v>
      </c>
      <c r="T177">
        <v>1</v>
      </c>
      <c r="U177">
        <v>2.7198061315476592</v>
      </c>
    </row>
    <row r="178" spans="1:21">
      <c r="A178">
        <v>-1.0684198636090696</v>
      </c>
      <c r="B178">
        <v>0.99836879940247059</v>
      </c>
      <c r="C178">
        <v>1.6762261104306555</v>
      </c>
      <c r="D178">
        <v>0.22813479171216142</v>
      </c>
      <c r="E178">
        <v>0.24925906349506144</v>
      </c>
      <c r="F178">
        <v>-0.56020057664272038</v>
      </c>
      <c r="G178">
        <v>0.81544073648333237</v>
      </c>
      <c r="H178">
        <v>0</v>
      </c>
      <c r="I178">
        <v>0.17934910190908182</v>
      </c>
      <c r="J178">
        <v>0.55491618582016311</v>
      </c>
      <c r="L178">
        <v>3.3553807579938253</v>
      </c>
      <c r="M178">
        <v>0.66341997242545458</v>
      </c>
      <c r="N178">
        <v>4.453821851300896</v>
      </c>
      <c r="P178">
        <v>1.6654383107082303E-11</v>
      </c>
      <c r="R178">
        <v>67.653017609703767</v>
      </c>
      <c r="S178">
        <v>77.582923469237784</v>
      </c>
      <c r="T178">
        <v>1</v>
      </c>
      <c r="U178">
        <v>2.7198061315476592</v>
      </c>
    </row>
    <row r="179" spans="1:21">
      <c r="A179">
        <v>-1.0722545748043459</v>
      </c>
      <c r="B179">
        <v>1.0024693549579913</v>
      </c>
      <c r="C179">
        <v>1.6647526980191338</v>
      </c>
      <c r="D179">
        <v>0.52521089260955034</v>
      </c>
      <c r="E179">
        <v>-0.11234315972182332</v>
      </c>
      <c r="F179">
        <v>-6.5992496114703342E-2</v>
      </c>
      <c r="G179">
        <v>1.2103011232989449</v>
      </c>
      <c r="H179">
        <v>0</v>
      </c>
      <c r="I179">
        <v>0.23440809884949035</v>
      </c>
      <c r="J179">
        <v>0.57553418724921246</v>
      </c>
      <c r="L179">
        <v>3.3553859635625098</v>
      </c>
      <c r="M179">
        <v>0.66342044897907004</v>
      </c>
      <c r="N179">
        <v>4.4538202800383742</v>
      </c>
      <c r="P179">
        <v>1.5769673512753506E-11</v>
      </c>
      <c r="R179">
        <v>67.653017609703767</v>
      </c>
      <c r="S179">
        <v>77.582923469237784</v>
      </c>
      <c r="T179">
        <v>1</v>
      </c>
      <c r="U179">
        <v>2.7198061315476592</v>
      </c>
    </row>
    <row r="180" spans="1:21">
      <c r="A180">
        <v>-1.0639016903099603</v>
      </c>
      <c r="B180">
        <v>1.0115615785030474</v>
      </c>
      <c r="C180">
        <v>1.6606918665110977</v>
      </c>
      <c r="D180">
        <v>-0.11355422451330044</v>
      </c>
      <c r="E180">
        <v>0.89437926063944595</v>
      </c>
      <c r="F180">
        <v>7.7439931205292384E-2</v>
      </c>
      <c r="G180">
        <v>1.0858154769833688</v>
      </c>
      <c r="H180">
        <v>0</v>
      </c>
      <c r="I180">
        <v>0.17981295616466333</v>
      </c>
      <c r="J180">
        <v>0.41183412823918381</v>
      </c>
      <c r="L180">
        <v>3.3553808909666727</v>
      </c>
      <c r="M180">
        <v>0.6634203629815969</v>
      </c>
      <c r="N180">
        <v>4.4538222750829677</v>
      </c>
      <c r="P180">
        <v>1.5107685761474272E-11</v>
      </c>
      <c r="R180">
        <v>67.653017609703767</v>
      </c>
      <c r="S180">
        <v>77.582923469237784</v>
      </c>
      <c r="T180">
        <v>1</v>
      </c>
      <c r="U180">
        <v>2.7198061315476592</v>
      </c>
    </row>
    <row r="181" spans="1:21">
      <c r="A181">
        <v>-1.0200819807249377</v>
      </c>
      <c r="B181">
        <v>1.0031268002401921</v>
      </c>
      <c r="C181">
        <v>-0.28251347931098564</v>
      </c>
      <c r="D181">
        <v>0.11425103551133063</v>
      </c>
      <c r="E181">
        <v>5.9213481583548763E-2</v>
      </c>
      <c r="F181">
        <v>-0.70330391821224703</v>
      </c>
      <c r="G181">
        <v>0.55839937139023421</v>
      </c>
      <c r="H181">
        <v>0.13001242935735224</v>
      </c>
      <c r="I181">
        <v>0.16427620551572372</v>
      </c>
      <c r="J181">
        <v>0.75204750237970419</v>
      </c>
      <c r="L181">
        <v>3.3553841188684568</v>
      </c>
      <c r="M181">
        <v>0.66341908121059889</v>
      </c>
      <c r="N181">
        <v>3.7173674485971659</v>
      </c>
      <c r="P181">
        <v>1.7431964815360694E-11</v>
      </c>
      <c r="R181">
        <v>10.48013551028591</v>
      </c>
      <c r="S181">
        <v>10.517949300669882</v>
      </c>
      <c r="T181">
        <v>1</v>
      </c>
      <c r="U181">
        <v>2.477966228472761</v>
      </c>
    </row>
    <row r="182" spans="1:21">
      <c r="A182">
        <v>-1.0222642381537037</v>
      </c>
      <c r="B182">
        <v>0.98652027097984674</v>
      </c>
      <c r="C182">
        <v>-0.35453255659626609</v>
      </c>
      <c r="D182">
        <v>0.32338220454187444</v>
      </c>
      <c r="E182">
        <v>-0.1489915079653768</v>
      </c>
      <c r="F182">
        <v>0.15182206669295328</v>
      </c>
      <c r="G182">
        <v>0.22990170797008408</v>
      </c>
      <c r="H182">
        <v>0.1604709495999265</v>
      </c>
      <c r="I182">
        <v>0.74652704900006506</v>
      </c>
      <c r="J182">
        <v>0.35792325864925539</v>
      </c>
      <c r="L182">
        <v>3.3553824468373596</v>
      </c>
      <c r="M182">
        <v>0.66341951762001183</v>
      </c>
      <c r="N182">
        <v>3.717368727246527</v>
      </c>
      <c r="P182">
        <v>1.4090253254577966E-11</v>
      </c>
      <c r="R182">
        <v>10.48013551028591</v>
      </c>
      <c r="S182">
        <v>10.517949300669882</v>
      </c>
      <c r="T182">
        <v>1</v>
      </c>
      <c r="U182">
        <v>2.477966228472761</v>
      </c>
    </row>
    <row r="183" spans="1:21">
      <c r="A183">
        <v>-1.0167914087400785</v>
      </c>
      <c r="B183">
        <v>0.99407531543610594</v>
      </c>
      <c r="C183">
        <v>-0.3213382712877686</v>
      </c>
      <c r="D183">
        <v>0.56584711295517642</v>
      </c>
      <c r="E183">
        <v>0.17457554608574946</v>
      </c>
      <c r="F183">
        <v>-6.4515910183542552E-2</v>
      </c>
      <c r="G183">
        <v>0.4150836840411235</v>
      </c>
      <c r="H183">
        <v>0.8994501570331902</v>
      </c>
      <c r="I183">
        <v>0.6324049918793031</v>
      </c>
      <c r="J183">
        <v>0.95109196521088613</v>
      </c>
      <c r="L183">
        <v>3.3553825804667126</v>
      </c>
      <c r="M183">
        <v>0.66341954948754533</v>
      </c>
      <c r="N183">
        <v>3.7173688797894888</v>
      </c>
      <c r="P183">
        <v>1.4053200114081315E-11</v>
      </c>
      <c r="R183">
        <v>10.48013551028591</v>
      </c>
      <c r="S183">
        <v>10.517949300669882</v>
      </c>
      <c r="T183">
        <v>1</v>
      </c>
      <c r="U183">
        <v>2.477966228472761</v>
      </c>
    </row>
    <row r="184" spans="1:21">
      <c r="A184">
        <v>-1.0140913952685606</v>
      </c>
      <c r="B184">
        <v>1.001135299659768</v>
      </c>
      <c r="C184">
        <v>-0.31242881737456235</v>
      </c>
      <c r="D184">
        <v>-8.7920199440245581E-2</v>
      </c>
      <c r="E184">
        <v>0.25901136406981862</v>
      </c>
      <c r="F184">
        <v>-0.54594605646011807</v>
      </c>
      <c r="G184">
        <v>0.85267979186921106</v>
      </c>
      <c r="H184">
        <v>0.95487508969850066</v>
      </c>
      <c r="I184">
        <v>0.77967176546742845</v>
      </c>
      <c r="J184">
        <v>0.70703060751360469</v>
      </c>
      <c r="L184">
        <v>3.3553824283120193</v>
      </c>
      <c r="M184">
        <v>0.66341978058034279</v>
      </c>
      <c r="N184">
        <v>3.7173690404534465</v>
      </c>
      <c r="P184">
        <v>1.3012495801765134E-11</v>
      </c>
      <c r="R184">
        <v>10.48013551028591</v>
      </c>
      <c r="S184">
        <v>10.517949300669882</v>
      </c>
      <c r="T184">
        <v>1</v>
      </c>
      <c r="U184">
        <v>2.477966228472761</v>
      </c>
    </row>
    <row r="185" spans="1:21">
      <c r="A185">
        <v>-1.0145139608590505</v>
      </c>
      <c r="B185">
        <v>0.99896895024685917</v>
      </c>
      <c r="C185">
        <v>-0.30834793322906334</v>
      </c>
      <c r="D185">
        <v>-0.41029650449855137</v>
      </c>
      <c r="E185">
        <v>0.67247989705629507</v>
      </c>
      <c r="F185">
        <v>0.20964056398554856</v>
      </c>
      <c r="G185">
        <v>0.1578804838370145</v>
      </c>
      <c r="H185">
        <v>7.5392760631324149E-2</v>
      </c>
      <c r="I185">
        <v>0.33345543461764982</v>
      </c>
      <c r="J185">
        <v>0.85770038116062008</v>
      </c>
      <c r="L185">
        <v>3.3553824634941711</v>
      </c>
      <c r="M185">
        <v>0.66341952942089322</v>
      </c>
      <c r="N185">
        <v>3.7173687615711311</v>
      </c>
      <c r="P185">
        <v>1.4056044444711079E-11</v>
      </c>
      <c r="R185">
        <v>10.48013551028591</v>
      </c>
      <c r="S185">
        <v>10.517949300669882</v>
      </c>
      <c r="T185">
        <v>1</v>
      </c>
      <c r="U185">
        <v>2.477966228472761</v>
      </c>
    </row>
    <row r="186" spans="1:21">
      <c r="A186">
        <v>-1.0183705759836927</v>
      </c>
      <c r="B186">
        <v>0.98827658626304482</v>
      </c>
      <c r="C186">
        <v>-0.34977934446757558</v>
      </c>
      <c r="D186">
        <v>0.23651389916182222</v>
      </c>
      <c r="E186">
        <v>-0.32583091084312249</v>
      </c>
      <c r="F186">
        <v>0.70604842095782205</v>
      </c>
      <c r="G186">
        <v>4.0710648612638067E-2</v>
      </c>
      <c r="H186">
        <v>0.27834030433758261</v>
      </c>
      <c r="I186">
        <v>9.858578090053699E-2</v>
      </c>
      <c r="J186">
        <v>0.71254829506094197</v>
      </c>
      <c r="L186">
        <v>3.3553824552676006</v>
      </c>
      <c r="M186">
        <v>0.66341951489144091</v>
      </c>
      <c r="N186">
        <v>3.7173687309566543</v>
      </c>
      <c r="P186">
        <v>1.4107641493876344E-11</v>
      </c>
      <c r="R186">
        <v>10.48013551028591</v>
      </c>
      <c r="S186">
        <v>10.517949300669882</v>
      </c>
      <c r="T186">
        <v>1</v>
      </c>
      <c r="U186">
        <v>2.477966228472761</v>
      </c>
    </row>
    <row r="187" spans="1:21">
      <c r="A187">
        <v>-1.0131870921099979</v>
      </c>
      <c r="B187">
        <v>1.0022306228997917</v>
      </c>
      <c r="C187">
        <v>-0.3169462407627508</v>
      </c>
      <c r="D187">
        <v>-0.50230737806411629</v>
      </c>
      <c r="E187">
        <v>0.44406865553828856</v>
      </c>
      <c r="F187">
        <v>-0.30505744400763068</v>
      </c>
      <c r="G187">
        <v>0.80474929824449815</v>
      </c>
      <c r="H187">
        <v>0.6746423653293051</v>
      </c>
      <c r="I187">
        <v>0.79225991327339851</v>
      </c>
      <c r="J187">
        <v>0.59206434580659073</v>
      </c>
      <c r="L187">
        <v>3.3553825024702078</v>
      </c>
      <c r="M187">
        <v>0.66341948755980718</v>
      </c>
      <c r="N187">
        <v>3.7173687627061205</v>
      </c>
      <c r="P187">
        <v>1.431749137749078E-11</v>
      </c>
      <c r="R187">
        <v>10.48013551028591</v>
      </c>
      <c r="S187">
        <v>10.517949300669882</v>
      </c>
      <c r="T187">
        <v>1</v>
      </c>
      <c r="U187">
        <v>2.477966228472761</v>
      </c>
    </row>
    <row r="188" spans="1:21">
      <c r="A188">
        <v>-1.0144834804198943</v>
      </c>
      <c r="B188">
        <v>0.98809424297183412</v>
      </c>
      <c r="C188">
        <v>-0.36737314767421125</v>
      </c>
      <c r="D188">
        <v>-0.12973601965646497</v>
      </c>
      <c r="E188">
        <v>0.19158497488841439</v>
      </c>
      <c r="F188">
        <v>4.4804466228881873E-2</v>
      </c>
      <c r="G188">
        <v>0.39632937633702742</v>
      </c>
      <c r="H188">
        <v>0.78632968439369699</v>
      </c>
      <c r="I188">
        <v>1.0118723871364199</v>
      </c>
      <c r="J188">
        <v>0.24177323768881237</v>
      </c>
      <c r="L188">
        <v>3.355382428050909</v>
      </c>
      <c r="M188">
        <v>0.66341953587501179</v>
      </c>
      <c r="N188">
        <v>3.7173687534085311</v>
      </c>
      <c r="P188">
        <v>1.4033630031708184E-11</v>
      </c>
      <c r="R188">
        <v>10.48013551028591</v>
      </c>
      <c r="S188">
        <v>10.517949300669882</v>
      </c>
      <c r="T188">
        <v>1</v>
      </c>
      <c r="U188">
        <v>2.477966228472761</v>
      </c>
    </row>
    <row r="189" spans="1:21">
      <c r="A189">
        <v>-1.0170566453170304</v>
      </c>
      <c r="B189">
        <v>1.0036524864293142</v>
      </c>
      <c r="C189">
        <v>-0.30709240870658716</v>
      </c>
      <c r="D189">
        <v>-0.58962033184425022</v>
      </c>
      <c r="E189">
        <v>-0.157871945688705</v>
      </c>
      <c r="F189">
        <v>-9.4176643659883395E-3</v>
      </c>
      <c r="G189">
        <v>0.81111526234112652</v>
      </c>
      <c r="H189">
        <v>0.16903714493598018</v>
      </c>
      <c r="I189">
        <v>0.23571320381701966</v>
      </c>
      <c r="J189">
        <v>0.78739853124777237</v>
      </c>
      <c r="L189">
        <v>3.3553826180076824</v>
      </c>
      <c r="M189">
        <v>0.66341967665192436</v>
      </c>
      <c r="N189">
        <v>3.7173690756229423</v>
      </c>
      <c r="P189">
        <v>1.3619462463258153E-11</v>
      </c>
      <c r="R189">
        <v>10.48013551028591</v>
      </c>
      <c r="S189">
        <v>10.517949300669882</v>
      </c>
      <c r="T189">
        <v>1</v>
      </c>
      <c r="U189">
        <v>2.477966228472761</v>
      </c>
    </row>
    <row r="190" spans="1:21">
      <c r="A190">
        <v>-1.0158790293150821</v>
      </c>
      <c r="B190">
        <v>0.99856930808001165</v>
      </c>
      <c r="C190">
        <v>-0.31522045441943397</v>
      </c>
      <c r="D190">
        <v>0.19180103794949258</v>
      </c>
      <c r="E190">
        <v>-0.20907836288013726</v>
      </c>
      <c r="F190">
        <v>-0.45907490030597897</v>
      </c>
      <c r="G190">
        <v>0.48066346424146505</v>
      </c>
      <c r="H190">
        <v>0.65833375303310371</v>
      </c>
      <c r="I190">
        <v>4.1704823388241247E-2</v>
      </c>
      <c r="J190">
        <v>0.46750029948500155</v>
      </c>
      <c r="L190">
        <v>3.3553825511840047</v>
      </c>
      <c r="M190">
        <v>0.66341960957624135</v>
      </c>
      <c r="N190">
        <v>3.7173689450498646</v>
      </c>
      <c r="P190">
        <v>1.38091670961014E-11</v>
      </c>
      <c r="R190">
        <v>10.48013551028591</v>
      </c>
      <c r="S190">
        <v>10.517949300669882</v>
      </c>
      <c r="T190">
        <v>1</v>
      </c>
      <c r="U190">
        <v>2.477966228472761</v>
      </c>
    </row>
    <row r="191" spans="1:21">
      <c r="A191">
        <v>-0.97168325907041908</v>
      </c>
      <c r="B191">
        <v>1.1342918398884387</v>
      </c>
      <c r="C191">
        <v>6.5844333929881552E-2</v>
      </c>
      <c r="D191">
        <v>-8.6424552029795612E-2</v>
      </c>
      <c r="E191">
        <v>0.42813494802698743</v>
      </c>
      <c r="F191">
        <v>-0.13506031497256124</v>
      </c>
      <c r="G191">
        <v>0.28427603396621803</v>
      </c>
      <c r="H191">
        <v>0.81203424297674798</v>
      </c>
      <c r="I191">
        <v>0.76322573036880992</v>
      </c>
      <c r="J191">
        <v>2.2733523957993079E-2</v>
      </c>
      <c r="L191">
        <v>3.3553891770333655</v>
      </c>
      <c r="M191">
        <v>4.4538154185066414</v>
      </c>
      <c r="N191">
        <v>3.7173678362938216</v>
      </c>
      <c r="P191">
        <v>6.3870954258066706E-11</v>
      </c>
      <c r="R191">
        <v>10.920859846395361</v>
      </c>
      <c r="S191">
        <v>10.938849692911305</v>
      </c>
      <c r="T191">
        <v>1</v>
      </c>
      <c r="U191">
        <v>2.4999683018236136</v>
      </c>
    </row>
    <row r="192" spans="1:21">
      <c r="A192">
        <v>-0.98432188545769905</v>
      </c>
      <c r="B192">
        <v>1.1224101695864099</v>
      </c>
      <c r="C192">
        <v>3.5244494900828448E-2</v>
      </c>
      <c r="D192">
        <v>0.11545669969400826</v>
      </c>
      <c r="E192">
        <v>-0.10629382180359644</v>
      </c>
      <c r="F192">
        <v>0.77276648807038639</v>
      </c>
      <c r="G192">
        <v>0.43417501477064457</v>
      </c>
      <c r="H192">
        <v>0.10186868399565632</v>
      </c>
      <c r="I192">
        <v>0.53658199144993324</v>
      </c>
      <c r="J192">
        <v>0.53264055526523213</v>
      </c>
      <c r="L192">
        <v>3.355389136689324</v>
      </c>
      <c r="M192">
        <v>4.453815395981036</v>
      </c>
      <c r="N192">
        <v>3.7173678460194903</v>
      </c>
      <c r="P192">
        <v>6.3606571639636206E-11</v>
      </c>
      <c r="R192">
        <v>10.920859846395361</v>
      </c>
      <c r="S192">
        <v>10.938849692911305</v>
      </c>
      <c r="T192">
        <v>1</v>
      </c>
      <c r="U192">
        <v>2.4999683018236136</v>
      </c>
    </row>
    <row r="193" spans="1:21">
      <c r="A193">
        <v>-0.97431390055730882</v>
      </c>
      <c r="B193">
        <v>1.124962027851701</v>
      </c>
      <c r="C193">
        <v>4.2418788418261501E-2</v>
      </c>
      <c r="D193">
        <v>-0.19767420610242362</v>
      </c>
      <c r="E193">
        <v>-0.64061995433152308</v>
      </c>
      <c r="F193">
        <v>0.20801278495254258</v>
      </c>
      <c r="G193">
        <v>5.7459279118100878E-2</v>
      </c>
      <c r="H193">
        <v>0.51968767620124068</v>
      </c>
      <c r="I193">
        <v>0.42901715545845753</v>
      </c>
      <c r="J193">
        <v>0.16918656477647565</v>
      </c>
      <c r="L193">
        <v>3.3553891165330407</v>
      </c>
      <c r="M193">
        <v>4.4538153984692892</v>
      </c>
      <c r="N193">
        <v>3.7173678139983886</v>
      </c>
      <c r="P193">
        <v>6.3329173782590573E-11</v>
      </c>
      <c r="R193">
        <v>10.920859846395361</v>
      </c>
      <c r="S193">
        <v>10.938849692911305</v>
      </c>
      <c r="T193">
        <v>1</v>
      </c>
      <c r="U193">
        <v>2.4999683018236136</v>
      </c>
    </row>
    <row r="194" spans="1:21">
      <c r="A194">
        <v>-0.97342500652588937</v>
      </c>
      <c r="B194">
        <v>1.1350005316576173</v>
      </c>
      <c r="C194">
        <v>7.8401621661890658E-2</v>
      </c>
      <c r="D194">
        <v>-0.16883810214215478</v>
      </c>
      <c r="E194">
        <v>0.20589752470316378</v>
      </c>
      <c r="F194">
        <v>-0.14233948845806549</v>
      </c>
      <c r="G194">
        <v>0.60848452133751196</v>
      </c>
      <c r="H194">
        <v>0.90048517785345117</v>
      </c>
      <c r="I194">
        <v>0.65272492901510615</v>
      </c>
      <c r="J194">
        <v>0.63870167586506277</v>
      </c>
      <c r="L194">
        <v>3.3553895155735169</v>
      </c>
      <c r="M194">
        <v>4.4538157630378761</v>
      </c>
      <c r="N194">
        <v>3.7173670951048829</v>
      </c>
      <c r="P194">
        <v>6.5188208021238466E-11</v>
      </c>
      <c r="R194">
        <v>10.920859846395361</v>
      </c>
      <c r="S194">
        <v>10.938849692911305</v>
      </c>
      <c r="T194">
        <v>1</v>
      </c>
      <c r="U194">
        <v>2.4999683018236136</v>
      </c>
    </row>
    <row r="195" spans="1:21">
      <c r="A195">
        <v>-0.98697864282636627</v>
      </c>
      <c r="B195">
        <v>1.1183414323714334</v>
      </c>
      <c r="C195">
        <v>2.041077670922457E-2</v>
      </c>
      <c r="D195">
        <v>0.20869791118724726</v>
      </c>
      <c r="E195">
        <v>-0.8349908749727214</v>
      </c>
      <c r="F195">
        <v>0.59670065370890379</v>
      </c>
      <c r="G195">
        <v>0.76959681941944458</v>
      </c>
      <c r="H195">
        <v>0.33725269899072874</v>
      </c>
      <c r="I195">
        <v>0.58669794569482314</v>
      </c>
      <c r="J195">
        <v>0.6044949606191935</v>
      </c>
      <c r="L195">
        <v>3.3553879330153205</v>
      </c>
      <c r="M195">
        <v>4.4538197547429048</v>
      </c>
      <c r="N195">
        <v>3.7173639928135009</v>
      </c>
      <c r="P195">
        <v>3.8852711662501258E-11</v>
      </c>
      <c r="R195">
        <v>10.920859846395361</v>
      </c>
      <c r="S195">
        <v>10.938849692911305</v>
      </c>
      <c r="T195">
        <v>1</v>
      </c>
      <c r="U195">
        <v>2.4999683018236136</v>
      </c>
    </row>
    <row r="196" spans="1:21">
      <c r="A196">
        <v>-0.98075389869223728</v>
      </c>
      <c r="B196">
        <v>1.1342155602669586</v>
      </c>
      <c r="C196">
        <v>0.10522792821865672</v>
      </c>
      <c r="D196">
        <v>-7.0225722259688095E-2</v>
      </c>
      <c r="E196">
        <v>0.9147462865128384</v>
      </c>
      <c r="F196">
        <v>-0.44095281978889511</v>
      </c>
      <c r="G196">
        <v>0.55336369120045026</v>
      </c>
      <c r="H196">
        <v>0.20320730915366289</v>
      </c>
      <c r="I196">
        <v>0.29622322920058619</v>
      </c>
      <c r="J196">
        <v>0.99658038678273753</v>
      </c>
      <c r="L196">
        <v>3.3553896363692242</v>
      </c>
      <c r="M196">
        <v>4.4538159487305995</v>
      </c>
      <c r="N196">
        <v>3.7173667689626804</v>
      </c>
      <c r="P196">
        <v>6.557806704004487E-11</v>
      </c>
      <c r="R196">
        <v>10.920859846395361</v>
      </c>
      <c r="S196">
        <v>10.938849692911305</v>
      </c>
      <c r="T196">
        <v>1</v>
      </c>
      <c r="U196">
        <v>2.4999683018236136</v>
      </c>
    </row>
    <row r="197" spans="1:21">
      <c r="A197">
        <v>-0.97876822301880828</v>
      </c>
      <c r="B197">
        <v>1.127685092176371</v>
      </c>
      <c r="C197">
        <v>4.2657159885753616E-2</v>
      </c>
      <c r="D197">
        <v>6.5152323605119885E-3</v>
      </c>
      <c r="E197">
        <v>0.16466675307506162</v>
      </c>
      <c r="F197">
        <v>0.98277239023650675</v>
      </c>
      <c r="G197">
        <v>0.12617104619834765</v>
      </c>
      <c r="H197">
        <v>0.13665428484280512</v>
      </c>
      <c r="I197">
        <v>0.33746000310877233</v>
      </c>
      <c r="J197">
        <v>0.26882015702783479</v>
      </c>
      <c r="L197">
        <v>3.355388763613278</v>
      </c>
      <c r="M197">
        <v>4.4538151655394582</v>
      </c>
      <c r="N197">
        <v>3.7173683019468511</v>
      </c>
      <c r="P197">
        <v>6.1883037862341707E-11</v>
      </c>
      <c r="R197">
        <v>10.920859846395361</v>
      </c>
      <c r="S197">
        <v>10.938849692911305</v>
      </c>
      <c r="T197">
        <v>1</v>
      </c>
      <c r="U197">
        <v>2.4999683018236136</v>
      </c>
    </row>
    <row r="198" spans="1:21">
      <c r="A198">
        <v>-0.97637434417027991</v>
      </c>
      <c r="B198">
        <v>1.1284245289656596</v>
      </c>
      <c r="C198">
        <v>5.7256178073837767E-2</v>
      </c>
      <c r="D198">
        <v>0.21795156000630089</v>
      </c>
      <c r="E198">
        <v>-0.22874087131050194</v>
      </c>
      <c r="F198">
        <v>0.44841981214975446</v>
      </c>
      <c r="G198">
        <v>0.13509338275074795</v>
      </c>
      <c r="H198">
        <v>0.55504052885792632</v>
      </c>
      <c r="I198">
        <v>0.14123721500449218</v>
      </c>
      <c r="J198">
        <v>0.43041721260465543</v>
      </c>
      <c r="L198">
        <v>3.3553889778504491</v>
      </c>
      <c r="M198">
        <v>4.4538152793427752</v>
      </c>
      <c r="N198">
        <v>3.7173680274385523</v>
      </c>
      <c r="P198">
        <v>6.2960798418294408E-11</v>
      </c>
      <c r="R198">
        <v>10.920859846395361</v>
      </c>
      <c r="S198">
        <v>10.938849692911305</v>
      </c>
      <c r="T198">
        <v>1</v>
      </c>
      <c r="U198">
        <v>2.4999683018236136</v>
      </c>
    </row>
    <row r="199" spans="1:21">
      <c r="A199">
        <v>-0.98784325051019217</v>
      </c>
      <c r="B199">
        <v>1.1221040035493426</v>
      </c>
      <c r="C199">
        <v>2.1739018595567875E-2</v>
      </c>
      <c r="D199">
        <v>0.79780747648966466</v>
      </c>
      <c r="E199">
        <v>6.3510822241472864E-2</v>
      </c>
      <c r="F199">
        <v>0.89277303845673517</v>
      </c>
      <c r="G199">
        <v>0.42842021956835064</v>
      </c>
      <c r="H199">
        <v>0.14808970764683874</v>
      </c>
      <c r="I199">
        <v>0.31903241946624289</v>
      </c>
      <c r="J199">
        <v>0</v>
      </c>
      <c r="L199">
        <v>3.3553880345509297</v>
      </c>
      <c r="M199">
        <v>4.4538195732080093</v>
      </c>
      <c r="N199">
        <v>3.7173639520102277</v>
      </c>
      <c r="P199">
        <v>4.0474825545949108E-11</v>
      </c>
      <c r="R199">
        <v>10.920859846395361</v>
      </c>
      <c r="S199">
        <v>10.938849692911305</v>
      </c>
      <c r="T199">
        <v>1</v>
      </c>
      <c r="U199">
        <v>2.4999683018236136</v>
      </c>
    </row>
    <row r="200" spans="1:21">
      <c r="A200">
        <v>-0.98138147120950803</v>
      </c>
      <c r="B200">
        <v>1.118901576956931</v>
      </c>
      <c r="C200">
        <v>4.8433508291963613E-2</v>
      </c>
      <c r="D200">
        <v>-5.8482589691820318E-2</v>
      </c>
      <c r="E200">
        <v>-0.64139726418399368</v>
      </c>
      <c r="F200">
        <v>2.0293056232151642E-2</v>
      </c>
      <c r="G200">
        <v>0.39557874966091305</v>
      </c>
      <c r="H200">
        <v>0.43231628992832216</v>
      </c>
      <c r="I200">
        <v>0.78580804519429426</v>
      </c>
      <c r="J200">
        <v>0.96007341215802566</v>
      </c>
      <c r="L200">
        <v>3.3553889112471795</v>
      </c>
      <c r="M200">
        <v>4.4538152844407</v>
      </c>
      <c r="N200">
        <v>3.7173681458197891</v>
      </c>
      <c r="P200">
        <v>6.2198313441298328E-11</v>
      </c>
      <c r="R200">
        <v>10.920859846395361</v>
      </c>
      <c r="S200">
        <v>10.938849692911305</v>
      </c>
      <c r="T200">
        <v>1</v>
      </c>
      <c r="U200">
        <v>2.4999683018236136</v>
      </c>
    </row>
    <row r="201" spans="1:21">
      <c r="A201">
        <v>-1.0927335631604429</v>
      </c>
      <c r="B201">
        <v>1.0245773144623493</v>
      </c>
      <c r="C201">
        <v>-0.1291356116356962</v>
      </c>
      <c r="D201">
        <v>0.47475586205611237</v>
      </c>
      <c r="E201">
        <v>-0.18048228697659238</v>
      </c>
      <c r="F201">
        <v>0.5502648928679299</v>
      </c>
      <c r="G201">
        <v>0.64205849702653661</v>
      </c>
      <c r="H201">
        <v>0.86515897124485763</v>
      </c>
      <c r="I201">
        <v>0.38568985518564719</v>
      </c>
      <c r="J201">
        <v>0.76326850587222872</v>
      </c>
      <c r="L201">
        <v>0.66341722656596214</v>
      </c>
      <c r="M201">
        <v>4.4538202693609206</v>
      </c>
      <c r="N201">
        <v>3.717368512414903</v>
      </c>
      <c r="P201">
        <v>3.5095154132350534E-11</v>
      </c>
      <c r="R201">
        <v>8.1021923474921262</v>
      </c>
      <c r="S201">
        <v>8.1126859890305525</v>
      </c>
      <c r="T201">
        <v>1</v>
      </c>
      <c r="U201">
        <v>2.6974713164084303</v>
      </c>
    </row>
    <row r="202" spans="1:21">
      <c r="A202">
        <v>-1.0942713653457372</v>
      </c>
      <c r="B202">
        <v>1.0229596308769282</v>
      </c>
      <c r="C202">
        <v>-0.14292531227581814</v>
      </c>
      <c r="D202">
        <v>-0.29461100292007281</v>
      </c>
      <c r="E202">
        <v>-0.14427551709421033</v>
      </c>
      <c r="F202">
        <v>0.18808213646579655</v>
      </c>
      <c r="G202">
        <v>0.96301848406755197</v>
      </c>
      <c r="H202">
        <v>0.76716706584914429</v>
      </c>
      <c r="I202">
        <v>0.94553253358628409</v>
      </c>
      <c r="J202">
        <v>0.48988352978687411</v>
      </c>
      <c r="L202">
        <v>0.66341715565031145</v>
      </c>
      <c r="M202">
        <v>4.4538211641686907</v>
      </c>
      <c r="N202">
        <v>3.7173672851190402</v>
      </c>
      <c r="P202">
        <v>3.5936241443576892E-11</v>
      </c>
      <c r="R202">
        <v>8.1021923474921262</v>
      </c>
      <c r="S202">
        <v>8.1126859890305525</v>
      </c>
      <c r="T202">
        <v>1</v>
      </c>
      <c r="U202">
        <v>2.6974713164084303</v>
      </c>
    </row>
    <row r="203" spans="1:21">
      <c r="A203">
        <v>-1.0912344069649531</v>
      </c>
      <c r="B203">
        <v>1.0207733756098771</v>
      </c>
      <c r="C203">
        <v>-0.13461459147123547</v>
      </c>
      <c r="D203">
        <v>0.75903603120587526</v>
      </c>
      <c r="E203">
        <v>0.24565272132526586</v>
      </c>
      <c r="F203">
        <v>0.16005827786592974</v>
      </c>
      <c r="G203">
        <v>7.8419746794143083E-2</v>
      </c>
      <c r="H203">
        <v>0.55633223177964641</v>
      </c>
      <c r="I203">
        <v>0.70367380016648429</v>
      </c>
      <c r="J203">
        <v>0.18505486271165494</v>
      </c>
      <c r="L203">
        <v>0.66341727326496069</v>
      </c>
      <c r="M203">
        <v>4.4538202243633025</v>
      </c>
      <c r="N203">
        <v>3.7173685939680179</v>
      </c>
      <c r="P203">
        <v>3.4704112554627666E-11</v>
      </c>
      <c r="R203">
        <v>8.1021923474921262</v>
      </c>
      <c r="S203">
        <v>8.1126859890305525</v>
      </c>
      <c r="T203">
        <v>1</v>
      </c>
      <c r="U203">
        <v>2.6974713164084303</v>
      </c>
    </row>
    <row r="204" spans="1:21">
      <c r="A204">
        <v>-1.0949903249332178</v>
      </c>
      <c r="B204">
        <v>1.018262851370441</v>
      </c>
      <c r="C204">
        <v>-0.14176307723166898</v>
      </c>
      <c r="D204">
        <v>0.3933850280590751</v>
      </c>
      <c r="E204">
        <v>0.19405056070000767</v>
      </c>
      <c r="F204">
        <v>0.12896272923316246</v>
      </c>
      <c r="G204">
        <v>0.32920714884396579</v>
      </c>
      <c r="H204">
        <v>0.83964598827664183</v>
      </c>
      <c r="I204">
        <v>0.8883676797336435</v>
      </c>
      <c r="J204">
        <v>0.29415581657693091</v>
      </c>
      <c r="L204">
        <v>0.66341763856587666</v>
      </c>
      <c r="M204">
        <v>4.4538197478968131</v>
      </c>
      <c r="N204">
        <v>3.7173691421751167</v>
      </c>
      <c r="P204">
        <v>3.2308011346742744E-11</v>
      </c>
      <c r="R204">
        <v>8.1021923474921262</v>
      </c>
      <c r="S204">
        <v>8.1126859890305525</v>
      </c>
      <c r="T204">
        <v>1</v>
      </c>
      <c r="U204">
        <v>2.6974713164084303</v>
      </c>
    </row>
    <row r="205" spans="1:21">
      <c r="A205">
        <v>-1.1003811997719468</v>
      </c>
      <c r="B205">
        <v>1.0234785567834459</v>
      </c>
      <c r="C205">
        <v>-0.13635367727007761</v>
      </c>
      <c r="D205">
        <v>-0.72003022313778109</v>
      </c>
      <c r="E205">
        <v>3.3053192991030607E-2</v>
      </c>
      <c r="F205">
        <v>0.31523602255049954</v>
      </c>
      <c r="G205">
        <v>0.95502507702668238</v>
      </c>
      <c r="H205">
        <v>0.47227585507070124</v>
      </c>
      <c r="I205">
        <v>0.21284012944197531</v>
      </c>
      <c r="J205">
        <v>0.42224392721871423</v>
      </c>
      <c r="L205">
        <v>0.66341736238508608</v>
      </c>
      <c r="M205">
        <v>4.4538199546038397</v>
      </c>
      <c r="N205">
        <v>3.7173687671812647</v>
      </c>
      <c r="P205">
        <v>3.422162822018527E-11</v>
      </c>
      <c r="R205">
        <v>8.1021923474921262</v>
      </c>
      <c r="S205">
        <v>8.1126859890305525</v>
      </c>
      <c r="T205">
        <v>1</v>
      </c>
      <c r="U205">
        <v>2.6974713164084303</v>
      </c>
    </row>
    <row r="206" spans="1:21">
      <c r="A206">
        <v>-1.0970119181422961</v>
      </c>
      <c r="B206">
        <v>1.0133547342262419</v>
      </c>
      <c r="C206">
        <v>-0.14773083049317384</v>
      </c>
      <c r="D206">
        <v>-0.33482470958997568</v>
      </c>
      <c r="E206">
        <v>-0.52257020734224968</v>
      </c>
      <c r="F206">
        <v>0.33363493572442493</v>
      </c>
      <c r="G206">
        <v>0.41318754945496883</v>
      </c>
      <c r="H206">
        <v>0.66928895892165896</v>
      </c>
      <c r="I206">
        <v>0.75336775840169323</v>
      </c>
      <c r="J206">
        <v>0.80175619060223158</v>
      </c>
      <c r="L206">
        <v>0.66341713833758442</v>
      </c>
      <c r="M206">
        <v>4.4538205606026615</v>
      </c>
      <c r="N206">
        <v>3.7173680616448608</v>
      </c>
      <c r="P206">
        <v>3.5598150506558922E-11</v>
      </c>
      <c r="R206">
        <v>8.1021923474921262</v>
      </c>
      <c r="S206">
        <v>8.1126859890305525</v>
      </c>
      <c r="T206">
        <v>1</v>
      </c>
      <c r="U206">
        <v>2.6974713164084303</v>
      </c>
    </row>
    <row r="207" spans="1:21">
      <c r="A207">
        <v>-1.1015409963897302</v>
      </c>
      <c r="B207">
        <v>1.0157760141382002</v>
      </c>
      <c r="C207">
        <v>-0.12140912513140095</v>
      </c>
      <c r="D207">
        <v>-0.48851943229092298</v>
      </c>
      <c r="E207">
        <v>0.509266421071354</v>
      </c>
      <c r="F207">
        <v>-0.43565560734441228</v>
      </c>
      <c r="G207">
        <v>0.13873005982833572</v>
      </c>
      <c r="H207">
        <v>6.3460851469144347E-2</v>
      </c>
      <c r="I207">
        <v>0.32123810017612875</v>
      </c>
      <c r="J207">
        <v>0.32346498413023317</v>
      </c>
      <c r="L207">
        <v>0.6634175235086518</v>
      </c>
      <c r="M207">
        <v>4.4538198674015126</v>
      </c>
      <c r="N207">
        <v>3.7173689952595454</v>
      </c>
      <c r="P207">
        <v>3.3021763362725396E-11</v>
      </c>
      <c r="R207">
        <v>8.1021923474921262</v>
      </c>
      <c r="S207">
        <v>8.1126859890305525</v>
      </c>
      <c r="T207">
        <v>1</v>
      </c>
      <c r="U207">
        <v>2.6974713164084303</v>
      </c>
    </row>
    <row r="208" spans="1:21">
      <c r="A208">
        <v>-1.0892048014362574</v>
      </c>
      <c r="B208">
        <v>1.0266820952525095</v>
      </c>
      <c r="C208">
        <v>-0.11442586472110965</v>
      </c>
      <c r="D208">
        <v>3.3995078767304461E-2</v>
      </c>
      <c r="E208">
        <v>-0.42491406237372759</v>
      </c>
      <c r="F208">
        <v>-0.10775578186623741</v>
      </c>
      <c r="G208">
        <v>0.51107450576838653</v>
      </c>
      <c r="H208">
        <v>3.0940648087264874E-2</v>
      </c>
      <c r="I208">
        <v>9.2803384624936036E-2</v>
      </c>
      <c r="J208">
        <v>0.58126950100627361</v>
      </c>
      <c r="L208">
        <v>0.66341714164721888</v>
      </c>
      <c r="M208">
        <v>4.4538204415388272</v>
      </c>
      <c r="N208">
        <v>3.7173682019929895</v>
      </c>
      <c r="P208">
        <v>3.5667939836541768E-11</v>
      </c>
      <c r="R208">
        <v>8.1021923474921262</v>
      </c>
      <c r="S208">
        <v>8.1126859890305525</v>
      </c>
      <c r="T208">
        <v>1</v>
      </c>
      <c r="U208">
        <v>2.6974713164084303</v>
      </c>
    </row>
    <row r="209" spans="1:21">
      <c r="A209">
        <v>-1.0841278818964986</v>
      </c>
      <c r="B209">
        <v>1.02695161989021</v>
      </c>
      <c r="C209">
        <v>-0.13075225603445056</v>
      </c>
      <c r="D209">
        <v>0.72881762389703753</v>
      </c>
      <c r="E209">
        <v>-0.71476810309247663</v>
      </c>
      <c r="F209">
        <v>-9.7530278690198341E-2</v>
      </c>
      <c r="G209">
        <v>0.61027753460922551</v>
      </c>
      <c r="H209">
        <v>0.68601769129472334</v>
      </c>
      <c r="I209">
        <v>0.6447839749819767</v>
      </c>
      <c r="J209">
        <v>0.36787982732361474</v>
      </c>
      <c r="L209">
        <v>0.66341744705672356</v>
      </c>
      <c r="M209">
        <v>4.4538199193110373</v>
      </c>
      <c r="N209">
        <v>3.7173688971990777</v>
      </c>
      <c r="P209">
        <v>3.3580667560470137E-11</v>
      </c>
      <c r="R209">
        <v>8.1021923474921262</v>
      </c>
      <c r="S209">
        <v>8.1126859890305525</v>
      </c>
      <c r="T209">
        <v>1</v>
      </c>
      <c r="U209">
        <v>2.6974713164084303</v>
      </c>
    </row>
    <row r="210" spans="1:21">
      <c r="A210">
        <v>-1.090851858919246</v>
      </c>
      <c r="B210">
        <v>1.0277528319808609</v>
      </c>
      <c r="C210">
        <v>-0.12281240090291444</v>
      </c>
      <c r="D210">
        <v>-0.29642514639832518</v>
      </c>
      <c r="E210">
        <v>-0.26327902923387037</v>
      </c>
      <c r="F210">
        <v>-9.0443287434508773E-2</v>
      </c>
      <c r="G210">
        <v>0.89099079852472785</v>
      </c>
      <c r="H210">
        <v>0.23886496144804745</v>
      </c>
      <c r="I210">
        <v>0.46039708842504701</v>
      </c>
      <c r="J210">
        <v>0.51637301756049536</v>
      </c>
      <c r="L210">
        <v>0.66341708546971212</v>
      </c>
      <c r="M210">
        <v>4.4538208468291787</v>
      </c>
      <c r="N210">
        <v>3.7173676927587866</v>
      </c>
      <c r="P210">
        <v>3.6247790480537815E-11</v>
      </c>
      <c r="R210">
        <v>8.1021923474921262</v>
      </c>
      <c r="S210">
        <v>8.1126859890305525</v>
      </c>
      <c r="T210">
        <v>1</v>
      </c>
      <c r="U210">
        <v>2.6974713164084303</v>
      </c>
    </row>
    <row r="211" spans="1:21">
      <c r="A211">
        <v>1.4094603603493985</v>
      </c>
      <c r="B211">
        <v>0.13080290411198056</v>
      </c>
      <c r="C211">
        <v>0.42198599995447161</v>
      </c>
      <c r="D211">
        <v>-7.3891014387191437E-2</v>
      </c>
      <c r="E211">
        <v>0.25762590044236794</v>
      </c>
      <c r="F211">
        <v>-0.28775149154712182</v>
      </c>
      <c r="G211">
        <v>0.16991534315885487</v>
      </c>
      <c r="H211">
        <v>0.45663278167100607</v>
      </c>
      <c r="I211">
        <v>0.33097987586184291</v>
      </c>
      <c r="J211">
        <v>0.10924945165812534</v>
      </c>
      <c r="L211">
        <v>1.5742981950638033</v>
      </c>
      <c r="M211">
        <v>3.3561181060191423</v>
      </c>
      <c r="N211">
        <v>4.0714470623211252</v>
      </c>
      <c r="P211">
        <v>9.3713375532977952E-12</v>
      </c>
      <c r="R211">
        <v>8.2412886610281166</v>
      </c>
      <c r="S211">
        <v>8.2529665998791568</v>
      </c>
      <c r="T211">
        <v>1</v>
      </c>
      <c r="U211">
        <v>2.407184029204092</v>
      </c>
    </row>
    <row r="212" spans="1:21">
      <c r="A212">
        <v>1.4154835156527521</v>
      </c>
      <c r="B212">
        <v>0.12172222031273684</v>
      </c>
      <c r="C212">
        <v>0.42176608304588664</v>
      </c>
      <c r="D212">
        <v>0.34126734648345036</v>
      </c>
      <c r="E212">
        <v>0.38015672622267566</v>
      </c>
      <c r="F212">
        <v>0.28280571155179463</v>
      </c>
      <c r="G212">
        <v>0.80329943937212067</v>
      </c>
      <c r="H212">
        <v>0.65829719359878069</v>
      </c>
      <c r="I212">
        <v>4.8253066108332715E-2</v>
      </c>
      <c r="J212">
        <v>0.58278364098207291</v>
      </c>
      <c r="L212">
        <v>1.5742970384792108</v>
      </c>
      <c r="M212">
        <v>3.3561178008498986</v>
      </c>
      <c r="N212">
        <v>4.0714488303486309</v>
      </c>
      <c r="P212">
        <v>3.8565271742172637E-12</v>
      </c>
      <c r="R212">
        <v>8.2412886610281166</v>
      </c>
      <c r="S212">
        <v>8.2529665998791568</v>
      </c>
      <c r="T212">
        <v>1</v>
      </c>
      <c r="U212">
        <v>2.407184029204092</v>
      </c>
    </row>
    <row r="213" spans="1:21">
      <c r="A213">
        <v>1.4099658224849962</v>
      </c>
      <c r="B213">
        <v>0.13505669107304766</v>
      </c>
      <c r="C213">
        <v>0.41680487582261211</v>
      </c>
      <c r="D213">
        <v>-0.88822546293663651</v>
      </c>
      <c r="E213">
        <v>-0.55493739272364084</v>
      </c>
      <c r="F213">
        <v>-0.35433475928465036</v>
      </c>
      <c r="G213">
        <v>0.31405845492589118</v>
      </c>
      <c r="H213">
        <v>0</v>
      </c>
      <c r="I213">
        <v>5.6569833321221792E-2</v>
      </c>
      <c r="J213">
        <v>0.12043209261283368</v>
      </c>
      <c r="L213">
        <v>1.5742975888472017</v>
      </c>
      <c r="M213">
        <v>3.3561183691740943</v>
      </c>
      <c r="N213">
        <v>4.0714487564176762</v>
      </c>
      <c r="P213">
        <v>3.6596847762116507E-12</v>
      </c>
      <c r="R213">
        <v>8.2412886610281166</v>
      </c>
      <c r="S213">
        <v>8.2529665998791568</v>
      </c>
      <c r="T213">
        <v>1</v>
      </c>
      <c r="U213">
        <v>2.407184029204092</v>
      </c>
    </row>
    <row r="214" spans="1:21">
      <c r="A214">
        <v>1.4091555702869332</v>
      </c>
      <c r="B214">
        <v>0.1377642038468519</v>
      </c>
      <c r="C214">
        <v>0.41349649054453447</v>
      </c>
      <c r="D214">
        <v>-5.0666370271544033E-2</v>
      </c>
      <c r="E214">
        <v>-0.25156465126332894</v>
      </c>
      <c r="F214">
        <v>-8.7719072676993165E-2</v>
      </c>
      <c r="G214">
        <v>0.63189757707180239</v>
      </c>
      <c r="H214">
        <v>0.94655330078846356</v>
      </c>
      <c r="I214">
        <v>0.7619932402022026</v>
      </c>
      <c r="J214">
        <v>0.92286509029441022</v>
      </c>
      <c r="L214">
        <v>1.5742970342467919</v>
      </c>
      <c r="M214">
        <v>3.3561179433095178</v>
      </c>
      <c r="N214">
        <v>4.0714484279364287</v>
      </c>
      <c r="P214">
        <v>5.13627751522901E-12</v>
      </c>
      <c r="R214">
        <v>8.2412886610281166</v>
      </c>
      <c r="S214">
        <v>8.2529665998791568</v>
      </c>
      <c r="T214">
        <v>1</v>
      </c>
      <c r="U214">
        <v>2.407184029204092</v>
      </c>
    </row>
    <row r="215" spans="1:21">
      <c r="A215">
        <v>1.4113342010687266</v>
      </c>
      <c r="B215">
        <v>0.14458553149627076</v>
      </c>
      <c r="C215">
        <v>0.38217666187622318</v>
      </c>
      <c r="D215">
        <v>0.20628818338294849</v>
      </c>
      <c r="E215">
        <v>-6.8885731817011395E-2</v>
      </c>
      <c r="F215">
        <v>-0.26290559050598444</v>
      </c>
      <c r="G215">
        <v>0.6046870015521939</v>
      </c>
      <c r="H215">
        <v>0.17608269753571923</v>
      </c>
      <c r="I215">
        <v>0.94978455261993289</v>
      </c>
      <c r="J215">
        <v>0.38041711201558681</v>
      </c>
      <c r="L215">
        <v>1.574297129460045</v>
      </c>
      <c r="M215">
        <v>3.3561177822055561</v>
      </c>
      <c r="N215">
        <v>4.0714490703719299</v>
      </c>
      <c r="P215">
        <v>3.0794968394284449E-12</v>
      </c>
      <c r="R215">
        <v>8.2412886610281166</v>
      </c>
      <c r="S215">
        <v>8.2529665998791568</v>
      </c>
      <c r="T215">
        <v>1</v>
      </c>
      <c r="U215">
        <v>2.407184029204092</v>
      </c>
    </row>
    <row r="216" spans="1:21">
      <c r="A216">
        <v>1.4121109591257752</v>
      </c>
      <c r="B216">
        <v>0.12832895716898948</v>
      </c>
      <c r="C216">
        <v>0.41147376730681257</v>
      </c>
      <c r="D216">
        <v>7.5786932542801638E-2</v>
      </c>
      <c r="E216">
        <v>3.6474583687771019E-2</v>
      </c>
      <c r="F216">
        <v>-7.0260821002016263E-2</v>
      </c>
      <c r="G216">
        <v>0.420299035957859</v>
      </c>
      <c r="H216">
        <v>0.20656214317033691</v>
      </c>
      <c r="I216">
        <v>7.9544040010767966E-2</v>
      </c>
      <c r="J216">
        <v>0.27089617490412904</v>
      </c>
      <c r="L216">
        <v>1.5742969702238738</v>
      </c>
      <c r="M216">
        <v>3.3561177909889888</v>
      </c>
      <c r="N216">
        <v>4.071448636342855</v>
      </c>
      <c r="P216">
        <v>4.5366162136377263E-12</v>
      </c>
      <c r="R216">
        <v>8.2412886610281166</v>
      </c>
      <c r="S216">
        <v>8.2529665998791568</v>
      </c>
      <c r="T216">
        <v>1</v>
      </c>
      <c r="U216">
        <v>2.407184029204092</v>
      </c>
    </row>
    <row r="217" spans="1:21">
      <c r="A217">
        <v>1.4118919779109664</v>
      </c>
      <c r="B217">
        <v>0.13211827260229994</v>
      </c>
      <c r="C217">
        <v>0.43234027470978309</v>
      </c>
      <c r="D217">
        <v>-3.9485340287857551E-2</v>
      </c>
      <c r="E217">
        <v>0.42412696360806151</v>
      </c>
      <c r="F217">
        <v>0.31993164992379736</v>
      </c>
      <c r="G217">
        <v>5.3937376664058699E-2</v>
      </c>
      <c r="H217">
        <v>0.59562356219935619</v>
      </c>
      <c r="I217">
        <v>9.1920329133039977E-2</v>
      </c>
      <c r="J217">
        <v>2.1451995595071317E-2</v>
      </c>
      <c r="L217">
        <v>1.5742970406650278</v>
      </c>
      <c r="M217">
        <v>3.3561177977189627</v>
      </c>
      <c r="N217">
        <v>4.0714488339295363</v>
      </c>
      <c r="P217">
        <v>3.8382830608688865E-12</v>
      </c>
      <c r="R217">
        <v>8.2412886610281166</v>
      </c>
      <c r="S217">
        <v>8.2529665998791568</v>
      </c>
      <c r="T217">
        <v>1</v>
      </c>
      <c r="U217">
        <v>2.407184029204092</v>
      </c>
    </row>
    <row r="218" spans="1:21">
      <c r="A218">
        <v>1.4113785654986808</v>
      </c>
      <c r="B218">
        <v>0.14008324246049636</v>
      </c>
      <c r="C218">
        <v>0.40537996165025386</v>
      </c>
      <c r="D218">
        <v>-0.47730856699348961</v>
      </c>
      <c r="E218">
        <v>-1.8947182527991675E-2</v>
      </c>
      <c r="F218">
        <v>0.13946540323008066</v>
      </c>
      <c r="G218">
        <v>0.49860546857557392</v>
      </c>
      <c r="H218">
        <v>0.19188082950106325</v>
      </c>
      <c r="I218">
        <v>0.65188641210511455</v>
      </c>
      <c r="J218">
        <v>0.56155650594924178</v>
      </c>
      <c r="L218">
        <v>1.5742969723438165</v>
      </c>
      <c r="M218">
        <v>3.3561178275396006</v>
      </c>
      <c r="N218">
        <v>4.0714485723462923</v>
      </c>
      <c r="P218">
        <v>4.7477841474221193E-12</v>
      </c>
      <c r="R218">
        <v>8.2412886610281166</v>
      </c>
      <c r="S218">
        <v>8.2529665998791568</v>
      </c>
      <c r="T218">
        <v>1</v>
      </c>
      <c r="U218">
        <v>2.407184029204092</v>
      </c>
    </row>
    <row r="219" spans="1:21">
      <c r="A219">
        <v>1.4112928270810854</v>
      </c>
      <c r="B219">
        <v>0.129036165397901</v>
      </c>
      <c r="C219">
        <v>0.39902198866639188</v>
      </c>
      <c r="D219">
        <v>0.23919360248512661</v>
      </c>
      <c r="E219">
        <v>0.32490543304145225</v>
      </c>
      <c r="F219">
        <v>-0.51672761468240391</v>
      </c>
      <c r="G219">
        <v>0.46263078070765756</v>
      </c>
      <c r="H219">
        <v>3.0432647012166216E-2</v>
      </c>
      <c r="I219">
        <v>0.45271803110158582</v>
      </c>
      <c r="J219">
        <v>0.1039351520318459</v>
      </c>
      <c r="L219">
        <v>1.5742970385338746</v>
      </c>
      <c r="M219">
        <v>3.3561178999613621</v>
      </c>
      <c r="N219">
        <v>4.071448644339374</v>
      </c>
      <c r="P219">
        <v>4.4398317928438645E-12</v>
      </c>
      <c r="R219">
        <v>8.2412886610281166</v>
      </c>
      <c r="S219">
        <v>8.2529665998791568</v>
      </c>
      <c r="T219">
        <v>1</v>
      </c>
      <c r="U219">
        <v>2.407184029204092</v>
      </c>
    </row>
    <row r="220" spans="1:21">
      <c r="A220">
        <v>1.4143721381886594</v>
      </c>
      <c r="B220">
        <v>0.1500732021432907</v>
      </c>
      <c r="C220">
        <v>0.36923293956538572</v>
      </c>
      <c r="D220">
        <v>0.84810963815877682</v>
      </c>
      <c r="E220">
        <v>0.18217308948247199</v>
      </c>
      <c r="F220">
        <v>8.1373278522087686E-2</v>
      </c>
      <c r="G220">
        <v>0.58536864321149151</v>
      </c>
      <c r="H220">
        <v>0.17998549602807895</v>
      </c>
      <c r="I220">
        <v>1.0058629379563977</v>
      </c>
      <c r="J220">
        <v>0.11753859892887915</v>
      </c>
      <c r="L220">
        <v>1.574298703584595</v>
      </c>
      <c r="M220">
        <v>3.3561171011601352</v>
      </c>
      <c r="N220">
        <v>4.0714465907435127</v>
      </c>
      <c r="P220">
        <v>1.1525148450329288E-11</v>
      </c>
      <c r="R220">
        <v>8.2412886610281166</v>
      </c>
      <c r="S220">
        <v>8.2529665998791568</v>
      </c>
      <c r="T220">
        <v>1</v>
      </c>
      <c r="U220">
        <v>2.407184029204092</v>
      </c>
    </row>
    <row r="221" spans="1:21">
      <c r="A221">
        <v>1.4626015394021543</v>
      </c>
      <c r="B221">
        <v>0.26283476771652903</v>
      </c>
      <c r="C221">
        <v>0.34741076269739163</v>
      </c>
      <c r="D221">
        <v>0.26563458867712575</v>
      </c>
      <c r="E221">
        <v>-3.4787686712727174E-2</v>
      </c>
      <c r="F221">
        <v>0.62089279575146228</v>
      </c>
      <c r="G221">
        <v>0.77745949273083115</v>
      </c>
      <c r="H221">
        <v>0.36674781382591293</v>
      </c>
      <c r="I221">
        <v>0.16454073918026618</v>
      </c>
      <c r="J221">
        <v>0.7771452888581718</v>
      </c>
      <c r="L221">
        <v>1.5742994618634465</v>
      </c>
      <c r="M221">
        <v>3.3561157899720673</v>
      </c>
      <c r="N221">
        <v>0.900355542812451</v>
      </c>
      <c r="P221">
        <v>3.0195880469216362E-12</v>
      </c>
      <c r="R221">
        <v>5.1379725144449369</v>
      </c>
      <c r="S221">
        <v>5.1437331426071831</v>
      </c>
      <c r="T221">
        <v>1</v>
      </c>
      <c r="U221">
        <v>2.4285193280740889</v>
      </c>
    </row>
    <row r="222" spans="1:21">
      <c r="A222">
        <v>1.4651670759921507</v>
      </c>
      <c r="B222">
        <v>0.25819185886824952</v>
      </c>
      <c r="C222">
        <v>0.33780762759435351</v>
      </c>
      <c r="D222">
        <v>0.40662901205636803</v>
      </c>
      <c r="E222">
        <v>0.27968148009022192</v>
      </c>
      <c r="F222">
        <v>-0.57642472146490176</v>
      </c>
      <c r="G222">
        <v>0.96442122574672418</v>
      </c>
      <c r="H222">
        <v>0</v>
      </c>
      <c r="I222">
        <v>0.12802458748392967</v>
      </c>
      <c r="J222">
        <v>0.29693502363425889</v>
      </c>
      <c r="L222">
        <v>1.5742984652991454</v>
      </c>
      <c r="M222">
        <v>3.3561173103902875</v>
      </c>
      <c r="N222">
        <v>0.90035562957767412</v>
      </c>
      <c r="P222">
        <v>3.2450181990812593E-14</v>
      </c>
      <c r="R222">
        <v>5.1379725144449369</v>
      </c>
      <c r="S222">
        <v>5.1437331426071831</v>
      </c>
      <c r="T222">
        <v>1</v>
      </c>
      <c r="U222">
        <v>2.4285193280740889</v>
      </c>
    </row>
    <row r="223" spans="1:21">
      <c r="A223">
        <v>1.4494383004845983</v>
      </c>
      <c r="B223">
        <v>0.25054946229819236</v>
      </c>
      <c r="C223">
        <v>0.35533586744535828</v>
      </c>
      <c r="D223">
        <v>0.41471812791715817</v>
      </c>
      <c r="E223">
        <v>9.6955037310351502E-2</v>
      </c>
      <c r="F223">
        <v>5.0293804735295808E-2</v>
      </c>
      <c r="G223">
        <v>0.28896541435856499</v>
      </c>
      <c r="H223">
        <v>0.61720800804833242</v>
      </c>
      <c r="I223">
        <v>0.70194741738707889</v>
      </c>
      <c r="J223">
        <v>0.79719258590475084</v>
      </c>
      <c r="L223">
        <v>1.5742987908627721</v>
      </c>
      <c r="M223">
        <v>3.356116025140806</v>
      </c>
      <c r="N223">
        <v>0.90035614124317431</v>
      </c>
      <c r="P223">
        <v>1.6650351273770971E-12</v>
      </c>
      <c r="R223">
        <v>5.1379725144449369</v>
      </c>
      <c r="S223">
        <v>5.1437331426071831</v>
      </c>
      <c r="T223">
        <v>1</v>
      </c>
      <c r="U223">
        <v>2.4285193280740889</v>
      </c>
    </row>
    <row r="224" spans="1:21">
      <c r="A224">
        <v>1.4611541050167549</v>
      </c>
      <c r="B224">
        <v>0.26768859427180958</v>
      </c>
      <c r="C224">
        <v>0.33423177904640011</v>
      </c>
      <c r="D224">
        <v>0.39710606991053943</v>
      </c>
      <c r="E224">
        <v>0.60659584589291715</v>
      </c>
      <c r="F224">
        <v>0.34387644945282453</v>
      </c>
      <c r="G224">
        <v>0.6945762061308377</v>
      </c>
      <c r="H224">
        <v>0.21150246760399874</v>
      </c>
      <c r="I224">
        <v>0.87054848574019028</v>
      </c>
      <c r="J224">
        <v>0.13293202217353001</v>
      </c>
      <c r="L224">
        <v>1.5742988752506293</v>
      </c>
      <c r="M224">
        <v>3.3561162838795751</v>
      </c>
      <c r="N224">
        <v>0.90035612769045925</v>
      </c>
      <c r="P224">
        <v>1.1472009978745471E-12</v>
      </c>
      <c r="R224">
        <v>5.1379725144449369</v>
      </c>
      <c r="S224">
        <v>5.1437331426071831</v>
      </c>
      <c r="T224">
        <v>1</v>
      </c>
      <c r="U224">
        <v>2.4285193280740889</v>
      </c>
    </row>
    <row r="225" spans="1:21">
      <c r="A225">
        <v>1.4449109046624045</v>
      </c>
      <c r="B225">
        <v>0.25291343954414197</v>
      </c>
      <c r="C225">
        <v>0.33919717180172682</v>
      </c>
      <c r="D225">
        <v>0.15748015118527384</v>
      </c>
      <c r="E225">
        <v>-0.74670485043663914</v>
      </c>
      <c r="F225">
        <v>-0.2095847467432054</v>
      </c>
      <c r="G225">
        <v>0.35266405989528843</v>
      </c>
      <c r="H225">
        <v>0.35264567192800134</v>
      </c>
      <c r="I225">
        <v>0.82102840911069519</v>
      </c>
      <c r="J225">
        <v>0.66667875293965284</v>
      </c>
      <c r="L225">
        <v>1.5742984969835681</v>
      </c>
      <c r="M225">
        <v>3.3561161806031077</v>
      </c>
      <c r="N225">
        <v>0.90035621413249212</v>
      </c>
      <c r="P225">
        <v>1.3025416115281544E-12</v>
      </c>
      <c r="R225">
        <v>5.1379725144449369</v>
      </c>
      <c r="S225">
        <v>5.1437331426071831</v>
      </c>
      <c r="T225">
        <v>1</v>
      </c>
      <c r="U225">
        <v>2.4285193280740889</v>
      </c>
    </row>
    <row r="226" spans="1:21">
      <c r="A226">
        <v>1.4566838418190311</v>
      </c>
      <c r="B226">
        <v>0.25121242257527859</v>
      </c>
      <c r="C226">
        <v>0.34076417266752057</v>
      </c>
      <c r="D226">
        <v>0.41221341831994723</v>
      </c>
      <c r="E226">
        <v>0.18214454537042235</v>
      </c>
      <c r="F226">
        <v>-9.7214152403071782E-2</v>
      </c>
      <c r="G226">
        <v>0.61119899300328373</v>
      </c>
      <c r="H226">
        <v>2.3809741127402199E-2</v>
      </c>
      <c r="I226">
        <v>0.35721327615350318</v>
      </c>
      <c r="J226">
        <v>0.99004290588647825</v>
      </c>
      <c r="L226">
        <v>1.5742986510295118</v>
      </c>
      <c r="M226">
        <v>3.356116376285756</v>
      </c>
      <c r="N226">
        <v>0.90035619265124101</v>
      </c>
      <c r="P226">
        <v>9.2369390779274345E-13</v>
      </c>
      <c r="R226">
        <v>5.1379725144449369</v>
      </c>
      <c r="S226">
        <v>5.1437331426071831</v>
      </c>
      <c r="T226">
        <v>1</v>
      </c>
      <c r="U226">
        <v>2.4285193280740889</v>
      </c>
    </row>
    <row r="227" spans="1:21">
      <c r="A227">
        <v>1.4425301609401309</v>
      </c>
      <c r="B227">
        <v>0.24611353484576265</v>
      </c>
      <c r="C227">
        <v>0.336344741356708</v>
      </c>
      <c r="D227">
        <v>0.55075087592412053</v>
      </c>
      <c r="E227">
        <v>-0.26532478016990518</v>
      </c>
      <c r="F227">
        <v>-0.46578560959512871</v>
      </c>
      <c r="G227">
        <v>0.11351754950539629</v>
      </c>
      <c r="H227">
        <v>0.18241810786088819</v>
      </c>
      <c r="I227">
        <v>0.90922645563542903</v>
      </c>
      <c r="J227">
        <v>0.71421851906952682</v>
      </c>
      <c r="L227">
        <v>1.5742986799313285</v>
      </c>
      <c r="M227">
        <v>3.3561168050712489</v>
      </c>
      <c r="N227">
        <v>0.90035606798481238</v>
      </c>
      <c r="P227">
        <v>2.910688126532748E-13</v>
      </c>
      <c r="R227">
        <v>5.1379725144449369</v>
      </c>
      <c r="S227">
        <v>5.1437331426071831</v>
      </c>
      <c r="T227">
        <v>1</v>
      </c>
      <c r="U227">
        <v>2.4285193280740889</v>
      </c>
    </row>
    <row r="228" spans="1:21">
      <c r="A228">
        <v>1.4590907198590497</v>
      </c>
      <c r="B228">
        <v>0.26862728821902648</v>
      </c>
      <c r="C228">
        <v>0.33667938450560397</v>
      </c>
      <c r="D228">
        <v>-0.17544561416726878</v>
      </c>
      <c r="E228">
        <v>-0.52946204231902283</v>
      </c>
      <c r="F228">
        <v>0.50954854856790566</v>
      </c>
      <c r="G228">
        <v>0.91827123227217988</v>
      </c>
      <c r="H228">
        <v>0.29616351052235457</v>
      </c>
      <c r="I228">
        <v>0.59490932184952128</v>
      </c>
      <c r="J228">
        <v>0.55693889305068245</v>
      </c>
      <c r="L228">
        <v>1.5742988359943446</v>
      </c>
      <c r="M228">
        <v>3.3561162744567783</v>
      </c>
      <c r="N228">
        <v>0.90035614212210591</v>
      </c>
      <c r="P228">
        <v>1.1497472087533359E-12</v>
      </c>
      <c r="R228">
        <v>5.1379725144449369</v>
      </c>
      <c r="S228">
        <v>5.1437331426071831</v>
      </c>
      <c r="T228">
        <v>1</v>
      </c>
      <c r="U228">
        <v>2.4285193280740889</v>
      </c>
    </row>
    <row r="229" spans="1:21">
      <c r="A229">
        <v>1.4476891722324616</v>
      </c>
      <c r="B229">
        <v>0.25713642064774944</v>
      </c>
      <c r="C229">
        <v>0.35410607693439844</v>
      </c>
      <c r="D229">
        <v>0.18769983218808053</v>
      </c>
      <c r="E229">
        <v>-6.4453900473818271E-2</v>
      </c>
      <c r="F229">
        <v>-4.0847249830308262E-2</v>
      </c>
      <c r="G229">
        <v>0.27591211486236561</v>
      </c>
      <c r="H229">
        <v>0.76583470379832996</v>
      </c>
      <c r="I229">
        <v>1.0195699689686293</v>
      </c>
      <c r="J229">
        <v>0.21038384229044779</v>
      </c>
      <c r="L229">
        <v>1.5742987026142246</v>
      </c>
      <c r="M229">
        <v>3.3561162422302471</v>
      </c>
      <c r="N229">
        <v>0.90035618406888984</v>
      </c>
      <c r="P229">
        <v>1.1805205078915652E-12</v>
      </c>
      <c r="R229">
        <v>5.1379725144449369</v>
      </c>
      <c r="S229">
        <v>5.1437331426071831</v>
      </c>
      <c r="T229">
        <v>1</v>
      </c>
      <c r="U229">
        <v>2.4285193280740889</v>
      </c>
    </row>
    <row r="230" spans="1:21">
      <c r="A230">
        <v>1.4586745754987822</v>
      </c>
      <c r="B230">
        <v>0.25179032051049482</v>
      </c>
      <c r="C230">
        <v>0.36718564630660933</v>
      </c>
      <c r="D230">
        <v>-0.22867302255505859</v>
      </c>
      <c r="E230">
        <v>0.86332277464937313</v>
      </c>
      <c r="F230">
        <v>-0.28677464261771263</v>
      </c>
      <c r="G230">
        <v>0.49770431996915504</v>
      </c>
      <c r="H230">
        <v>0.23222553651624861</v>
      </c>
      <c r="I230">
        <v>0.44031165784483034</v>
      </c>
      <c r="J230">
        <v>0.37931248687578722</v>
      </c>
      <c r="L230">
        <v>1.5742986657842668</v>
      </c>
      <c r="M230">
        <v>3.3561165661255199</v>
      </c>
      <c r="N230">
        <v>0.90035615957180903</v>
      </c>
      <c r="P230">
        <v>6.1098994368882455E-13</v>
      </c>
      <c r="R230">
        <v>5.1379725144449369</v>
      </c>
      <c r="S230">
        <v>5.1437331426071831</v>
      </c>
      <c r="T230">
        <v>1</v>
      </c>
      <c r="U230">
        <v>2.4285193280740889</v>
      </c>
    </row>
    <row r="231" spans="1:21">
      <c r="A231">
        <v>1.4878602925338471</v>
      </c>
      <c r="B231">
        <v>0.33869469589700457</v>
      </c>
      <c r="C231">
        <v>0.30052708292481051</v>
      </c>
      <c r="D231">
        <v>0.68661808818497549</v>
      </c>
      <c r="E231">
        <v>0.31826172074286996</v>
      </c>
      <c r="F231">
        <v>-0.24796340330006381</v>
      </c>
      <c r="G231">
        <v>0.77886841883246449</v>
      </c>
      <c r="H231">
        <v>0.31948829813169183</v>
      </c>
      <c r="I231">
        <v>0.64325051262241939</v>
      </c>
      <c r="J231">
        <v>0.12966216609794196</v>
      </c>
      <c r="L231">
        <v>1.5742976640279214</v>
      </c>
      <c r="M231">
        <v>3.3561155840290029</v>
      </c>
      <c r="N231">
        <v>2.3668768018312512</v>
      </c>
      <c r="P231">
        <v>5.9238024647879756E-12</v>
      </c>
      <c r="R231">
        <v>4.710506893207592</v>
      </c>
      <c r="S231">
        <v>4.7138939593144054</v>
      </c>
      <c r="T231">
        <v>1</v>
      </c>
      <c r="U231">
        <v>2.1127882017193658</v>
      </c>
    </row>
    <row r="232" spans="1:21">
      <c r="A232">
        <v>1.4842854717719067</v>
      </c>
      <c r="B232">
        <v>0.34622021316515478</v>
      </c>
      <c r="C232">
        <v>0.32244607201231296</v>
      </c>
      <c r="D232">
        <v>-0.18392508988973308</v>
      </c>
      <c r="E232">
        <v>-0.19423446620065349</v>
      </c>
      <c r="F232">
        <v>-0.35378762609882963</v>
      </c>
      <c r="G232">
        <v>0.74846330419587492</v>
      </c>
      <c r="H232">
        <v>0.92452221385568878</v>
      </c>
      <c r="I232">
        <v>0.89049152634752593</v>
      </c>
      <c r="J232">
        <v>0.39052768838805102</v>
      </c>
      <c r="L232">
        <v>1.5742975927348914</v>
      </c>
      <c r="M232">
        <v>3.3561156348222889</v>
      </c>
      <c r="N232">
        <v>2.3668769320751575</v>
      </c>
      <c r="P232">
        <v>5.4963103785825231E-12</v>
      </c>
      <c r="R232">
        <v>4.710506893207592</v>
      </c>
      <c r="S232">
        <v>4.7138939593144054</v>
      </c>
      <c r="T232">
        <v>1</v>
      </c>
      <c r="U232">
        <v>2.1127882017193658</v>
      </c>
    </row>
    <row r="233" spans="1:21">
      <c r="A233">
        <v>1.4867220152974352</v>
      </c>
      <c r="B233">
        <v>0.34396082428009706</v>
      </c>
      <c r="C233">
        <v>0.31095315066197549</v>
      </c>
      <c r="D233">
        <v>0.14413466982876671</v>
      </c>
      <c r="E233">
        <v>-0.19795167666990288</v>
      </c>
      <c r="F233">
        <v>0.5664316925834727</v>
      </c>
      <c r="G233">
        <v>0.50254539437653822</v>
      </c>
      <c r="H233">
        <v>0.27689519851474886</v>
      </c>
      <c r="I233">
        <v>0.32899767772362826</v>
      </c>
      <c r="J233">
        <v>0.43447031707025163</v>
      </c>
      <c r="L233">
        <v>1.5742976925948684</v>
      </c>
      <c r="M233">
        <v>3.3561156079921495</v>
      </c>
      <c r="N233">
        <v>2.3668767511431996</v>
      </c>
      <c r="P233">
        <v>5.9578051793398508E-12</v>
      </c>
      <c r="R233">
        <v>4.710506893207592</v>
      </c>
      <c r="S233">
        <v>4.7138939593144054</v>
      </c>
      <c r="T233">
        <v>1</v>
      </c>
      <c r="U233">
        <v>2.1127882017193658</v>
      </c>
    </row>
    <row r="234" spans="1:21">
      <c r="A234">
        <v>1.4868491208592709</v>
      </c>
      <c r="B234">
        <v>0.33914629877477809</v>
      </c>
      <c r="C234">
        <v>0.30586667952063468</v>
      </c>
      <c r="D234">
        <v>0.31852204999878153</v>
      </c>
      <c r="E234">
        <v>0.34584807520784744</v>
      </c>
      <c r="F234">
        <v>7.6940886038107156E-2</v>
      </c>
      <c r="G234">
        <v>0.61304918644575457</v>
      </c>
      <c r="H234">
        <v>0.15427856623388667</v>
      </c>
      <c r="I234">
        <v>0.61166785520851652</v>
      </c>
      <c r="J234">
        <v>0.39048815814466759</v>
      </c>
      <c r="L234">
        <v>1.5742978733785664</v>
      </c>
      <c r="M234">
        <v>3.356115735860107</v>
      </c>
      <c r="N234">
        <v>2.3668768330182517</v>
      </c>
      <c r="P234">
        <v>5.0305359631446255E-12</v>
      </c>
      <c r="R234">
        <v>4.710506893207592</v>
      </c>
      <c r="S234">
        <v>4.7138939593144054</v>
      </c>
      <c r="T234">
        <v>1</v>
      </c>
      <c r="U234">
        <v>2.1127882017193658</v>
      </c>
    </row>
    <row r="235" spans="1:21">
      <c r="A235">
        <v>1.4862297044034274</v>
      </c>
      <c r="B235">
        <v>0.33828240011521948</v>
      </c>
      <c r="C235">
        <v>0.30818244215318291</v>
      </c>
      <c r="D235">
        <v>0.72474431827756647</v>
      </c>
      <c r="E235">
        <v>-2.9751180618463088E-2</v>
      </c>
      <c r="F235">
        <v>0.39078185794784526</v>
      </c>
      <c r="G235">
        <v>0.32219591789301122</v>
      </c>
      <c r="H235">
        <v>0.21895799964383003</v>
      </c>
      <c r="I235">
        <v>0.10936366759036935</v>
      </c>
      <c r="J235">
        <v>0.4833932034636732</v>
      </c>
      <c r="L235">
        <v>1.5742976451795476</v>
      </c>
      <c r="M235">
        <v>3.3561156481870627</v>
      </c>
      <c r="N235">
        <v>2.3668768266365681</v>
      </c>
      <c r="P235">
        <v>5.6718694463972898E-12</v>
      </c>
      <c r="R235">
        <v>4.710506893207592</v>
      </c>
      <c r="S235">
        <v>4.7138939593144054</v>
      </c>
      <c r="T235">
        <v>1</v>
      </c>
      <c r="U235">
        <v>2.1127882017193658</v>
      </c>
    </row>
    <row r="236" spans="1:21">
      <c r="A236">
        <v>1.4814078808428413</v>
      </c>
      <c r="B236">
        <v>0.34429971025103473</v>
      </c>
      <c r="C236">
        <v>0.33784401146335635</v>
      </c>
      <c r="D236">
        <v>-0.46746178849089959</v>
      </c>
      <c r="E236">
        <v>-0.29224597794645418</v>
      </c>
      <c r="F236">
        <v>-0.20063243589777088</v>
      </c>
      <c r="G236">
        <v>0.12827077314806298</v>
      </c>
      <c r="H236">
        <v>0.71433410638718708</v>
      </c>
      <c r="I236">
        <v>0.41938146727133313</v>
      </c>
      <c r="J236">
        <v>0.65639492917215259</v>
      </c>
      <c r="L236">
        <v>1.5742977022105247</v>
      </c>
      <c r="M236">
        <v>3.3561156080846821</v>
      </c>
      <c r="N236">
        <v>2.3668767470376153</v>
      </c>
      <c r="P236">
        <v>5.9548038733577099E-12</v>
      </c>
      <c r="R236">
        <v>4.710506893207592</v>
      </c>
      <c r="S236">
        <v>4.7138939593144054</v>
      </c>
      <c r="T236">
        <v>1</v>
      </c>
      <c r="U236">
        <v>2.1127882017193658</v>
      </c>
    </row>
    <row r="237" spans="1:21">
      <c r="A237">
        <v>1.4872641219179745</v>
      </c>
      <c r="B237">
        <v>0.33727666316074684</v>
      </c>
      <c r="C237">
        <v>0.31723545771346728</v>
      </c>
      <c r="D237">
        <v>-0.32467152381150144</v>
      </c>
      <c r="E237">
        <v>-0.20492298837641976</v>
      </c>
      <c r="F237">
        <v>-0.37760092414161889</v>
      </c>
      <c r="G237">
        <v>0.91488534412500799</v>
      </c>
      <c r="H237">
        <v>0.30065159209042586</v>
      </c>
      <c r="I237">
        <v>0.40552188380623438</v>
      </c>
      <c r="J237">
        <v>0.86461790430436669</v>
      </c>
      <c r="L237">
        <v>1.5742977340110949</v>
      </c>
      <c r="M237">
        <v>3.3561156104055097</v>
      </c>
      <c r="N237">
        <v>2.3668766897595144</v>
      </c>
      <c r="P237">
        <v>6.0845006715056362E-12</v>
      </c>
      <c r="R237">
        <v>4.710506893207592</v>
      </c>
      <c r="S237">
        <v>4.7138939593144054</v>
      </c>
      <c r="T237">
        <v>1</v>
      </c>
      <c r="U237">
        <v>2.1127882017193658</v>
      </c>
    </row>
    <row r="238" spans="1:21">
      <c r="A238">
        <v>1.4958748297206668</v>
      </c>
      <c r="B238">
        <v>0.34666408352208855</v>
      </c>
      <c r="C238">
        <v>0.34004829397526648</v>
      </c>
      <c r="D238">
        <v>-0.36816380854434544</v>
      </c>
      <c r="E238">
        <v>0.57293513237372318</v>
      </c>
      <c r="F238">
        <v>-0.13417433385308555</v>
      </c>
      <c r="G238">
        <v>0.83627970449889677</v>
      </c>
      <c r="H238">
        <v>0.73981874757577937</v>
      </c>
      <c r="I238">
        <v>0.21637302998130167</v>
      </c>
      <c r="J238">
        <v>0.3978835301059328</v>
      </c>
      <c r="L238">
        <v>1.5742978176527416</v>
      </c>
      <c r="M238">
        <v>3.3561155884971274</v>
      </c>
      <c r="N238">
        <v>2.3668765626466879</v>
      </c>
      <c r="P238">
        <v>6.4727141681970293E-12</v>
      </c>
      <c r="R238">
        <v>4.710506893207592</v>
      </c>
      <c r="S238">
        <v>4.7138939593144054</v>
      </c>
      <c r="T238">
        <v>1</v>
      </c>
      <c r="U238">
        <v>2.1127882017193658</v>
      </c>
    </row>
    <row r="239" spans="1:21">
      <c r="A239">
        <v>1.4889748967053968</v>
      </c>
      <c r="B239">
        <v>0.35081720592225335</v>
      </c>
      <c r="C239">
        <v>0.34649102004470378</v>
      </c>
      <c r="D239">
        <v>-0.37995549858067784</v>
      </c>
      <c r="E239">
        <v>0.18136747544719481</v>
      </c>
      <c r="F239">
        <v>5.2916837653787692E-2</v>
      </c>
      <c r="G239">
        <v>8.997737401615663E-2</v>
      </c>
      <c r="H239">
        <v>0.77723740327031554</v>
      </c>
      <c r="I239">
        <v>0.1072614089908278</v>
      </c>
      <c r="J239">
        <v>7.5379991747771949E-2</v>
      </c>
      <c r="L239">
        <v>1.5742977633231092</v>
      </c>
      <c r="M239">
        <v>3.3561156109318437</v>
      </c>
      <c r="N239">
        <v>2.3668766402009975</v>
      </c>
      <c r="P239">
        <v>6.2057139238330877E-12</v>
      </c>
      <c r="R239">
        <v>4.710506893207592</v>
      </c>
      <c r="S239">
        <v>4.7138939593144054</v>
      </c>
      <c r="T239">
        <v>1</v>
      </c>
      <c r="U239">
        <v>2.1127882017193658</v>
      </c>
    </row>
    <row r="240" spans="1:21">
      <c r="A240">
        <v>1.4846626336950546</v>
      </c>
      <c r="B240">
        <v>0.34094690100576969</v>
      </c>
      <c r="C240">
        <v>0.31956055948401751</v>
      </c>
      <c r="D240">
        <v>0.67153074691115655</v>
      </c>
      <c r="E240">
        <v>-0.16218596182388439</v>
      </c>
      <c r="F240">
        <v>-0.36669376571195067</v>
      </c>
      <c r="G240">
        <v>0.44542214117062251</v>
      </c>
      <c r="H240">
        <v>0.88499822611131973</v>
      </c>
      <c r="I240">
        <v>0.3840182025594468</v>
      </c>
      <c r="J240">
        <v>0.33181492325497042</v>
      </c>
      <c r="L240">
        <v>1.5742976862650095</v>
      </c>
      <c r="M240">
        <v>3.3561156239585004</v>
      </c>
      <c r="N240">
        <v>2.3668767639017907</v>
      </c>
      <c r="P240">
        <v>5.8756390530670109E-12</v>
      </c>
      <c r="R240">
        <v>4.710506893207592</v>
      </c>
      <c r="S240">
        <v>4.7138939593144054</v>
      </c>
      <c r="T240">
        <v>1</v>
      </c>
      <c r="U240">
        <v>2.1127882017193658</v>
      </c>
    </row>
    <row r="241" spans="1:21">
      <c r="A241">
        <v>1.3992725962469936</v>
      </c>
      <c r="B241">
        <v>0.2644798951720666</v>
      </c>
      <c r="C241">
        <v>0.270438564084584</v>
      </c>
      <c r="D241">
        <v>-0.39690109919110689</v>
      </c>
      <c r="E241">
        <v>-0.33502223677081894</v>
      </c>
      <c r="F241">
        <v>-0.3226744056655097</v>
      </c>
      <c r="G241">
        <v>7.6250941908063169E-2</v>
      </c>
      <c r="H241">
        <v>0.78717235782427752</v>
      </c>
      <c r="I241">
        <v>0.49111701562112736</v>
      </c>
      <c r="J241">
        <v>0.76188551797341009</v>
      </c>
      <c r="L241">
        <v>1.5742993918313217</v>
      </c>
      <c r="M241">
        <v>4.0714485846699846</v>
      </c>
      <c r="N241">
        <v>0.90035664474217492</v>
      </c>
      <c r="P241">
        <v>3.4340451714108273E-12</v>
      </c>
      <c r="R241">
        <v>6.8145757617665703</v>
      </c>
      <c r="S241">
        <v>6.8287657968734292</v>
      </c>
      <c r="T241">
        <v>1</v>
      </c>
      <c r="U241">
        <v>2.6652763055647486</v>
      </c>
    </row>
    <row r="242" spans="1:21">
      <c r="A242">
        <v>1.4016230605988216</v>
      </c>
      <c r="B242">
        <v>0.29448490367805147</v>
      </c>
      <c r="C242">
        <v>0.22928213168739284</v>
      </c>
      <c r="D242">
        <v>-0.74487197221406742</v>
      </c>
      <c r="E242">
        <v>-0.2097331053881118</v>
      </c>
      <c r="F242">
        <v>0.3326145690685014</v>
      </c>
      <c r="G242">
        <v>0.68099110196521029</v>
      </c>
      <c r="H242">
        <v>0.7804008271514109</v>
      </c>
      <c r="I242">
        <v>0.78319760044754072</v>
      </c>
      <c r="J242">
        <v>3.0940220962071913E-2</v>
      </c>
      <c r="L242">
        <v>1.574299351805742</v>
      </c>
      <c r="M242">
        <v>4.0714487541117945</v>
      </c>
      <c r="N242">
        <v>0.90035666296571548</v>
      </c>
      <c r="P242">
        <v>2.9547274703950173E-12</v>
      </c>
      <c r="R242">
        <v>6.8145757617665703</v>
      </c>
      <c r="S242">
        <v>6.8287657968734292</v>
      </c>
      <c r="T242">
        <v>1</v>
      </c>
      <c r="U242">
        <v>2.6652763055647486</v>
      </c>
    </row>
    <row r="243" spans="1:21">
      <c r="A243">
        <v>1.4070760490691814</v>
      </c>
      <c r="B243">
        <v>0.28737801559884668</v>
      </c>
      <c r="C243">
        <v>0.23224953690982422</v>
      </c>
      <c r="D243">
        <v>-0.29546557127166051</v>
      </c>
      <c r="E243">
        <v>0.57269815861880158</v>
      </c>
      <c r="F243">
        <v>-4.2640686066808146E-2</v>
      </c>
      <c r="G243">
        <v>0.79004599648852103</v>
      </c>
      <c r="H243">
        <v>0.68286026760602481</v>
      </c>
      <c r="I243">
        <v>0.78774859337327185</v>
      </c>
      <c r="J243">
        <v>0.25931871811264762</v>
      </c>
      <c r="L243">
        <v>1.5742993074170439</v>
      </c>
      <c r="M243">
        <v>4.0714486413265707</v>
      </c>
      <c r="N243">
        <v>0.90035671521775518</v>
      </c>
      <c r="P243">
        <v>3.2673605434077989E-12</v>
      </c>
      <c r="R243">
        <v>6.8145757617665703</v>
      </c>
      <c r="S243">
        <v>6.8287657968734292</v>
      </c>
      <c r="T243">
        <v>1</v>
      </c>
      <c r="U243">
        <v>2.6652763055647486</v>
      </c>
    </row>
    <row r="244" spans="1:21">
      <c r="A244">
        <v>1.4007571736605282</v>
      </c>
      <c r="B244">
        <v>0.27520349600158472</v>
      </c>
      <c r="C244">
        <v>0.23311729476701568</v>
      </c>
      <c r="D244">
        <v>-2.9166213823903532E-3</v>
      </c>
      <c r="E244">
        <v>-0.5925088439916758</v>
      </c>
      <c r="F244">
        <v>-0.62227265591893444</v>
      </c>
      <c r="G244">
        <v>0.67680182072140049</v>
      </c>
      <c r="H244">
        <v>0.74807110884895511</v>
      </c>
      <c r="I244">
        <v>0.83063093505187657</v>
      </c>
      <c r="J244">
        <v>0.67869315314739154</v>
      </c>
      <c r="L244">
        <v>1.5742996145889976</v>
      </c>
      <c r="M244">
        <v>4.0714485041296493</v>
      </c>
      <c r="N244">
        <v>0.90035618011973229</v>
      </c>
      <c r="P244">
        <v>3.512719774420393E-12</v>
      </c>
      <c r="R244">
        <v>6.8145757617665703</v>
      </c>
      <c r="S244">
        <v>6.8287657968734292</v>
      </c>
      <c r="T244">
        <v>1</v>
      </c>
      <c r="U244">
        <v>2.6652763055647486</v>
      </c>
    </row>
    <row r="245" spans="1:21">
      <c r="A245">
        <v>1.3993114438296204</v>
      </c>
      <c r="B245">
        <v>0.27458827222659565</v>
      </c>
      <c r="C245">
        <v>0.24627880585405804</v>
      </c>
      <c r="D245">
        <v>0.30767591947927542</v>
      </c>
      <c r="E245">
        <v>5.8931967976921882E-3</v>
      </c>
      <c r="F245">
        <v>0.39186060550589907</v>
      </c>
      <c r="G245">
        <v>0.15682048946894059</v>
      </c>
      <c r="H245">
        <v>0.93219592938541551</v>
      </c>
      <c r="I245">
        <v>0.87164963943260909</v>
      </c>
      <c r="J245">
        <v>0.89442399734833167</v>
      </c>
      <c r="L245">
        <v>1.5742994317875869</v>
      </c>
      <c r="M245">
        <v>4.0714486130744545</v>
      </c>
      <c r="N245">
        <v>0.90035657927102253</v>
      </c>
      <c r="P245">
        <v>3.3174796056254024E-12</v>
      </c>
      <c r="R245">
        <v>6.8145757617665703</v>
      </c>
      <c r="S245">
        <v>6.8287657968734292</v>
      </c>
      <c r="T245">
        <v>1</v>
      </c>
      <c r="U245">
        <v>2.6652763055647486</v>
      </c>
    </row>
    <row r="246" spans="1:21">
      <c r="A246">
        <v>1.4074490294998281</v>
      </c>
      <c r="B246">
        <v>0.27565911999792714</v>
      </c>
      <c r="C246">
        <v>0.25428402422801505</v>
      </c>
      <c r="D246">
        <v>-7.7047937967421001E-2</v>
      </c>
      <c r="E246">
        <v>0.60427449125933286</v>
      </c>
      <c r="F246">
        <v>-0.33315010016405644</v>
      </c>
      <c r="G246">
        <v>0.63964233031755668</v>
      </c>
      <c r="H246">
        <v>0.94403733054055095</v>
      </c>
      <c r="I246">
        <v>0.61447660401623405</v>
      </c>
      <c r="J246">
        <v>0.56198711576960636</v>
      </c>
      <c r="L246">
        <v>1.574299302358491</v>
      </c>
      <c r="M246">
        <v>4.0714486104406999</v>
      </c>
      <c r="N246">
        <v>0.90035673622463563</v>
      </c>
      <c r="P246">
        <v>3.3827377687877162E-12</v>
      </c>
      <c r="R246">
        <v>6.8145757617665703</v>
      </c>
      <c r="S246">
        <v>6.8287657968734292</v>
      </c>
      <c r="T246">
        <v>1</v>
      </c>
      <c r="U246">
        <v>2.6652763055647486</v>
      </c>
    </row>
    <row r="247" spans="1:21">
      <c r="A247">
        <v>1.4017107615176652</v>
      </c>
      <c r="B247">
        <v>0.27170267301159845</v>
      </c>
      <c r="C247">
        <v>0.23614311318799158</v>
      </c>
      <c r="D247">
        <v>-0.36820661826601597</v>
      </c>
      <c r="E247">
        <v>-0.35111938259922693</v>
      </c>
      <c r="F247">
        <v>-0.77136431761605773</v>
      </c>
      <c r="G247">
        <v>0.50496286005324365</v>
      </c>
      <c r="H247">
        <v>0.22802327216192345</v>
      </c>
      <c r="I247">
        <v>0.68576799850984815</v>
      </c>
      <c r="J247">
        <v>0.53777711919872373</v>
      </c>
      <c r="L247">
        <v>1.5742993570133554</v>
      </c>
      <c r="M247">
        <v>4.0714485752329095</v>
      </c>
      <c r="N247">
        <v>0.90035666068873288</v>
      </c>
      <c r="P247">
        <v>3.4293171313681943E-12</v>
      </c>
      <c r="R247">
        <v>6.8145757617665703</v>
      </c>
      <c r="S247">
        <v>6.8287657968734292</v>
      </c>
      <c r="T247">
        <v>1</v>
      </c>
      <c r="U247">
        <v>2.6652763055647486</v>
      </c>
    </row>
    <row r="248" spans="1:21">
      <c r="A248">
        <v>1.4022674949853695</v>
      </c>
      <c r="B248">
        <v>0.27995946401978022</v>
      </c>
      <c r="C248">
        <v>0.2227264585876525</v>
      </c>
      <c r="D248">
        <v>-0.30438039228481306</v>
      </c>
      <c r="E248">
        <v>-0.74045644826658874</v>
      </c>
      <c r="F248">
        <v>-0.57647669600286622</v>
      </c>
      <c r="G248">
        <v>0.63230885949287419</v>
      </c>
      <c r="H248">
        <v>0.23255454209668561</v>
      </c>
      <c r="I248">
        <v>0.34574809682220442</v>
      </c>
      <c r="J248">
        <v>0.31194967485176123</v>
      </c>
      <c r="L248">
        <v>1.5742995243813611</v>
      </c>
      <c r="M248">
        <v>4.071448593269734</v>
      </c>
      <c r="N248">
        <v>0.90035641959042445</v>
      </c>
      <c r="P248">
        <v>3.3184360093787562E-12</v>
      </c>
      <c r="R248">
        <v>6.8145757617665703</v>
      </c>
      <c r="S248">
        <v>6.8287657968734292</v>
      </c>
      <c r="T248">
        <v>1</v>
      </c>
      <c r="U248">
        <v>2.6652763055647486</v>
      </c>
    </row>
    <row r="249" spans="1:21">
      <c r="A249">
        <v>1.3956067011266269</v>
      </c>
      <c r="B249">
        <v>0.28770720427915469</v>
      </c>
      <c r="C249">
        <v>0.23369591543013471</v>
      </c>
      <c r="D249">
        <v>-0.85068945651886652</v>
      </c>
      <c r="E249">
        <v>-0.41419379552287799</v>
      </c>
      <c r="F249">
        <v>0.95935620954645151</v>
      </c>
      <c r="G249">
        <v>0.15641673212109825</v>
      </c>
      <c r="H249">
        <v>0.44847923848150312</v>
      </c>
      <c r="I249">
        <v>1.0017924316344411</v>
      </c>
      <c r="J249">
        <v>0.53923533794443734</v>
      </c>
      <c r="L249">
        <v>1.5742993124463418</v>
      </c>
      <c r="M249">
        <v>4.0714486860317791</v>
      </c>
      <c r="N249">
        <v>0.90035669960583231</v>
      </c>
      <c r="P249">
        <v>3.1287501709627371E-12</v>
      </c>
      <c r="R249">
        <v>6.8145757617665703</v>
      </c>
      <c r="S249">
        <v>6.8287657968734292</v>
      </c>
      <c r="T249">
        <v>1</v>
      </c>
      <c r="U249">
        <v>2.6652763055647486</v>
      </c>
    </row>
    <row r="250" spans="1:21">
      <c r="A250">
        <v>1.4040423070022365</v>
      </c>
      <c r="B250">
        <v>0.2837285257057115</v>
      </c>
      <c r="C250">
        <v>0.23213635865639629</v>
      </c>
      <c r="D250">
        <v>-0.2358073695484677</v>
      </c>
      <c r="E250">
        <v>0.23480783302459474</v>
      </c>
      <c r="F250">
        <v>-0.22218758390224277</v>
      </c>
      <c r="G250">
        <v>0.5029695682791836</v>
      </c>
      <c r="H250">
        <v>0.48416699811426772</v>
      </c>
      <c r="I250">
        <v>0.66340627137939023</v>
      </c>
      <c r="J250">
        <v>5.3591017569708729E-2</v>
      </c>
      <c r="L250">
        <v>1.5742992888188128</v>
      </c>
      <c r="M250">
        <v>4.0714486571036659</v>
      </c>
      <c r="N250">
        <v>0.90035673284921636</v>
      </c>
      <c r="P250">
        <v>3.2300348474134661E-12</v>
      </c>
      <c r="R250">
        <v>6.8145757617665703</v>
      </c>
      <c r="S250">
        <v>6.8287657968734292</v>
      </c>
      <c r="T250">
        <v>1</v>
      </c>
      <c r="U250">
        <v>2.6652763055647486</v>
      </c>
    </row>
    <row r="251" spans="1:21">
      <c r="A251">
        <v>1.4000281693029364</v>
      </c>
      <c r="B251">
        <v>0.33992951880598998</v>
      </c>
      <c r="C251">
        <v>0.16182274020630635</v>
      </c>
      <c r="D251">
        <v>-0.169437628004484</v>
      </c>
      <c r="E251">
        <v>-0.24352253817210834</v>
      </c>
      <c r="F251">
        <v>-0.65193897686033098</v>
      </c>
      <c r="G251">
        <v>0.32910441291076947</v>
      </c>
      <c r="H251">
        <v>0.38877197494769872</v>
      </c>
      <c r="I251">
        <v>0.19640915247582882</v>
      </c>
      <c r="J251">
        <v>0.71257864594080533</v>
      </c>
      <c r="L251">
        <v>1.5742977531423474</v>
      </c>
      <c r="M251">
        <v>4.0714485450575602</v>
      </c>
      <c r="N251">
        <v>2.3668775573987646</v>
      </c>
      <c r="P251">
        <v>3.3096433362801214E-12</v>
      </c>
      <c r="R251">
        <v>4.2900638844026995</v>
      </c>
      <c r="S251">
        <v>4.292123906712999</v>
      </c>
      <c r="T251">
        <v>1</v>
      </c>
      <c r="U251">
        <v>2.4385313946363869</v>
      </c>
    </row>
    <row r="252" spans="1:21">
      <c r="A252">
        <v>1.4030420008621589</v>
      </c>
      <c r="B252">
        <v>0.34518389337097499</v>
      </c>
      <c r="C252">
        <v>0.12944879373468093</v>
      </c>
      <c r="D252">
        <v>0.25435581365440979</v>
      </c>
      <c r="E252">
        <v>-0.10018376787324339</v>
      </c>
      <c r="F252">
        <v>0.12888193191105385</v>
      </c>
      <c r="G252">
        <v>0.80583862067609324</v>
      </c>
      <c r="H252">
        <v>0.10348682715671222</v>
      </c>
      <c r="I252">
        <v>0.52305545285421517</v>
      </c>
      <c r="J252">
        <v>0.16858636571268906</v>
      </c>
      <c r="L252">
        <v>1.5742977518834422</v>
      </c>
      <c r="M252">
        <v>4.071448531390959</v>
      </c>
      <c r="N252">
        <v>2.366877561988872</v>
      </c>
      <c r="P252">
        <v>3.3435564569050738E-12</v>
      </c>
      <c r="R252">
        <v>4.2900638844026995</v>
      </c>
      <c r="S252">
        <v>4.292123906712999</v>
      </c>
      <c r="T252">
        <v>1</v>
      </c>
      <c r="U252">
        <v>2.4385313946363869</v>
      </c>
    </row>
    <row r="253" spans="1:21">
      <c r="A253">
        <v>1.405613119345525</v>
      </c>
      <c r="B253">
        <v>0.34517159786874202</v>
      </c>
      <c r="C253">
        <v>0.14382423378626269</v>
      </c>
      <c r="D253">
        <v>0.40017660657024134</v>
      </c>
      <c r="E253">
        <v>0.53831854119384426</v>
      </c>
      <c r="F253">
        <v>-3.6020803387681592E-2</v>
      </c>
      <c r="G253">
        <v>0.69202598244034252</v>
      </c>
      <c r="H253">
        <v>0.39552491363345854</v>
      </c>
      <c r="I253">
        <v>0.44355747773763687</v>
      </c>
      <c r="J253">
        <v>0.21180818164862908</v>
      </c>
      <c r="L253">
        <v>1.5742975968610302</v>
      </c>
      <c r="M253">
        <v>4.0714484855024864</v>
      </c>
      <c r="N253">
        <v>2.3668777773090239</v>
      </c>
      <c r="P253">
        <v>3.4432149919811632E-12</v>
      </c>
      <c r="R253">
        <v>4.2900638844026995</v>
      </c>
      <c r="S253">
        <v>4.292123906712999</v>
      </c>
      <c r="T253">
        <v>1</v>
      </c>
      <c r="U253">
        <v>2.4385313946363869</v>
      </c>
    </row>
    <row r="254" spans="1:21">
      <c r="A254">
        <v>1.4001415574491027</v>
      </c>
      <c r="B254">
        <v>0.34811657043706717</v>
      </c>
      <c r="C254">
        <v>0.14853882261893772</v>
      </c>
      <c r="D254">
        <v>0.14290351812252755</v>
      </c>
      <c r="E254">
        <v>6.4686368127671564E-3</v>
      </c>
      <c r="F254">
        <v>0.36522460221086273</v>
      </c>
      <c r="G254">
        <v>0.72644267859385092</v>
      </c>
      <c r="H254">
        <v>0.87180296300167504</v>
      </c>
      <c r="I254">
        <v>0.89700147523990248</v>
      </c>
      <c r="J254">
        <v>0.83764539566183061</v>
      </c>
      <c r="L254">
        <v>1.5742975876053864</v>
      </c>
      <c r="M254">
        <v>4.0714484855001771</v>
      </c>
      <c r="N254">
        <v>2.3668778345464427</v>
      </c>
      <c r="P254">
        <v>3.3964017322853978E-12</v>
      </c>
      <c r="R254">
        <v>4.2900638844026995</v>
      </c>
      <c r="S254">
        <v>4.292123906712999</v>
      </c>
      <c r="T254">
        <v>1</v>
      </c>
      <c r="U254">
        <v>2.4385313946363869</v>
      </c>
    </row>
    <row r="255" spans="1:21">
      <c r="A255">
        <v>1.404798905034699</v>
      </c>
      <c r="B255">
        <v>0.33641529193574693</v>
      </c>
      <c r="C255">
        <v>0.13609915349948878</v>
      </c>
      <c r="D255">
        <v>0.26067585272329663</v>
      </c>
      <c r="E255">
        <v>0.16762908349882133</v>
      </c>
      <c r="F255">
        <v>-0.568367363328241</v>
      </c>
      <c r="G255">
        <v>0.97010856304085924</v>
      </c>
      <c r="H255">
        <v>5.5291451500412363E-2</v>
      </c>
      <c r="I255">
        <v>0.7838116261540804</v>
      </c>
      <c r="J255">
        <v>0.59627677599759932</v>
      </c>
      <c r="L255">
        <v>1.5742978154753524</v>
      </c>
      <c r="M255">
        <v>4.0714485469288162</v>
      </c>
      <c r="N255">
        <v>2.3668775147673471</v>
      </c>
      <c r="P255">
        <v>3.2823189467667116E-12</v>
      </c>
      <c r="R255">
        <v>4.2900638844026995</v>
      </c>
      <c r="S255">
        <v>4.292123906712999</v>
      </c>
      <c r="T255">
        <v>1</v>
      </c>
      <c r="U255">
        <v>2.4385313946363869</v>
      </c>
    </row>
    <row r="256" spans="1:21">
      <c r="A256">
        <v>1.3981793683890755</v>
      </c>
      <c r="B256">
        <v>0.34996453997938204</v>
      </c>
      <c r="C256">
        <v>0.14047915021408197</v>
      </c>
      <c r="D256">
        <v>0.59300593842724703</v>
      </c>
      <c r="E256">
        <v>-0.36547104455719898</v>
      </c>
      <c r="F256">
        <v>0.46402437103995531</v>
      </c>
      <c r="G256">
        <v>0.50366524585976036</v>
      </c>
      <c r="H256">
        <v>0.88184036609414151</v>
      </c>
      <c r="I256">
        <v>0.59887472441214351</v>
      </c>
      <c r="J256">
        <v>0.40112820983532504</v>
      </c>
      <c r="L256">
        <v>1.5742976811281741</v>
      </c>
      <c r="M256">
        <v>4.0714485390559227</v>
      </c>
      <c r="N256">
        <v>2.3668776498964572</v>
      </c>
      <c r="P256">
        <v>3.3026280119399625E-12</v>
      </c>
      <c r="R256">
        <v>4.2900638844026995</v>
      </c>
      <c r="S256">
        <v>4.292123906712999</v>
      </c>
      <c r="T256">
        <v>1</v>
      </c>
      <c r="U256">
        <v>2.4385313946363869</v>
      </c>
    </row>
    <row r="257" spans="1:21">
      <c r="A257">
        <v>1.400282256747037</v>
      </c>
      <c r="B257">
        <v>0.34716648208456263</v>
      </c>
      <c r="C257">
        <v>0.13734986467377996</v>
      </c>
      <c r="D257">
        <v>0.59463382529599618</v>
      </c>
      <c r="E257">
        <v>0.15277120621940354</v>
      </c>
      <c r="F257">
        <v>0.31523695028694709</v>
      </c>
      <c r="G257">
        <v>0.48655399446123865</v>
      </c>
      <c r="H257">
        <v>0.52214911157406207</v>
      </c>
      <c r="I257">
        <v>0.73810579396689113</v>
      </c>
      <c r="J257">
        <v>0.24424923697250908</v>
      </c>
      <c r="L257">
        <v>1.5742975650197826</v>
      </c>
      <c r="M257">
        <v>4.0714484450287136</v>
      </c>
      <c r="N257">
        <v>2.3668778071611434</v>
      </c>
      <c r="P257">
        <v>3.5917556264116858E-12</v>
      </c>
      <c r="R257">
        <v>4.2900638844026995</v>
      </c>
      <c r="S257">
        <v>4.292123906712999</v>
      </c>
      <c r="T257">
        <v>1</v>
      </c>
      <c r="U257">
        <v>2.4385313946363869</v>
      </c>
    </row>
    <row r="258" spans="1:21">
      <c r="A258">
        <v>1.3944166420899464</v>
      </c>
      <c r="B258">
        <v>0.34678891944281742</v>
      </c>
      <c r="C258">
        <v>0.15530965971417604</v>
      </c>
      <c r="D258">
        <v>-0.21688477921704327</v>
      </c>
      <c r="E258">
        <v>-9.4118431343150843E-2</v>
      </c>
      <c r="F258">
        <v>-7.1223641624156689E-2</v>
      </c>
      <c r="G258">
        <v>3.1874033540196162E-2</v>
      </c>
      <c r="H258">
        <v>0.45339402901763293</v>
      </c>
      <c r="I258">
        <v>0.83921998209008664</v>
      </c>
      <c r="J258">
        <v>0.46223545420924894</v>
      </c>
      <c r="L258">
        <v>1.5742978189033257</v>
      </c>
      <c r="M258">
        <v>4.0714483956112675</v>
      </c>
      <c r="N258">
        <v>2.3668777908158471</v>
      </c>
      <c r="P258">
        <v>3.3396314211498503E-12</v>
      </c>
      <c r="R258">
        <v>4.2900638844026995</v>
      </c>
      <c r="S258">
        <v>4.292123906712999</v>
      </c>
      <c r="T258">
        <v>1</v>
      </c>
      <c r="U258">
        <v>2.4385313946363869</v>
      </c>
    </row>
    <row r="259" spans="1:21">
      <c r="A259">
        <v>1.3977907028975092</v>
      </c>
      <c r="B259">
        <v>0.34363772870953446</v>
      </c>
      <c r="C259">
        <v>0.14109541518810981</v>
      </c>
      <c r="D259">
        <v>5.0741792521569372E-2</v>
      </c>
      <c r="E259">
        <v>-0.41911077030299498</v>
      </c>
      <c r="F259">
        <v>8.3537646186957942E-2</v>
      </c>
      <c r="G259">
        <v>0.50916422308800013</v>
      </c>
      <c r="H259">
        <v>0.3234435207221027</v>
      </c>
      <c r="I259">
        <v>0.71142316482532442</v>
      </c>
      <c r="J259">
        <v>0.65349765737058041</v>
      </c>
      <c r="L259">
        <v>1.5742977521918957</v>
      </c>
      <c r="M259">
        <v>4.0714483314870034</v>
      </c>
      <c r="N259">
        <v>2.3668779042953405</v>
      </c>
      <c r="P259">
        <v>3.5281007159129786E-12</v>
      </c>
      <c r="R259">
        <v>4.2900638844026995</v>
      </c>
      <c r="S259">
        <v>4.292123906712999</v>
      </c>
      <c r="T259">
        <v>1</v>
      </c>
      <c r="U259">
        <v>2.4385313946363869</v>
      </c>
    </row>
    <row r="260" spans="1:21">
      <c r="A260">
        <v>1.4010766628508862</v>
      </c>
      <c r="B260">
        <v>0.3476078274819977</v>
      </c>
      <c r="C260">
        <v>0.14646066312365014</v>
      </c>
      <c r="D260">
        <v>-0.23434514130703563</v>
      </c>
      <c r="E260">
        <v>1.1374552291289941E-2</v>
      </c>
      <c r="F260">
        <v>0.45714459339857444</v>
      </c>
      <c r="G260">
        <v>0.39346131612689883</v>
      </c>
      <c r="H260">
        <v>0.12256327013553855</v>
      </c>
      <c r="I260">
        <v>0.2946686025937898</v>
      </c>
      <c r="J260">
        <v>0.45085381602277119</v>
      </c>
      <c r="L260">
        <v>1.574297578980157</v>
      </c>
      <c r="M260">
        <v>4.0714484656331722</v>
      </c>
      <c r="N260">
        <v>2.3668778066351912</v>
      </c>
      <c r="P260">
        <v>3.502879568555506E-12</v>
      </c>
      <c r="R260">
        <v>4.2900638844026995</v>
      </c>
      <c r="S260">
        <v>4.292123906712999</v>
      </c>
      <c r="T260">
        <v>1</v>
      </c>
      <c r="U260">
        <v>2.4385313946363869</v>
      </c>
    </row>
    <row r="261" spans="1:21">
      <c r="A261">
        <v>1.2278908256188379</v>
      </c>
      <c r="B261">
        <v>0.36407171207988059</v>
      </c>
      <c r="C261">
        <v>-0.1738064712149926</v>
      </c>
      <c r="D261">
        <v>-0.8146975253558123</v>
      </c>
      <c r="E261">
        <v>-5.9176104265490123E-2</v>
      </c>
      <c r="F261">
        <v>-0.38836585642420896</v>
      </c>
      <c r="G261">
        <v>0.49666318020846822</v>
      </c>
      <c r="H261">
        <v>1.017871767682367</v>
      </c>
      <c r="I261">
        <v>0.55251218982038064</v>
      </c>
      <c r="J261">
        <v>8.8422207114595572E-2</v>
      </c>
      <c r="L261">
        <v>1.5742961360833672</v>
      </c>
      <c r="M261">
        <v>0.90035122244881671</v>
      </c>
      <c r="N261">
        <v>2.366877876528485</v>
      </c>
      <c r="P261">
        <v>2.6743906222512359E-11</v>
      </c>
      <c r="R261">
        <v>13.028459479036709</v>
      </c>
      <c r="S261">
        <v>13.161138632442416</v>
      </c>
      <c r="T261">
        <v>1</v>
      </c>
      <c r="U261">
        <v>2.4605285418846496</v>
      </c>
    </row>
    <row r="262" spans="1:21">
      <c r="A262">
        <v>1.2090031793233356</v>
      </c>
      <c r="B262">
        <v>0.36529567858278816</v>
      </c>
      <c r="C262">
        <v>-0.23082016561023114</v>
      </c>
      <c r="D262">
        <v>-0.15270676033404809</v>
      </c>
      <c r="E262">
        <v>-0.89899297802783407</v>
      </c>
      <c r="F262">
        <v>0.39954935759493243</v>
      </c>
      <c r="G262">
        <v>0.49371703712958381</v>
      </c>
      <c r="H262">
        <v>0.84922420914323926</v>
      </c>
      <c r="I262">
        <v>0.48725742603899497</v>
      </c>
      <c r="J262">
        <v>1.3692216734568614E-2</v>
      </c>
      <c r="L262">
        <v>1.5742952694281456</v>
      </c>
      <c r="M262">
        <v>0.90035148250344132</v>
      </c>
      <c r="N262">
        <v>2.3668785082015793</v>
      </c>
      <c r="P262">
        <v>2.9118337933865394E-11</v>
      </c>
      <c r="R262">
        <v>13.028459479036709</v>
      </c>
      <c r="S262">
        <v>13.161138632442416</v>
      </c>
      <c r="T262">
        <v>1</v>
      </c>
      <c r="U262">
        <v>2.4605285418846496</v>
      </c>
    </row>
    <row r="263" spans="1:21">
      <c r="A263">
        <v>1.253894429123122</v>
      </c>
      <c r="B263">
        <v>0.35533470269860606</v>
      </c>
      <c r="C263">
        <v>-0.12473239849123437</v>
      </c>
      <c r="D263">
        <v>-7.0181419679591281E-2</v>
      </c>
      <c r="E263">
        <v>0.67020686336048796</v>
      </c>
      <c r="F263">
        <v>0.40055460646525748</v>
      </c>
      <c r="G263">
        <v>1.8350644710259375E-2</v>
      </c>
      <c r="H263">
        <v>0.65858552958400185</v>
      </c>
      <c r="I263">
        <v>0.33661187062297093</v>
      </c>
      <c r="J263">
        <v>0.62691728432493132</v>
      </c>
      <c r="L263">
        <v>1.5742954126975528</v>
      </c>
      <c r="M263">
        <v>0.90035138062701481</v>
      </c>
      <c r="N263">
        <v>2.3668784037860564</v>
      </c>
      <c r="P263">
        <v>2.9072571702346506E-11</v>
      </c>
      <c r="R263">
        <v>13.028459479036709</v>
      </c>
      <c r="S263">
        <v>13.161138632442416</v>
      </c>
      <c r="T263">
        <v>1</v>
      </c>
      <c r="U263">
        <v>2.4605285418846496</v>
      </c>
    </row>
    <row r="264" spans="1:21">
      <c r="A264">
        <v>1.2538607686683665</v>
      </c>
      <c r="B264">
        <v>0.35720238641332036</v>
      </c>
      <c r="C264">
        <v>-0.15926224861090957</v>
      </c>
      <c r="D264">
        <v>6.5154283419666878E-2</v>
      </c>
      <c r="E264">
        <v>-0.2610414963930513</v>
      </c>
      <c r="F264">
        <v>0.88279182725661676</v>
      </c>
      <c r="G264">
        <v>0.79560007674240252</v>
      </c>
      <c r="H264">
        <v>0.48193641563052997</v>
      </c>
      <c r="I264">
        <v>0.63886466352878113</v>
      </c>
      <c r="J264">
        <v>0.58439994772507509</v>
      </c>
      <c r="L264">
        <v>1.5742953600157243</v>
      </c>
      <c r="M264">
        <v>0.90035148345541705</v>
      </c>
      <c r="N264">
        <v>2.3668781691159895</v>
      </c>
      <c r="P264">
        <v>2.8546676488589585E-11</v>
      </c>
      <c r="R264">
        <v>13.028459479036709</v>
      </c>
      <c r="S264">
        <v>13.161138632442416</v>
      </c>
      <c r="T264">
        <v>1</v>
      </c>
      <c r="U264">
        <v>2.4605285418846496</v>
      </c>
    </row>
    <row r="265" spans="1:21">
      <c r="A265">
        <v>1.2415615953929402</v>
      </c>
      <c r="B265">
        <v>0.35390057546466003</v>
      </c>
      <c r="C265">
        <v>-0.18881356131319887</v>
      </c>
      <c r="D265">
        <v>0.17021194138999166</v>
      </c>
      <c r="E265">
        <v>-0.75751587114660968</v>
      </c>
      <c r="F265">
        <v>0.19778182832018212</v>
      </c>
      <c r="G265">
        <v>0.64593684880201585</v>
      </c>
      <c r="H265">
        <v>9.3073266841614682E-2</v>
      </c>
      <c r="I265">
        <v>0.71544608723320824</v>
      </c>
      <c r="J265">
        <v>5.1475187942886864E-2</v>
      </c>
      <c r="L265">
        <v>1.5742956725437707</v>
      </c>
      <c r="M265">
        <v>0.90035137926161157</v>
      </c>
      <c r="N265">
        <v>2.3668779209299915</v>
      </c>
      <c r="P265">
        <v>2.7729901843498697E-11</v>
      </c>
      <c r="R265">
        <v>13.028459479036709</v>
      </c>
      <c r="S265">
        <v>13.161138632442416</v>
      </c>
      <c r="T265">
        <v>1</v>
      </c>
      <c r="U265">
        <v>2.4605285418846496</v>
      </c>
    </row>
    <row r="266" spans="1:21">
      <c r="A266">
        <v>1.2308060482092267</v>
      </c>
      <c r="B266">
        <v>0.35134740331223502</v>
      </c>
      <c r="C266">
        <v>-0.19107481252686623</v>
      </c>
      <c r="D266">
        <v>0.35004990601429053</v>
      </c>
      <c r="E266">
        <v>-0.84431023541140671</v>
      </c>
      <c r="F266">
        <v>4.2268142135521471E-2</v>
      </c>
      <c r="G266">
        <v>0.12285417164048766</v>
      </c>
      <c r="H266">
        <v>0.20169462159469137</v>
      </c>
      <c r="I266">
        <v>0.37000794831267952</v>
      </c>
      <c r="J266">
        <v>0.20998660371878802</v>
      </c>
      <c r="L266">
        <v>1.5742958215504357</v>
      </c>
      <c r="M266">
        <v>0.90035164135561951</v>
      </c>
      <c r="N266">
        <v>2.3668775581657489</v>
      </c>
      <c r="P266">
        <v>2.5117074166473779E-11</v>
      </c>
      <c r="R266">
        <v>13.028459479036709</v>
      </c>
      <c r="S266">
        <v>13.161138632442416</v>
      </c>
      <c r="T266">
        <v>1</v>
      </c>
      <c r="U266">
        <v>2.4605285418846496</v>
      </c>
    </row>
    <row r="267" spans="1:21">
      <c r="A267">
        <v>1.2396890102649223</v>
      </c>
      <c r="B267">
        <v>0.36181057033561592</v>
      </c>
      <c r="C267">
        <v>-0.15855568685302188</v>
      </c>
      <c r="D267">
        <v>0.15361953261867259</v>
      </c>
      <c r="E267">
        <v>0.55657645236425668</v>
      </c>
      <c r="F267">
        <v>0.50716479055845454</v>
      </c>
      <c r="G267">
        <v>2.2535789222877835E-2</v>
      </c>
      <c r="H267">
        <v>0.856488800514142</v>
      </c>
      <c r="I267">
        <v>0.2721713514704493</v>
      </c>
      <c r="J267">
        <v>9.1977318640944147E-2</v>
      </c>
      <c r="L267">
        <v>1.5742955710930844</v>
      </c>
      <c r="M267">
        <v>0.90035131996983875</v>
      </c>
      <c r="N267">
        <v>2.3668782703085665</v>
      </c>
      <c r="P267">
        <v>2.8655995743861229E-11</v>
      </c>
      <c r="R267">
        <v>13.028459479036709</v>
      </c>
      <c r="S267">
        <v>13.161138632442416</v>
      </c>
      <c r="T267">
        <v>1</v>
      </c>
      <c r="U267">
        <v>2.4605285418846496</v>
      </c>
    </row>
    <row r="268" spans="1:21">
      <c r="A268">
        <v>1.2163764922272569</v>
      </c>
      <c r="B268">
        <v>0.3589045311350007</v>
      </c>
      <c r="C268">
        <v>-0.19711552508117994</v>
      </c>
      <c r="D268">
        <v>-0.36064222716431338</v>
      </c>
      <c r="E268">
        <v>-0.23194643657816841</v>
      </c>
      <c r="F268">
        <v>-2.0708088823803705E-2</v>
      </c>
      <c r="G268">
        <v>0.32593243371463654</v>
      </c>
      <c r="H268">
        <v>0.93319228532571441</v>
      </c>
      <c r="I268">
        <v>0.99309325436266604</v>
      </c>
      <c r="J268">
        <v>0.5894219075668663</v>
      </c>
      <c r="L268">
        <v>1.5742954118785255</v>
      </c>
      <c r="M268">
        <v>0.90035133144537871</v>
      </c>
      <c r="N268">
        <v>2.3668786173200695</v>
      </c>
      <c r="P268">
        <v>2.9574548654433302E-11</v>
      </c>
      <c r="R268">
        <v>13.028459479036709</v>
      </c>
      <c r="S268">
        <v>13.161138632442416</v>
      </c>
      <c r="T268">
        <v>1</v>
      </c>
      <c r="U268">
        <v>2.4605285418846496</v>
      </c>
    </row>
    <row r="269" spans="1:21">
      <c r="A269">
        <v>1.2936247481495819</v>
      </c>
      <c r="B269">
        <v>0.34308225048265539</v>
      </c>
      <c r="C269">
        <v>-8.5167719321740457E-2</v>
      </c>
      <c r="D269">
        <v>0.29248689816297746</v>
      </c>
      <c r="E269">
        <v>0.2108938577059393</v>
      </c>
      <c r="F269">
        <v>-0.6594290058414769</v>
      </c>
      <c r="G269">
        <v>0.91725961724358296</v>
      </c>
      <c r="H269">
        <v>0.12237629591526343</v>
      </c>
      <c r="I269">
        <v>0.96834304866459364</v>
      </c>
      <c r="J269">
        <v>0.35777124110966985</v>
      </c>
      <c r="L269">
        <v>1.5742953589643311</v>
      </c>
      <c r="M269">
        <v>0.90035126148445632</v>
      </c>
      <c r="N269">
        <v>2.3668783763129486</v>
      </c>
      <c r="P269">
        <v>3.0471739581350342E-11</v>
      </c>
      <c r="R269">
        <v>13.028459479036709</v>
      </c>
      <c r="S269">
        <v>13.161138632442416</v>
      </c>
      <c r="T269">
        <v>1</v>
      </c>
      <c r="U269">
        <v>2.4605285418846496</v>
      </c>
    </row>
    <row r="270" spans="1:21">
      <c r="A270">
        <v>1.2423197459281554</v>
      </c>
      <c r="B270">
        <v>0.34463541709397916</v>
      </c>
      <c r="C270">
        <v>-0.14304359584872212</v>
      </c>
      <c r="D270">
        <v>0.3406192173175876</v>
      </c>
      <c r="E270">
        <v>-0.81306240864448232</v>
      </c>
      <c r="F270">
        <v>-0.86343325935609838</v>
      </c>
      <c r="G270">
        <v>0.11139908034556047</v>
      </c>
      <c r="H270">
        <v>0.77720552998770343</v>
      </c>
      <c r="I270">
        <v>0.33048533008712094</v>
      </c>
      <c r="J270">
        <v>0.8059696859784008</v>
      </c>
      <c r="L270">
        <v>1.5742951772501286</v>
      </c>
      <c r="M270">
        <v>0.90035143779299776</v>
      </c>
      <c r="N270">
        <v>2.3668788874409361</v>
      </c>
      <c r="P270">
        <v>3.0365466594737872E-11</v>
      </c>
      <c r="R270">
        <v>13.028459479036709</v>
      </c>
      <c r="S270">
        <v>13.161138632442416</v>
      </c>
      <c r="T270">
        <v>1</v>
      </c>
      <c r="U270">
        <v>2.4605285418846496</v>
      </c>
    </row>
    <row r="271" spans="1:21">
      <c r="A271">
        <v>1.3808839110094395</v>
      </c>
      <c r="B271">
        <v>0.14245041805209907</v>
      </c>
      <c r="C271">
        <v>1.846169375569171</v>
      </c>
      <c r="D271">
        <v>9.1575847099246141E-2</v>
      </c>
      <c r="E271">
        <v>0.46121384699106516</v>
      </c>
      <c r="F271">
        <v>-0.73652653045742911</v>
      </c>
      <c r="G271">
        <v>0.51304473508701864</v>
      </c>
      <c r="H271">
        <v>0.75450055223585555</v>
      </c>
      <c r="I271">
        <v>0</v>
      </c>
      <c r="J271">
        <v>0.45015895905091979</v>
      </c>
      <c r="L271">
        <v>3.3561205583690978</v>
      </c>
      <c r="M271">
        <v>4.0714462752406506</v>
      </c>
      <c r="N271">
        <v>0.90035807540084933</v>
      </c>
      <c r="P271">
        <v>3.0014722020700609E-11</v>
      </c>
      <c r="R271">
        <v>69.431742912131241</v>
      </c>
      <c r="S271">
        <v>79.914011691529879</v>
      </c>
      <c r="T271">
        <v>1</v>
      </c>
      <c r="U271">
        <v>2.6794261389633549</v>
      </c>
    </row>
    <row r="272" spans="1:21">
      <c r="A272">
        <v>1.3734720940443421</v>
      </c>
      <c r="B272">
        <v>0.15364927021207714</v>
      </c>
      <c r="C272">
        <v>1.7706681836220188</v>
      </c>
      <c r="D272">
        <v>-0.86013974321730968</v>
      </c>
      <c r="E272">
        <v>-0.30299231088767381</v>
      </c>
      <c r="F272">
        <v>0.30922838652524326</v>
      </c>
      <c r="G272">
        <v>0.3869329331666061</v>
      </c>
      <c r="H272">
        <v>1.3930110506023599</v>
      </c>
      <c r="I272">
        <v>0.58596621687698325</v>
      </c>
      <c r="J272">
        <v>1.0396117063493178</v>
      </c>
      <c r="L272">
        <v>3.3561201501978033</v>
      </c>
      <c r="M272">
        <v>4.071446915328063</v>
      </c>
      <c r="N272">
        <v>0.90035852057248567</v>
      </c>
      <c r="P272">
        <v>2.5379114643745324E-11</v>
      </c>
      <c r="R272">
        <v>69.431742912131241</v>
      </c>
      <c r="S272">
        <v>79.914011691529879</v>
      </c>
      <c r="T272">
        <v>1</v>
      </c>
      <c r="U272">
        <v>2.6794261389633549</v>
      </c>
    </row>
    <row r="273" spans="1:21">
      <c r="A273">
        <v>1.3770838630534901</v>
      </c>
      <c r="B273">
        <v>0.15643629492925554</v>
      </c>
      <c r="C273">
        <v>1.7327621370486144</v>
      </c>
      <c r="D273">
        <v>-0.37368920844682774</v>
      </c>
      <c r="E273">
        <v>0.46697655343734568</v>
      </c>
      <c r="F273">
        <v>0.2447813342235422</v>
      </c>
      <c r="G273">
        <v>0</v>
      </c>
      <c r="H273">
        <v>1.138868050290925</v>
      </c>
      <c r="I273">
        <v>0.2541980894311438</v>
      </c>
      <c r="J273">
        <v>0.3884850287734567</v>
      </c>
      <c r="L273">
        <v>3.3561176101306245</v>
      </c>
      <c r="M273">
        <v>4.0714485472347857</v>
      </c>
      <c r="N273">
        <v>0.9003556862086477</v>
      </c>
      <c r="P273">
        <v>2.1971467379397902E-12</v>
      </c>
      <c r="R273">
        <v>69.431742912131241</v>
      </c>
      <c r="S273">
        <v>79.914011691529879</v>
      </c>
      <c r="T273">
        <v>1</v>
      </c>
      <c r="U273">
        <v>2.6794261389633549</v>
      </c>
    </row>
    <row r="274" spans="1:21">
      <c r="A274">
        <v>1.3800455336781217</v>
      </c>
      <c r="B274">
        <v>0.15007737119679926</v>
      </c>
      <c r="C274">
        <v>1.7399793112499271</v>
      </c>
      <c r="D274">
        <v>-0.27939589203934062</v>
      </c>
      <c r="E274">
        <v>0.69048709413863119</v>
      </c>
      <c r="F274">
        <v>0.68971772778999652</v>
      </c>
      <c r="G274">
        <v>0</v>
      </c>
      <c r="H274">
        <v>0.62969460605181282</v>
      </c>
      <c r="I274">
        <v>0</v>
      </c>
      <c r="J274">
        <v>1.2018458082517292</v>
      </c>
      <c r="L274">
        <v>3.3561205385897095</v>
      </c>
      <c r="M274">
        <v>4.0714467061300619</v>
      </c>
      <c r="N274">
        <v>0.900358154564319</v>
      </c>
      <c r="P274">
        <v>2.7247564754853444E-11</v>
      </c>
      <c r="R274">
        <v>69.431742912131241</v>
      </c>
      <c r="S274">
        <v>79.914011691529879</v>
      </c>
      <c r="T274">
        <v>1</v>
      </c>
      <c r="U274">
        <v>2.6794261389633549</v>
      </c>
    </row>
    <row r="275" spans="1:21">
      <c r="A275">
        <v>1.3841687990100604</v>
      </c>
      <c r="B275">
        <v>0.15969331300572989</v>
      </c>
      <c r="C275">
        <v>1.5099174091879095</v>
      </c>
      <c r="D275">
        <v>-0.90147883850569444</v>
      </c>
      <c r="E275">
        <v>0.44138799779789178</v>
      </c>
      <c r="F275">
        <v>-0.2389763934777171</v>
      </c>
      <c r="G275">
        <v>7.2309130947193934E-2</v>
      </c>
      <c r="H275">
        <v>0.74375640204348725</v>
      </c>
      <c r="I275">
        <v>0</v>
      </c>
      <c r="J275">
        <v>1.1385102374860616</v>
      </c>
      <c r="L275">
        <v>3.3561206130772798</v>
      </c>
      <c r="M275">
        <v>4.0714462011367551</v>
      </c>
      <c r="N275">
        <v>0.90035809665389321</v>
      </c>
      <c r="P275">
        <v>3.1033528459996033E-11</v>
      </c>
      <c r="R275">
        <v>69.431742912131241</v>
      </c>
      <c r="S275">
        <v>79.914011691529879</v>
      </c>
      <c r="T275">
        <v>1</v>
      </c>
      <c r="U275">
        <v>2.6794261389633549</v>
      </c>
    </row>
    <row r="276" spans="1:21">
      <c r="A276">
        <v>1.3760126018823624</v>
      </c>
      <c r="B276">
        <v>0.14519764770883453</v>
      </c>
      <c r="C276">
        <v>1.7938371682572569</v>
      </c>
      <c r="D276">
        <v>7.0649540879643882E-2</v>
      </c>
      <c r="E276">
        <v>0.46328073524337504</v>
      </c>
      <c r="F276">
        <v>-0.26065391945484534</v>
      </c>
      <c r="G276">
        <v>0</v>
      </c>
      <c r="H276">
        <v>0.98292532636851693</v>
      </c>
      <c r="I276">
        <v>0.33430805666424668</v>
      </c>
      <c r="J276">
        <v>0.42694563169502209</v>
      </c>
      <c r="L276">
        <v>3.3561161788212082</v>
      </c>
      <c r="M276">
        <v>4.0714478794393667</v>
      </c>
      <c r="N276">
        <v>0.900356018616429</v>
      </c>
      <c r="P276">
        <v>5.5798609948479425E-12</v>
      </c>
      <c r="R276">
        <v>69.431742912131241</v>
      </c>
      <c r="S276">
        <v>79.914011691529879</v>
      </c>
      <c r="T276">
        <v>1</v>
      </c>
      <c r="U276">
        <v>2.6794261389633549</v>
      </c>
    </row>
    <row r="277" spans="1:21">
      <c r="A277">
        <v>1.3749331966822262</v>
      </c>
      <c r="B277">
        <v>0.14003831008383891</v>
      </c>
      <c r="C277">
        <v>1.8805889545440515</v>
      </c>
      <c r="D277">
        <v>0.35177840827108492</v>
      </c>
      <c r="E277">
        <v>-0.10640156960125551</v>
      </c>
      <c r="F277">
        <v>0.23948828854326745</v>
      </c>
      <c r="G277">
        <v>0.21936514760742148</v>
      </c>
      <c r="H277">
        <v>1.1037016811842479</v>
      </c>
      <c r="I277">
        <v>0</v>
      </c>
      <c r="J277">
        <v>1.0501312476184093</v>
      </c>
      <c r="L277">
        <v>3.3561173600446206</v>
      </c>
      <c r="M277">
        <v>4.0714490216268491</v>
      </c>
      <c r="N277">
        <v>0.90035654087249506</v>
      </c>
      <c r="P277">
        <v>1.5080240526671716E-12</v>
      </c>
      <c r="R277">
        <v>69.431742912131241</v>
      </c>
      <c r="S277">
        <v>79.914011691529879</v>
      </c>
      <c r="T277">
        <v>1</v>
      </c>
      <c r="U277">
        <v>2.6794261389633549</v>
      </c>
    </row>
    <row r="278" spans="1:21">
      <c r="A278">
        <v>1.3847352717196737</v>
      </c>
      <c r="B278">
        <v>0.15718774985781248</v>
      </c>
      <c r="C278">
        <v>1.69338645562636</v>
      </c>
      <c r="D278">
        <v>-0.17057991923032589</v>
      </c>
      <c r="E278">
        <v>0.7920666269557296</v>
      </c>
      <c r="F278">
        <v>-0.27901930098556876</v>
      </c>
      <c r="G278">
        <v>0.45552191946772236</v>
      </c>
      <c r="H278">
        <v>1.0191988338717648</v>
      </c>
      <c r="I278">
        <v>0</v>
      </c>
      <c r="J278">
        <v>0.56867384354353068</v>
      </c>
      <c r="L278">
        <v>3.3561187044417715</v>
      </c>
      <c r="M278">
        <v>4.0714444093009439</v>
      </c>
      <c r="N278">
        <v>0.90035660642705462</v>
      </c>
      <c r="P278">
        <v>3.3852078421718276E-11</v>
      </c>
      <c r="R278">
        <v>69.431742912131241</v>
      </c>
      <c r="S278">
        <v>79.914011691529879</v>
      </c>
      <c r="T278">
        <v>1</v>
      </c>
      <c r="U278">
        <v>2.6794261389633549</v>
      </c>
    </row>
    <row r="279" spans="1:21">
      <c r="A279">
        <v>1.3809932653496568</v>
      </c>
      <c r="B279">
        <v>0.15977691349038253</v>
      </c>
      <c r="C279">
        <v>1.5539262190585748</v>
      </c>
      <c r="D279">
        <v>-0.90218724850493281</v>
      </c>
      <c r="E279">
        <v>0.15269496366054799</v>
      </c>
      <c r="F279">
        <v>-0.21776309496120311</v>
      </c>
      <c r="G279">
        <v>0</v>
      </c>
      <c r="H279">
        <v>0.91328378512862407</v>
      </c>
      <c r="I279">
        <v>0</v>
      </c>
      <c r="J279">
        <v>0.82156913689112099</v>
      </c>
      <c r="L279">
        <v>3.3561203657956042</v>
      </c>
      <c r="M279">
        <v>4.071446483154463</v>
      </c>
      <c r="N279">
        <v>0.9003583885394113</v>
      </c>
      <c r="P279">
        <v>2.8810512253244986E-11</v>
      </c>
      <c r="R279">
        <v>69.431742912131241</v>
      </c>
      <c r="S279">
        <v>79.914011691529879</v>
      </c>
      <c r="T279">
        <v>1</v>
      </c>
      <c r="U279">
        <v>2.6794261389633549</v>
      </c>
    </row>
    <row r="280" spans="1:21">
      <c r="A280">
        <v>1.3779833957739327</v>
      </c>
      <c r="B280">
        <v>0.15816067598033737</v>
      </c>
      <c r="C280">
        <v>1.5980347146702034</v>
      </c>
      <c r="D280">
        <v>-0.26697098774890676</v>
      </c>
      <c r="E280">
        <v>-3.206953452691335E-2</v>
      </c>
      <c r="F280">
        <v>-0.54647800298359717</v>
      </c>
      <c r="G280">
        <v>0</v>
      </c>
      <c r="H280">
        <v>1.4888627631187439</v>
      </c>
      <c r="I280">
        <v>0.19009491896799938</v>
      </c>
      <c r="J280">
        <v>0.41018376440484344</v>
      </c>
      <c r="L280">
        <v>3.3561202898790525</v>
      </c>
      <c r="M280">
        <v>4.0714463788753701</v>
      </c>
      <c r="N280">
        <v>0.90035785834195114</v>
      </c>
      <c r="P280">
        <v>2.6597119498845422E-11</v>
      </c>
      <c r="R280">
        <v>69.431742912131241</v>
      </c>
      <c r="S280">
        <v>79.914011691529879</v>
      </c>
      <c r="T280">
        <v>1</v>
      </c>
      <c r="U280">
        <v>2.6794261389633549</v>
      </c>
    </row>
    <row r="281" spans="1:21">
      <c r="A281">
        <v>1.4241681359402671</v>
      </c>
      <c r="B281">
        <v>0.14540027835656377</v>
      </c>
      <c r="C281">
        <v>-0.28068314784851289</v>
      </c>
      <c r="D281">
        <v>-4.376268027034208E-2</v>
      </c>
      <c r="E281">
        <v>0.17691085416215313</v>
      </c>
      <c r="F281">
        <v>0.33497076423357952</v>
      </c>
      <c r="G281">
        <v>0.14028100652766859</v>
      </c>
      <c r="H281">
        <v>0.70341403160504679</v>
      </c>
      <c r="I281">
        <v>0.73298864363464411</v>
      </c>
      <c r="J281">
        <v>0.17687701636188785</v>
      </c>
      <c r="L281">
        <v>3.3561181208936266</v>
      </c>
      <c r="M281">
        <v>4.0714487457112618</v>
      </c>
      <c r="N281">
        <v>2.3668788461117583</v>
      </c>
      <c r="P281">
        <v>2.5326261068075313E-12</v>
      </c>
      <c r="R281">
        <v>14.252081848226494</v>
      </c>
      <c r="S281">
        <v>14.309656637068336</v>
      </c>
      <c r="T281">
        <v>1</v>
      </c>
      <c r="U281">
        <v>2.4370168518435267</v>
      </c>
    </row>
    <row r="282" spans="1:21">
      <c r="A282">
        <v>1.4259395118248723</v>
      </c>
      <c r="B282">
        <v>0.15758588170962132</v>
      </c>
      <c r="C282">
        <v>-0.2664015668917446</v>
      </c>
      <c r="D282">
        <v>-0.45840332109182874</v>
      </c>
      <c r="E282">
        <v>-0.18967790365234383</v>
      </c>
      <c r="F282">
        <v>0.84199408599695691</v>
      </c>
      <c r="G282">
        <v>0.40900749354495192</v>
      </c>
      <c r="H282">
        <v>0.92807546527596374</v>
      </c>
      <c r="I282">
        <v>0.22180509477344687</v>
      </c>
      <c r="J282">
        <v>0.25633228082195514</v>
      </c>
      <c r="L282">
        <v>3.3561180408969569</v>
      </c>
      <c r="M282">
        <v>4.071448763350376</v>
      </c>
      <c r="N282">
        <v>2.3668790078226212</v>
      </c>
      <c r="P282">
        <v>2.5356205756567446E-12</v>
      </c>
      <c r="R282">
        <v>14.252081848226494</v>
      </c>
      <c r="S282">
        <v>14.309656637068336</v>
      </c>
      <c r="T282">
        <v>1</v>
      </c>
      <c r="U282">
        <v>2.4370168518435267</v>
      </c>
    </row>
    <row r="283" spans="1:21">
      <c r="A283">
        <v>1.4288751665630701</v>
      </c>
      <c r="B283">
        <v>0.13152245012231614</v>
      </c>
      <c r="C283">
        <v>-0.29940501859623575</v>
      </c>
      <c r="D283">
        <v>-0.22262472072523828</v>
      </c>
      <c r="E283">
        <v>-0.53678568078024691</v>
      </c>
      <c r="F283">
        <v>0.15101161118403866</v>
      </c>
      <c r="G283">
        <v>0.67551603463527354</v>
      </c>
      <c r="H283">
        <v>0.13113819056656401</v>
      </c>
      <c r="I283">
        <v>0.26298163323018464</v>
      </c>
      <c r="J283">
        <v>0.76166783407559935</v>
      </c>
      <c r="L283">
        <v>3.3561179934064138</v>
      </c>
      <c r="M283">
        <v>4.0714487646604489</v>
      </c>
      <c r="N283">
        <v>2.3668790664131656</v>
      </c>
      <c r="P283">
        <v>2.5368603265276822E-12</v>
      </c>
      <c r="R283">
        <v>14.252081848226494</v>
      </c>
      <c r="S283">
        <v>14.309656637068336</v>
      </c>
      <c r="T283">
        <v>1</v>
      </c>
      <c r="U283">
        <v>2.4370168518435267</v>
      </c>
    </row>
    <row r="284" spans="1:21">
      <c r="A284">
        <v>1.4232615380411691</v>
      </c>
      <c r="B284">
        <v>0.15027738481186872</v>
      </c>
      <c r="C284">
        <v>-0.24260477688293308</v>
      </c>
      <c r="D284">
        <v>-0.32095596205502641</v>
      </c>
      <c r="E284">
        <v>-0.25499851058889411</v>
      </c>
      <c r="F284">
        <v>0.39828071497290068</v>
      </c>
      <c r="G284">
        <v>3.357828138167504E-2</v>
      </c>
      <c r="H284">
        <v>0.60855957487833856</v>
      </c>
      <c r="I284">
        <v>0.1137671304750997</v>
      </c>
      <c r="J284">
        <v>1.0157557517916349</v>
      </c>
      <c r="L284">
        <v>3.3561180249952547</v>
      </c>
      <c r="M284">
        <v>4.0714487893433056</v>
      </c>
      <c r="N284">
        <v>2.3668789938076622</v>
      </c>
      <c r="P284">
        <v>2.4300024624579694E-12</v>
      </c>
      <c r="R284">
        <v>14.252081848226494</v>
      </c>
      <c r="S284">
        <v>14.309656637068336</v>
      </c>
      <c r="T284">
        <v>1</v>
      </c>
      <c r="U284">
        <v>2.4370168518435267</v>
      </c>
    </row>
    <row r="285" spans="1:21">
      <c r="A285">
        <v>1.4296404869899704</v>
      </c>
      <c r="B285">
        <v>0.16097282659904824</v>
      </c>
      <c r="C285">
        <v>-0.23326997862050547</v>
      </c>
      <c r="D285">
        <v>-0.21312061236621099</v>
      </c>
      <c r="E285">
        <v>0.25457802017006143</v>
      </c>
      <c r="F285">
        <v>-3.2506768867754783E-2</v>
      </c>
      <c r="G285">
        <v>0.61652927469845864</v>
      </c>
      <c r="H285">
        <v>0.94640764887999329</v>
      </c>
      <c r="I285">
        <v>7.9630743221298261E-2</v>
      </c>
      <c r="J285">
        <v>0.39828078755724905</v>
      </c>
      <c r="L285">
        <v>3.3561179301043338</v>
      </c>
      <c r="M285">
        <v>4.0714487655011675</v>
      </c>
      <c r="N285">
        <v>2.366879155320722</v>
      </c>
      <c r="P285">
        <v>2.5753440759383073E-12</v>
      </c>
      <c r="R285">
        <v>14.252081848226494</v>
      </c>
      <c r="S285">
        <v>14.309656637068336</v>
      </c>
      <c r="T285">
        <v>1</v>
      </c>
      <c r="U285">
        <v>2.4370168518435267</v>
      </c>
    </row>
    <row r="286" spans="1:21">
      <c r="A286">
        <v>1.4258474205439868</v>
      </c>
      <c r="B286">
        <v>0.15220731015377809</v>
      </c>
      <c r="C286">
        <v>-0.26344760764073055</v>
      </c>
      <c r="D286">
        <v>-0.68039561057944009</v>
      </c>
      <c r="E286">
        <v>-0.56528702350888438</v>
      </c>
      <c r="F286">
        <v>8.5848419106700519E-2</v>
      </c>
      <c r="G286">
        <v>0.60040861885108021</v>
      </c>
      <c r="H286">
        <v>0.77175136233577013</v>
      </c>
      <c r="I286">
        <v>0.21806222817601562</v>
      </c>
      <c r="J286">
        <v>0.42016050266099519</v>
      </c>
      <c r="L286">
        <v>3.3561180723090995</v>
      </c>
      <c r="M286">
        <v>4.0714487655420601</v>
      </c>
      <c r="N286">
        <v>2.3668789394139127</v>
      </c>
      <c r="P286">
        <v>2.4987550830490334E-12</v>
      </c>
      <c r="R286">
        <v>14.252081848226494</v>
      </c>
      <c r="S286">
        <v>14.309656637068336</v>
      </c>
      <c r="T286">
        <v>1</v>
      </c>
      <c r="U286">
        <v>2.4370168518435267</v>
      </c>
    </row>
    <row r="287" spans="1:21">
      <c r="A287">
        <v>1.4291957718462376</v>
      </c>
      <c r="B287">
        <v>0.1333054889844873</v>
      </c>
      <c r="C287">
        <v>-0.29508261365276955</v>
      </c>
      <c r="D287">
        <v>0.29758036649320896</v>
      </c>
      <c r="E287">
        <v>0.18519711690432059</v>
      </c>
      <c r="F287">
        <v>0.80497551716460958</v>
      </c>
      <c r="G287">
        <v>0.21595249080782292</v>
      </c>
      <c r="H287">
        <v>4.4716630555253427E-2</v>
      </c>
      <c r="I287">
        <v>0.19610426932009964</v>
      </c>
      <c r="J287">
        <v>0.71983345906326723</v>
      </c>
      <c r="L287">
        <v>3.3561180293794113</v>
      </c>
      <c r="M287">
        <v>4.0714487638710706</v>
      </c>
      <c r="N287">
        <v>2.3668790091050176</v>
      </c>
      <c r="P287">
        <v>2.5175963613819245E-12</v>
      </c>
      <c r="R287">
        <v>14.252081848226494</v>
      </c>
      <c r="S287">
        <v>14.309656637068336</v>
      </c>
      <c r="T287">
        <v>1</v>
      </c>
      <c r="U287">
        <v>2.4370168518435267</v>
      </c>
    </row>
    <row r="288" spans="1:21">
      <c r="A288">
        <v>1.4291001555567335</v>
      </c>
      <c r="B288">
        <v>0.14176112461382387</v>
      </c>
      <c r="C288">
        <v>-0.26831511381411272</v>
      </c>
      <c r="D288">
        <v>-0.2497371414049549</v>
      </c>
      <c r="E288">
        <v>0.40577189056239676</v>
      </c>
      <c r="F288">
        <v>-0.13813523194505928</v>
      </c>
      <c r="G288">
        <v>0.47913444781223791</v>
      </c>
      <c r="H288">
        <v>0.20816732860248827</v>
      </c>
      <c r="I288">
        <v>0.54539086892053301</v>
      </c>
      <c r="J288">
        <v>0.54043748501308786</v>
      </c>
      <c r="L288">
        <v>3.3561179899700475</v>
      </c>
      <c r="M288">
        <v>4.0714487890033899</v>
      </c>
      <c r="N288">
        <v>2.3668790588717616</v>
      </c>
      <c r="P288">
        <v>2.4626650058476831E-12</v>
      </c>
      <c r="R288">
        <v>14.252081848226494</v>
      </c>
      <c r="S288">
        <v>14.309656637068336</v>
      </c>
      <c r="T288">
        <v>1</v>
      </c>
      <c r="U288">
        <v>2.4370168518435267</v>
      </c>
    </row>
    <row r="289" spans="1:21">
      <c r="A289">
        <v>1.4312271555550546</v>
      </c>
      <c r="B289">
        <v>0.15807821028744268</v>
      </c>
      <c r="C289">
        <v>-0.23025859731588402</v>
      </c>
      <c r="D289">
        <v>-0.14395315586545457</v>
      </c>
      <c r="E289">
        <v>0.56710965717112938</v>
      </c>
      <c r="F289">
        <v>0.33086880801789981</v>
      </c>
      <c r="G289">
        <v>0.6584301284225974</v>
      </c>
      <c r="H289">
        <v>0.74792418315243858</v>
      </c>
      <c r="I289">
        <v>0.17574129450474607</v>
      </c>
      <c r="J289">
        <v>0.91809852300442207</v>
      </c>
      <c r="L289">
        <v>3.3561179679405004</v>
      </c>
      <c r="M289">
        <v>4.0714487678381719</v>
      </c>
      <c r="N289">
        <v>2.366879098573841</v>
      </c>
      <c r="P289">
        <v>2.5373004143624936E-12</v>
      </c>
      <c r="R289">
        <v>14.252081848226494</v>
      </c>
      <c r="S289">
        <v>14.309656637068336</v>
      </c>
      <c r="T289">
        <v>1</v>
      </c>
      <c r="U289">
        <v>2.4370168518435267</v>
      </c>
    </row>
    <row r="290" spans="1:21">
      <c r="A290">
        <v>1.4303252319892132</v>
      </c>
      <c r="B290">
        <v>0.1587320681821717</v>
      </c>
      <c r="C290">
        <v>-0.22690612601947599</v>
      </c>
      <c r="D290">
        <v>-0.30853899084730757</v>
      </c>
      <c r="E290">
        <v>0.84337141054352671</v>
      </c>
      <c r="F290">
        <v>-0.15298648127156964</v>
      </c>
      <c r="G290">
        <v>0.58623487085262649</v>
      </c>
      <c r="H290">
        <v>0.68250179379675735</v>
      </c>
      <c r="I290">
        <v>0.46570064628270952</v>
      </c>
      <c r="J290">
        <v>0.60413454400118094</v>
      </c>
      <c r="L290">
        <v>3.3561179860405068</v>
      </c>
      <c r="M290">
        <v>4.0714487921971125</v>
      </c>
      <c r="N290">
        <v>2.3668790627450678</v>
      </c>
      <c r="P290">
        <v>2.4545487591062391E-12</v>
      </c>
      <c r="R290">
        <v>14.252081848226494</v>
      </c>
      <c r="S290">
        <v>14.309656637068336</v>
      </c>
      <c r="T290">
        <v>1</v>
      </c>
      <c r="U290">
        <v>2.4370168518435267</v>
      </c>
    </row>
    <row r="291" spans="1:21">
      <c r="A291">
        <v>1.4653956510500541</v>
      </c>
      <c r="B291">
        <v>0.27682515744757208</v>
      </c>
      <c r="C291">
        <v>0.12804115475162986</v>
      </c>
      <c r="D291">
        <v>3.3879058851729683E-2</v>
      </c>
      <c r="E291">
        <v>0.22884251727755509</v>
      </c>
      <c r="F291">
        <v>-8.4119742273591078E-2</v>
      </c>
      <c r="G291">
        <v>0.77567342607748146</v>
      </c>
      <c r="H291">
        <v>0.93977464490900442</v>
      </c>
      <c r="I291">
        <v>0.71774058141997665</v>
      </c>
      <c r="J291">
        <v>0.92018153541096048</v>
      </c>
      <c r="L291">
        <v>3.3561160997075228</v>
      </c>
      <c r="M291">
        <v>0.9003540172883594</v>
      </c>
      <c r="N291">
        <v>2.3668787925687873</v>
      </c>
      <c r="P291">
        <v>4.5841270152132728E-12</v>
      </c>
      <c r="R291">
        <v>6.2549154864123224</v>
      </c>
      <c r="S291">
        <v>6.2639720915040158</v>
      </c>
      <c r="T291">
        <v>1</v>
      </c>
      <c r="U291">
        <v>2.4584552230293419</v>
      </c>
    </row>
    <row r="292" spans="1:21">
      <c r="A292">
        <v>1.4680630606776883</v>
      </c>
      <c r="B292">
        <v>0.28108463687131946</v>
      </c>
      <c r="C292">
        <v>0.12017441895006901</v>
      </c>
      <c r="D292">
        <v>0.10824173074992258</v>
      </c>
      <c r="E292">
        <v>0.76406710101421949</v>
      </c>
      <c r="F292">
        <v>0.29494333394716926</v>
      </c>
      <c r="G292">
        <v>0.66642671929680308</v>
      </c>
      <c r="H292">
        <v>0.7739803263467151</v>
      </c>
      <c r="I292">
        <v>0.71573522672729251</v>
      </c>
      <c r="J292">
        <v>0.32529134458822362</v>
      </c>
      <c r="L292">
        <v>3.3561160216525643</v>
      </c>
      <c r="M292">
        <v>0.90035406677582264</v>
      </c>
      <c r="N292">
        <v>2.366878857369624</v>
      </c>
      <c r="P292">
        <v>4.6549402398755097E-12</v>
      </c>
      <c r="R292">
        <v>6.2549154864123224</v>
      </c>
      <c r="S292">
        <v>6.2639720915040158</v>
      </c>
      <c r="T292">
        <v>1</v>
      </c>
      <c r="U292">
        <v>2.4584552230293419</v>
      </c>
    </row>
    <row r="293" spans="1:21">
      <c r="A293">
        <v>1.4683713832626948</v>
      </c>
      <c r="B293">
        <v>0.27028249088545853</v>
      </c>
      <c r="C293">
        <v>0.11860265273037941</v>
      </c>
      <c r="D293">
        <v>-1.825744210265896E-2</v>
      </c>
      <c r="E293">
        <v>0.34840412886848032</v>
      </c>
      <c r="F293">
        <v>-0.30896367887451431</v>
      </c>
      <c r="G293">
        <v>0.44077558171013559</v>
      </c>
      <c r="H293">
        <v>3.6858032246478975E-2</v>
      </c>
      <c r="I293">
        <v>0.8848744644844535</v>
      </c>
      <c r="J293">
        <v>0.38406139469801431</v>
      </c>
      <c r="L293">
        <v>3.3561158800002127</v>
      </c>
      <c r="M293">
        <v>0.90035407605349327</v>
      </c>
      <c r="N293">
        <v>2.3668787914882299</v>
      </c>
      <c r="P293">
        <v>4.9269720647092911E-12</v>
      </c>
      <c r="R293">
        <v>6.2549154864123224</v>
      </c>
      <c r="S293">
        <v>6.2639720915040158</v>
      </c>
      <c r="T293">
        <v>1</v>
      </c>
      <c r="U293">
        <v>2.4584552230293419</v>
      </c>
    </row>
    <row r="294" spans="1:21">
      <c r="A294">
        <v>1.4606913797308485</v>
      </c>
      <c r="B294">
        <v>0.27210685029352022</v>
      </c>
      <c r="C294">
        <v>0.11592236796838809</v>
      </c>
      <c r="D294">
        <v>-0.48697310244891134</v>
      </c>
      <c r="E294">
        <v>-0.52371811115569122</v>
      </c>
      <c r="F294">
        <v>-0.47766304821032468</v>
      </c>
      <c r="G294">
        <v>0.43657143933758791</v>
      </c>
      <c r="H294">
        <v>0.62089237642266082</v>
      </c>
      <c r="I294">
        <v>0.10832266244820793</v>
      </c>
      <c r="J294">
        <v>0.54807163117505475</v>
      </c>
      <c r="L294">
        <v>3.3561161183151142</v>
      </c>
      <c r="M294">
        <v>0.90035404198359226</v>
      </c>
      <c r="N294">
        <v>2.3668788124327693</v>
      </c>
      <c r="P294">
        <v>4.4730062746045313E-12</v>
      </c>
      <c r="R294">
        <v>6.2549154864123224</v>
      </c>
      <c r="S294">
        <v>6.2639720915040158</v>
      </c>
      <c r="T294">
        <v>1</v>
      </c>
      <c r="U294">
        <v>2.4584552230293419</v>
      </c>
    </row>
    <row r="295" spans="1:21">
      <c r="A295">
        <v>1.4654900385825713</v>
      </c>
      <c r="B295">
        <v>0.26697398079684986</v>
      </c>
      <c r="C295">
        <v>0.1243268408478979</v>
      </c>
      <c r="D295">
        <v>0.24906655471036121</v>
      </c>
      <c r="E295">
        <v>5.0012256593366694E-2</v>
      </c>
      <c r="F295">
        <v>0.107529379756359</v>
      </c>
      <c r="G295">
        <v>7.2240261058761399E-2</v>
      </c>
      <c r="H295">
        <v>2.2365364148056247E-2</v>
      </c>
      <c r="I295">
        <v>0.38234146228401927</v>
      </c>
      <c r="J295">
        <v>0.91286242506048831</v>
      </c>
      <c r="L295">
        <v>3.3561160409343671</v>
      </c>
      <c r="M295">
        <v>0.9003540866738694</v>
      </c>
      <c r="N295">
        <v>2.3668788709316151</v>
      </c>
      <c r="P295">
        <v>4.5541551052378999E-12</v>
      </c>
      <c r="R295">
        <v>6.2549154864123224</v>
      </c>
      <c r="S295">
        <v>6.2639720915040158</v>
      </c>
      <c r="T295">
        <v>1</v>
      </c>
      <c r="U295">
        <v>2.4584552230293419</v>
      </c>
    </row>
    <row r="296" spans="1:21">
      <c r="A296">
        <v>1.4629440951486918</v>
      </c>
      <c r="B296">
        <v>0.27241554071490759</v>
      </c>
      <c r="C296">
        <v>0.13337415497040667</v>
      </c>
      <c r="D296">
        <v>4.3118017074190267E-3</v>
      </c>
      <c r="E296">
        <v>0.50682450470950946</v>
      </c>
      <c r="F296">
        <v>-0.24831560337264325</v>
      </c>
      <c r="G296">
        <v>0.27577026758798473</v>
      </c>
      <c r="H296">
        <v>0.51589347953658415</v>
      </c>
      <c r="I296">
        <v>0.65374008724191024</v>
      </c>
      <c r="J296">
        <v>0.92343262793574454</v>
      </c>
      <c r="L296">
        <v>3.356116045950043</v>
      </c>
      <c r="M296">
        <v>0.9003540484786694</v>
      </c>
      <c r="N296">
        <v>2.366878822156572</v>
      </c>
      <c r="P296">
        <v>4.6262400961617999E-12</v>
      </c>
      <c r="R296">
        <v>6.2549154864123224</v>
      </c>
      <c r="S296">
        <v>6.2639720915040158</v>
      </c>
      <c r="T296">
        <v>1</v>
      </c>
      <c r="U296">
        <v>2.4584552230293419</v>
      </c>
    </row>
    <row r="297" spans="1:21">
      <c r="A297">
        <v>1.4594604953047088</v>
      </c>
      <c r="B297">
        <v>0.26132950835703189</v>
      </c>
      <c r="C297">
        <v>8.216438343107671E-2</v>
      </c>
      <c r="D297">
        <v>0.81840983023199643</v>
      </c>
      <c r="E297">
        <v>-0.44021917650505038</v>
      </c>
      <c r="F297">
        <v>-9.0712665936649922E-2</v>
      </c>
      <c r="G297">
        <v>0.11734506342832071</v>
      </c>
      <c r="H297">
        <v>0.97054218386457047</v>
      </c>
      <c r="I297">
        <v>0.86905357301938091</v>
      </c>
      <c r="J297">
        <v>0.3012883895060896</v>
      </c>
      <c r="L297">
        <v>3.3561160844709073</v>
      </c>
      <c r="M297">
        <v>0.90035421151968287</v>
      </c>
      <c r="N297">
        <v>2.3668790065916983</v>
      </c>
      <c r="P297">
        <v>4.1998075487926437E-12</v>
      </c>
      <c r="R297">
        <v>6.2549154864123224</v>
      </c>
      <c r="S297">
        <v>6.2639720915040158</v>
      </c>
      <c r="T297">
        <v>1</v>
      </c>
      <c r="U297">
        <v>2.4584552230293419</v>
      </c>
    </row>
    <row r="298" spans="1:21">
      <c r="A298">
        <v>1.4700994085760624</v>
      </c>
      <c r="B298">
        <v>0.28230048663441115</v>
      </c>
      <c r="C298">
        <v>0.11884663329669681</v>
      </c>
      <c r="D298">
        <v>0.25692505905496948</v>
      </c>
      <c r="E298">
        <v>-0.18135545952203169</v>
      </c>
      <c r="F298">
        <v>-6.8203419635320631E-2</v>
      </c>
      <c r="G298">
        <v>0.96809592048771087</v>
      </c>
      <c r="H298">
        <v>0.99757490044571884</v>
      </c>
      <c r="I298">
        <v>0.11526435954775933</v>
      </c>
      <c r="J298">
        <v>0.11802435539733271</v>
      </c>
      <c r="L298">
        <v>3.3561161295895561</v>
      </c>
      <c r="M298">
        <v>0.90035405086173492</v>
      </c>
      <c r="N298">
        <v>2.3668788646647565</v>
      </c>
      <c r="P298">
        <v>4.4664608892272061E-12</v>
      </c>
      <c r="R298">
        <v>6.2549154864123224</v>
      </c>
      <c r="S298">
        <v>6.2639720915040158</v>
      </c>
      <c r="T298">
        <v>1</v>
      </c>
      <c r="U298">
        <v>2.4584552230293419</v>
      </c>
    </row>
    <row r="299" spans="1:21">
      <c r="A299">
        <v>1.4599959988220008</v>
      </c>
      <c r="B299">
        <v>0.26639327903947613</v>
      </c>
      <c r="C299">
        <v>0.10603383713444409</v>
      </c>
      <c r="D299">
        <v>-0.41259047393729797</v>
      </c>
      <c r="E299">
        <v>-0.40544024755807989</v>
      </c>
      <c r="F299">
        <v>0.18860984706026282</v>
      </c>
      <c r="G299">
        <v>1.4822837068001537E-2</v>
      </c>
      <c r="H299">
        <v>0.14035021690557564</v>
      </c>
      <c r="I299">
        <v>0.17319364588962816</v>
      </c>
      <c r="J299">
        <v>0.73745200572527381</v>
      </c>
      <c r="L299">
        <v>3.3561160574083782</v>
      </c>
      <c r="M299">
        <v>0.90035402127142206</v>
      </c>
      <c r="N299">
        <v>2.3668787404039411</v>
      </c>
      <c r="P299">
        <v>4.6262652751842298E-12</v>
      </c>
      <c r="R299">
        <v>6.2549154864123224</v>
      </c>
      <c r="S299">
        <v>6.2639720915040158</v>
      </c>
      <c r="T299">
        <v>1</v>
      </c>
      <c r="U299">
        <v>2.4584552230293419</v>
      </c>
    </row>
    <row r="300" spans="1:21">
      <c r="A300">
        <v>1.456194297351157</v>
      </c>
      <c r="B300">
        <v>0.26520469854235745</v>
      </c>
      <c r="C300">
        <v>6.2562220448235631E-2</v>
      </c>
      <c r="D300">
        <v>-0.73471135655012532</v>
      </c>
      <c r="E300">
        <v>-0.59352885065206251</v>
      </c>
      <c r="F300">
        <v>0.5435176296474713</v>
      </c>
      <c r="G300">
        <v>0.15056875960924823</v>
      </c>
      <c r="H300">
        <v>0.5245304088124475</v>
      </c>
      <c r="I300">
        <v>0.66857973606395593</v>
      </c>
      <c r="J300">
        <v>0.10042757463361016</v>
      </c>
      <c r="L300">
        <v>3.3561160887128185</v>
      </c>
      <c r="M300">
        <v>0.90035404872403602</v>
      </c>
      <c r="N300">
        <v>2.3668787847477573</v>
      </c>
      <c r="P300">
        <v>4.4927241653974366E-12</v>
      </c>
      <c r="R300">
        <v>6.2549154864123224</v>
      </c>
      <c r="S300">
        <v>6.2639720915040158</v>
      </c>
      <c r="T300">
        <v>1</v>
      </c>
      <c r="U300">
        <v>2.4584552230293419</v>
      </c>
    </row>
    <row r="301" spans="1:21">
      <c r="A301">
        <v>1.4033762141747586</v>
      </c>
      <c r="B301">
        <v>0.29039394272694491</v>
      </c>
      <c r="C301">
        <v>3.1268008534385411E-2</v>
      </c>
      <c r="D301">
        <v>0.22851431544693937</v>
      </c>
      <c r="E301">
        <v>1.5499114024827673E-2</v>
      </c>
      <c r="F301">
        <v>0.41288813692357096</v>
      </c>
      <c r="G301">
        <v>0</v>
      </c>
      <c r="H301">
        <v>0.84985510805178721</v>
      </c>
      <c r="I301">
        <v>0.42677945998606553</v>
      </c>
      <c r="J301">
        <v>0.48048906220348875</v>
      </c>
      <c r="L301">
        <v>4.071449881128764</v>
      </c>
      <c r="M301">
        <v>0.90035538386707603</v>
      </c>
      <c r="N301">
        <v>2.3668782650140701</v>
      </c>
      <c r="P301">
        <v>1.77518591560868E-13</v>
      </c>
      <c r="R301">
        <v>6.749149426448394</v>
      </c>
      <c r="S301">
        <v>6.7566483524299317</v>
      </c>
      <c r="T301">
        <v>1</v>
      </c>
      <c r="U301">
        <v>2.649985869323181</v>
      </c>
    </row>
    <row r="302" spans="1:21">
      <c r="A302">
        <v>1.4083812867792724</v>
      </c>
      <c r="B302">
        <v>0.30872776725804402</v>
      </c>
      <c r="C302">
        <v>5.9533809811388283E-2</v>
      </c>
      <c r="D302">
        <v>-0.23116783070434155</v>
      </c>
      <c r="E302">
        <v>0.26169168184962271</v>
      </c>
      <c r="F302">
        <v>0.38357046252700289</v>
      </c>
      <c r="G302">
        <v>0.82475495157858736</v>
      </c>
      <c r="H302">
        <v>0.30612896101807335</v>
      </c>
      <c r="I302">
        <v>2.4960224333118976E-2</v>
      </c>
      <c r="J302">
        <v>0.53961760618037757</v>
      </c>
      <c r="L302">
        <v>4.0714497818831337</v>
      </c>
      <c r="M302">
        <v>0.90035525408570105</v>
      </c>
      <c r="N302">
        <v>2.3668785493201527</v>
      </c>
      <c r="P302">
        <v>3.4986840687169009E-13</v>
      </c>
      <c r="R302">
        <v>6.749149426448394</v>
      </c>
      <c r="S302">
        <v>6.7566483524299317</v>
      </c>
      <c r="T302">
        <v>1</v>
      </c>
      <c r="U302">
        <v>2.649985869323181</v>
      </c>
    </row>
    <row r="303" spans="1:21">
      <c r="A303">
        <v>1.4050522152747411</v>
      </c>
      <c r="B303">
        <v>0.29434757556807867</v>
      </c>
      <c r="C303">
        <v>2.5103910680577227E-2</v>
      </c>
      <c r="D303">
        <v>5.4167794166669461E-2</v>
      </c>
      <c r="E303">
        <v>-8.4759870049914907E-2</v>
      </c>
      <c r="F303">
        <v>0.66564815075170236</v>
      </c>
      <c r="G303">
        <v>0.18687250465167082</v>
      </c>
      <c r="H303">
        <v>0.62369181870060664</v>
      </c>
      <c r="I303">
        <v>0.27917812989772106</v>
      </c>
      <c r="J303">
        <v>0.26044868771956753</v>
      </c>
      <c r="L303">
        <v>4.071449810943041</v>
      </c>
      <c r="M303">
        <v>0.90035525045963583</v>
      </c>
      <c r="N303">
        <v>2.3668783334800425</v>
      </c>
      <c r="P303">
        <v>3.1070479614469355E-13</v>
      </c>
      <c r="R303">
        <v>6.749149426448394</v>
      </c>
      <c r="S303">
        <v>6.7566483524299317</v>
      </c>
      <c r="T303">
        <v>1</v>
      </c>
      <c r="U303">
        <v>2.649985869323181</v>
      </c>
    </row>
    <row r="304" spans="1:21">
      <c r="A304">
        <v>1.4091529957100444</v>
      </c>
      <c r="B304">
        <v>0.29758852464367702</v>
      </c>
      <c r="C304">
        <v>6.0389371430277256E-2</v>
      </c>
      <c r="D304">
        <v>7.8466773457916708E-2</v>
      </c>
      <c r="E304">
        <v>0.72352014488694749</v>
      </c>
      <c r="F304">
        <v>0.18148347955077668</v>
      </c>
      <c r="G304">
        <v>0.5347558525880366</v>
      </c>
      <c r="H304">
        <v>0.21005940419452285</v>
      </c>
      <c r="I304">
        <v>0.92743999309420933</v>
      </c>
      <c r="J304">
        <v>0.89368459970143233</v>
      </c>
      <c r="L304">
        <v>4.071449837649296</v>
      </c>
      <c r="M304">
        <v>0.90035532156144849</v>
      </c>
      <c r="N304">
        <v>2.3668784528324927</v>
      </c>
      <c r="P304">
        <v>2.3848138309121009E-13</v>
      </c>
      <c r="R304">
        <v>6.749149426448394</v>
      </c>
      <c r="S304">
        <v>6.7566483524299317</v>
      </c>
      <c r="T304">
        <v>1</v>
      </c>
      <c r="U304">
        <v>2.649985869323181</v>
      </c>
    </row>
    <row r="305" spans="1:21">
      <c r="A305">
        <v>1.4066234596162275</v>
      </c>
      <c r="B305">
        <v>0.28746623478315475</v>
      </c>
      <c r="C305">
        <v>2.9196467499563467E-2</v>
      </c>
      <c r="D305">
        <v>-0.22753468923544157</v>
      </c>
      <c r="E305">
        <v>-0.18619871717259157</v>
      </c>
      <c r="F305">
        <v>-0.31182095693909595</v>
      </c>
      <c r="G305">
        <v>0.37323772467737287</v>
      </c>
      <c r="H305">
        <v>0.42452070326936719</v>
      </c>
      <c r="I305">
        <v>0.93638659960305182</v>
      </c>
      <c r="J305">
        <v>0.29552181973385855</v>
      </c>
      <c r="L305">
        <v>4.071449882891149</v>
      </c>
      <c r="M305">
        <v>0.90035539001090881</v>
      </c>
      <c r="N305">
        <v>2.3668782743153471</v>
      </c>
      <c r="P305">
        <v>1.7053788423417809E-13</v>
      </c>
      <c r="R305">
        <v>6.749149426448394</v>
      </c>
      <c r="S305">
        <v>6.7566483524299317</v>
      </c>
      <c r="T305">
        <v>1</v>
      </c>
      <c r="U305">
        <v>2.649985869323181</v>
      </c>
    </row>
    <row r="306" spans="1:21">
      <c r="A306">
        <v>1.4067985687561291</v>
      </c>
      <c r="B306">
        <v>0.29662055770613865</v>
      </c>
      <c r="C306">
        <v>6.3235014604718073E-2</v>
      </c>
      <c r="D306">
        <v>-0.44204720025594602</v>
      </c>
      <c r="E306">
        <v>0.31765388536425343</v>
      </c>
      <c r="F306">
        <v>-0.23990902668663369</v>
      </c>
      <c r="G306">
        <v>0.56538279982331541</v>
      </c>
      <c r="H306">
        <v>0.18565533707990201</v>
      </c>
      <c r="I306">
        <v>0.70222316189756084</v>
      </c>
      <c r="J306">
        <v>0.94146990374467454</v>
      </c>
      <c r="L306">
        <v>4.0714497843086832</v>
      </c>
      <c r="M306">
        <v>0.9003552696750291</v>
      </c>
      <c r="N306">
        <v>2.3668785602861551</v>
      </c>
      <c r="P306">
        <v>3.3686657084112829E-13</v>
      </c>
      <c r="R306">
        <v>6.749149426448394</v>
      </c>
      <c r="S306">
        <v>6.7566483524299317</v>
      </c>
      <c r="T306">
        <v>1</v>
      </c>
      <c r="U306">
        <v>2.649985869323181</v>
      </c>
    </row>
    <row r="307" spans="1:21">
      <c r="A307">
        <v>1.4060444385732742</v>
      </c>
      <c r="B307">
        <v>0.29687539573752519</v>
      </c>
      <c r="C307">
        <v>2.7691895671742781E-2</v>
      </c>
      <c r="D307">
        <v>-0.26185937687882854</v>
      </c>
      <c r="E307">
        <v>0.10403649354344194</v>
      </c>
      <c r="F307">
        <v>0.71492229737993662</v>
      </c>
      <c r="G307">
        <v>0.6910290775810336</v>
      </c>
      <c r="H307">
        <v>0.80646883212237108</v>
      </c>
      <c r="I307">
        <v>0.91843382610682045</v>
      </c>
      <c r="J307">
        <v>0.67132313073079297</v>
      </c>
      <c r="L307">
        <v>4.0714498331007976</v>
      </c>
      <c r="M307">
        <v>0.90035528839123002</v>
      </c>
      <c r="N307">
        <v>2.3668781982133513</v>
      </c>
      <c r="P307">
        <v>2.9213145428860989E-13</v>
      </c>
      <c r="R307">
        <v>6.749149426448394</v>
      </c>
      <c r="S307">
        <v>6.7566483524299317</v>
      </c>
      <c r="T307">
        <v>1</v>
      </c>
      <c r="U307">
        <v>2.649985869323181</v>
      </c>
    </row>
    <row r="308" spans="1:21">
      <c r="A308">
        <v>1.4069763227381873</v>
      </c>
      <c r="B308">
        <v>0.28149160647918298</v>
      </c>
      <c r="C308">
        <v>2.252101220854006E-2</v>
      </c>
      <c r="D308">
        <v>-6.3927220784240138E-2</v>
      </c>
      <c r="E308">
        <v>-0.16890561239386248</v>
      </c>
      <c r="F308">
        <v>5.0939947688832046E-2</v>
      </c>
      <c r="G308">
        <v>1.6611977037828685E-2</v>
      </c>
      <c r="H308">
        <v>0.13480064408449136</v>
      </c>
      <c r="I308">
        <v>0.97264242297019732</v>
      </c>
      <c r="J308">
        <v>0.38634011472330981</v>
      </c>
      <c r="L308">
        <v>4.0714497167355681</v>
      </c>
      <c r="M308">
        <v>0.90035524549841439</v>
      </c>
      <c r="N308">
        <v>2.3668786926325613</v>
      </c>
      <c r="P308">
        <v>4.6184113132369574E-13</v>
      </c>
      <c r="R308">
        <v>6.749149426448394</v>
      </c>
      <c r="S308">
        <v>6.7566483524299317</v>
      </c>
      <c r="T308">
        <v>1</v>
      </c>
      <c r="U308">
        <v>2.649985869323181</v>
      </c>
    </row>
    <row r="309" spans="1:21">
      <c r="A309">
        <v>1.4090206917269319</v>
      </c>
      <c r="B309">
        <v>0.30376642545568644</v>
      </c>
      <c r="C309">
        <v>5.6664359368978234E-2</v>
      </c>
      <c r="D309">
        <v>0.42085501759857241</v>
      </c>
      <c r="E309">
        <v>7.1241543487244929E-2</v>
      </c>
      <c r="F309">
        <v>0.2884393916325394</v>
      </c>
      <c r="G309">
        <v>0.68405074342833694</v>
      </c>
      <c r="H309">
        <v>0.68410807256737938</v>
      </c>
      <c r="I309">
        <v>5.4453111621876951E-2</v>
      </c>
      <c r="J309">
        <v>0.55725080971548124</v>
      </c>
      <c r="L309">
        <v>4.0714476143250655</v>
      </c>
      <c r="M309">
        <v>0.9003561969323769</v>
      </c>
      <c r="N309">
        <v>2.3668785558327308</v>
      </c>
      <c r="P309">
        <v>5.7976860204082476E-12</v>
      </c>
      <c r="R309">
        <v>6.749149426448394</v>
      </c>
      <c r="S309">
        <v>6.7566483524299317</v>
      </c>
      <c r="T309">
        <v>1</v>
      </c>
      <c r="U309">
        <v>2.649985869323181</v>
      </c>
    </row>
    <row r="310" spans="1:21">
      <c r="A310">
        <v>1.4062853912576405</v>
      </c>
      <c r="B310">
        <v>0.30816818081846664</v>
      </c>
      <c r="C310">
        <v>7.5617042511660751E-2</v>
      </c>
      <c r="D310">
        <v>4.2066429331846879E-2</v>
      </c>
      <c r="E310">
        <v>0.84695836644456468</v>
      </c>
      <c r="F310">
        <v>-0.21151267533480367</v>
      </c>
      <c r="G310">
        <v>0.79782888515239259</v>
      </c>
      <c r="H310">
        <v>0.82727018152117948</v>
      </c>
      <c r="I310">
        <v>0.51975672423353714</v>
      </c>
      <c r="J310">
        <v>0.77262160055617835</v>
      </c>
      <c r="L310">
        <v>4.0714490732935991</v>
      </c>
      <c r="M310">
        <v>0.90035668042457306</v>
      </c>
      <c r="N310">
        <v>2.3668791273392333</v>
      </c>
      <c r="P310">
        <v>2.207179895316048E-12</v>
      </c>
      <c r="R310">
        <v>6.749149426448394</v>
      </c>
      <c r="S310">
        <v>6.7566483524299317</v>
      </c>
      <c r="T310">
        <v>1</v>
      </c>
      <c r="U310">
        <v>2.649985869323181</v>
      </c>
    </row>
    <row r="311" spans="1:21">
      <c r="A311">
        <v>-1.432489309515399</v>
      </c>
      <c r="B311">
        <v>-8.9342248255867326E-2</v>
      </c>
      <c r="C311">
        <v>0.34395806670830498</v>
      </c>
      <c r="D311">
        <v>-8.9404977193719135E-2</v>
      </c>
      <c r="E311">
        <v>-0.54461068182041605</v>
      </c>
      <c r="F311">
        <v>0.1988539016548565</v>
      </c>
      <c r="G311">
        <v>0.10876215857013442</v>
      </c>
      <c r="H311">
        <v>0.5467101747025731</v>
      </c>
      <c r="I311">
        <v>5.9517785349388036E-2</v>
      </c>
      <c r="J311">
        <v>0.55092574013248641</v>
      </c>
      <c r="L311">
        <v>1.8989935929332673</v>
      </c>
      <c r="M311">
        <v>0.67208270523010594</v>
      </c>
      <c r="N311">
        <v>4.0793762995739513</v>
      </c>
      <c r="P311">
        <v>3.7015995438448724E-12</v>
      </c>
      <c r="R311">
        <v>6.5861271662945571</v>
      </c>
      <c r="S311">
        <v>6.5952649754803758</v>
      </c>
      <c r="T311">
        <v>1</v>
      </c>
      <c r="U311">
        <v>1.6305514477076017</v>
      </c>
    </row>
    <row r="312" spans="1:21">
      <c r="A312">
        <v>-1.4299543375981294</v>
      </c>
      <c r="B312">
        <v>-9.3645924522459401E-2</v>
      </c>
      <c r="C312">
        <v>0.34708760252213061</v>
      </c>
      <c r="D312">
        <v>-0.35993515682331834</v>
      </c>
      <c r="E312">
        <v>-0.49558019559076388</v>
      </c>
      <c r="F312">
        <v>-0.3051992602443887</v>
      </c>
      <c r="G312">
        <v>0.6901440798478955</v>
      </c>
      <c r="H312">
        <v>0.86885283802684843</v>
      </c>
      <c r="I312">
        <v>0.34706832699071438</v>
      </c>
      <c r="J312">
        <v>0.92300032386487363</v>
      </c>
      <c r="L312">
        <v>1.8989947120362642</v>
      </c>
      <c r="M312">
        <v>0.6720830953258552</v>
      </c>
      <c r="N312">
        <v>4.0793753722053392</v>
      </c>
      <c r="P312">
        <v>9.4464551608607418E-13</v>
      </c>
      <c r="R312">
        <v>6.5861271662945571</v>
      </c>
      <c r="S312">
        <v>6.5952649754803758</v>
      </c>
      <c r="T312">
        <v>1</v>
      </c>
      <c r="U312">
        <v>1.6305514477076017</v>
      </c>
    </row>
    <row r="313" spans="1:21">
      <c r="A313">
        <v>-1.4327423593545603</v>
      </c>
      <c r="B313">
        <v>-8.6521570753165439E-2</v>
      </c>
      <c r="C313">
        <v>0.34171329294257807</v>
      </c>
      <c r="D313">
        <v>-3.5036407703204535E-2</v>
      </c>
      <c r="E313">
        <v>-0.90696788563408415</v>
      </c>
      <c r="F313">
        <v>-0.38993120940866355</v>
      </c>
      <c r="G313">
        <v>0.46481781324748417</v>
      </c>
      <c r="H313">
        <v>0.88634771701540782</v>
      </c>
      <c r="I313">
        <v>0.20235054759210219</v>
      </c>
      <c r="J313">
        <v>0.40459717125219125</v>
      </c>
      <c r="L313">
        <v>1.8989947732765533</v>
      </c>
      <c r="M313">
        <v>0.67208189493189285</v>
      </c>
      <c r="N313">
        <v>4.0793776133254953</v>
      </c>
      <c r="P313">
        <v>7.4450899759879664E-12</v>
      </c>
      <c r="R313">
        <v>6.5861271662945571</v>
      </c>
      <c r="S313">
        <v>6.5952649754803758</v>
      </c>
      <c r="T313">
        <v>1</v>
      </c>
      <c r="U313">
        <v>1.6305514477076017</v>
      </c>
    </row>
    <row r="314" spans="1:21">
      <c r="A314">
        <v>-1.4320001045710578</v>
      </c>
      <c r="B314">
        <v>-0.10642726097110815</v>
      </c>
      <c r="C314">
        <v>0.35493121100848929</v>
      </c>
      <c r="D314">
        <v>0.21269779607313238</v>
      </c>
      <c r="E314">
        <v>0.58453470782584938</v>
      </c>
      <c r="F314">
        <v>-0.1531830080619922</v>
      </c>
      <c r="G314">
        <v>0.58944308770514398</v>
      </c>
      <c r="H314">
        <v>0.72463485676035488</v>
      </c>
      <c r="I314">
        <v>0.34771772112376592</v>
      </c>
      <c r="J314">
        <v>0.58573106273229136</v>
      </c>
      <c r="L314">
        <v>1.898994585029653</v>
      </c>
      <c r="M314">
        <v>0.6720831421502087</v>
      </c>
      <c r="N314">
        <v>4.0793754509083238</v>
      </c>
      <c r="P314">
        <v>1.1542955977872373E-12</v>
      </c>
      <c r="R314">
        <v>6.5861271662945571</v>
      </c>
      <c r="S314">
        <v>6.5952649754803758</v>
      </c>
      <c r="T314">
        <v>1</v>
      </c>
      <c r="U314">
        <v>1.6305514477076017</v>
      </c>
    </row>
    <row r="315" spans="1:21">
      <c r="A315">
        <v>-1.4295189053527777</v>
      </c>
      <c r="B315">
        <v>-9.3733377580128188E-2</v>
      </c>
      <c r="C315">
        <v>0.34783164943331635</v>
      </c>
      <c r="D315">
        <v>-0.20922581902811732</v>
      </c>
      <c r="E315">
        <v>-0.25445560400194506</v>
      </c>
      <c r="F315">
        <v>0.19961792417481711</v>
      </c>
      <c r="G315">
        <v>0.10700121401721913</v>
      </c>
      <c r="H315">
        <v>0.58968812962472295</v>
      </c>
      <c r="I315">
        <v>9.5124866231742045E-2</v>
      </c>
      <c r="J315">
        <v>0.8948377411458861</v>
      </c>
      <c r="L315">
        <v>1.8989947681180634</v>
      </c>
      <c r="M315">
        <v>0.67208218245210394</v>
      </c>
      <c r="N315">
        <v>4.0793749007777684</v>
      </c>
      <c r="P315">
        <v>1.0285310958603705E-14</v>
      </c>
      <c r="R315">
        <v>6.5861271662945571</v>
      </c>
      <c r="S315">
        <v>6.5952649754803758</v>
      </c>
      <c r="T315">
        <v>1</v>
      </c>
      <c r="U315">
        <v>1.6305514477076017</v>
      </c>
    </row>
    <row r="316" spans="1:21">
      <c r="A316">
        <v>-1.4327929668480399</v>
      </c>
      <c r="B316">
        <v>-9.5981863038336585E-2</v>
      </c>
      <c r="C316">
        <v>0.3390788773435498</v>
      </c>
      <c r="D316">
        <v>0.11052318184753372</v>
      </c>
      <c r="E316">
        <v>4.5406625457095583E-2</v>
      </c>
      <c r="F316">
        <v>0.10118549082004931</v>
      </c>
      <c r="G316">
        <v>0.94412110468473931</v>
      </c>
      <c r="H316">
        <v>0.79196603677514987</v>
      </c>
      <c r="I316">
        <v>0.71565415660692633</v>
      </c>
      <c r="J316">
        <v>0.96979496620745886</v>
      </c>
      <c r="L316">
        <v>1.8989946543118379</v>
      </c>
      <c r="M316">
        <v>0.67208311898277584</v>
      </c>
      <c r="N316">
        <v>4.0793754047369584</v>
      </c>
      <c r="P316">
        <v>1.0347489911599745E-12</v>
      </c>
      <c r="R316">
        <v>6.5861271662945571</v>
      </c>
      <c r="S316">
        <v>6.5952649754803758</v>
      </c>
      <c r="T316">
        <v>1</v>
      </c>
      <c r="U316">
        <v>1.6305514477076017</v>
      </c>
    </row>
    <row r="317" spans="1:21">
      <c r="A317">
        <v>-1.4369335242928611</v>
      </c>
      <c r="B317">
        <v>-8.976063577093224E-2</v>
      </c>
      <c r="C317">
        <v>0.3414720033741353</v>
      </c>
      <c r="D317">
        <v>-0.343563679640845</v>
      </c>
      <c r="E317">
        <v>-0.18900359139090506</v>
      </c>
      <c r="F317">
        <v>0.32585596254502774</v>
      </c>
      <c r="G317">
        <v>0.42346319557613321</v>
      </c>
      <c r="H317">
        <v>0.2022834269171005</v>
      </c>
      <c r="I317">
        <v>0.4165853495727348</v>
      </c>
      <c r="J317">
        <v>0.28737438674245613</v>
      </c>
      <c r="L317">
        <v>1.8989943840122956</v>
      </c>
      <c r="M317">
        <v>0.67208317974577714</v>
      </c>
      <c r="N317">
        <v>4.0793755864096752</v>
      </c>
      <c r="P317">
        <v>1.531868130500461E-12</v>
      </c>
      <c r="R317">
        <v>6.5861271662945571</v>
      </c>
      <c r="S317">
        <v>6.5952649754803758</v>
      </c>
      <c r="T317">
        <v>1</v>
      </c>
      <c r="U317">
        <v>1.6305514477076017</v>
      </c>
    </row>
    <row r="318" spans="1:21">
      <c r="A318">
        <v>-1.4333751914816026</v>
      </c>
      <c r="B318">
        <v>-8.4383285967663743E-2</v>
      </c>
      <c r="C318">
        <v>0.34309166942249658</v>
      </c>
      <c r="D318">
        <v>-0.57861447569647217</v>
      </c>
      <c r="E318">
        <v>9.9016058456894041E-2</v>
      </c>
      <c r="F318">
        <v>0.33042992665829873</v>
      </c>
      <c r="G318">
        <v>0.45957417516800358</v>
      </c>
      <c r="H318">
        <v>0.61898280758899782</v>
      </c>
      <c r="I318">
        <v>0.94929704750669663</v>
      </c>
      <c r="J318">
        <v>0.8287789843454143</v>
      </c>
      <c r="L318">
        <v>1.8989947537859302</v>
      </c>
      <c r="M318">
        <v>0.67208316783055666</v>
      </c>
      <c r="N318">
        <v>4.0793754582046429</v>
      </c>
      <c r="P318">
        <v>1.1502732940552343E-12</v>
      </c>
      <c r="R318">
        <v>6.5861271662945571</v>
      </c>
      <c r="S318">
        <v>6.5952649754803758</v>
      </c>
      <c r="T318">
        <v>1</v>
      </c>
      <c r="U318">
        <v>1.6305514477076017</v>
      </c>
    </row>
    <row r="319" spans="1:21">
      <c r="A319">
        <v>-1.4308210673929112</v>
      </c>
      <c r="B319">
        <v>-8.6466216195595025E-2</v>
      </c>
      <c r="C319">
        <v>0.3331123726913941</v>
      </c>
      <c r="D319">
        <v>1.2622805049764971E-2</v>
      </c>
      <c r="E319">
        <v>-0.12337487297191078</v>
      </c>
      <c r="F319">
        <v>-0.25991811776928841</v>
      </c>
      <c r="G319">
        <v>0.52896958372407654</v>
      </c>
      <c r="H319">
        <v>0.78520418188518559</v>
      </c>
      <c r="I319">
        <v>0.7914140994234089</v>
      </c>
      <c r="J319">
        <v>0.75602255600907298</v>
      </c>
      <c r="L319">
        <v>1.8989946232598418</v>
      </c>
      <c r="M319">
        <v>0.67208290994216346</v>
      </c>
      <c r="N319">
        <v>4.0793752016491194</v>
      </c>
      <c r="P319">
        <v>5.6804749337621913E-13</v>
      </c>
      <c r="R319">
        <v>6.5861271662945571</v>
      </c>
      <c r="S319">
        <v>6.5952649754803758</v>
      </c>
      <c r="T319">
        <v>1</v>
      </c>
      <c r="U319">
        <v>1.6305514477076017</v>
      </c>
    </row>
    <row r="320" spans="1:21">
      <c r="A320">
        <v>-1.4324017240468863</v>
      </c>
      <c r="B320">
        <v>-7.7365877792836976E-2</v>
      </c>
      <c r="C320">
        <v>0.31696404520010235</v>
      </c>
      <c r="D320">
        <v>0.53749780640918376</v>
      </c>
      <c r="E320">
        <v>-0.62808902577259185</v>
      </c>
      <c r="F320">
        <v>0.19393657048614621</v>
      </c>
      <c r="G320">
        <v>0.51059622671509064</v>
      </c>
      <c r="H320">
        <v>0.87868375384651554</v>
      </c>
      <c r="I320">
        <v>0.83934371633837779</v>
      </c>
      <c r="J320">
        <v>0.8883360997743921</v>
      </c>
      <c r="L320">
        <v>1.8989947115462571</v>
      </c>
      <c r="M320">
        <v>0.67208308846243436</v>
      </c>
      <c r="N320">
        <v>4.0793753560683523</v>
      </c>
      <c r="P320">
        <v>9.1853931643243465E-13</v>
      </c>
      <c r="R320">
        <v>6.5861271662945571</v>
      </c>
      <c r="S320">
        <v>6.5952649754803758</v>
      </c>
      <c r="T320">
        <v>1</v>
      </c>
      <c r="U320">
        <v>1.6305514477076017</v>
      </c>
    </row>
    <row r="321" spans="1:21">
      <c r="A321">
        <v>-1.4878614439942146</v>
      </c>
      <c r="B321">
        <v>-6.5166209896697871E-2</v>
      </c>
      <c r="C321">
        <v>0.39310757075136954</v>
      </c>
      <c r="D321">
        <v>-3.76100186890208E-3</v>
      </c>
      <c r="E321">
        <v>-0.450541955802018</v>
      </c>
      <c r="F321">
        <v>0.19118991241752284</v>
      </c>
      <c r="G321">
        <v>0.34407463762527474</v>
      </c>
      <c r="H321">
        <v>5.4346094962140309E-2</v>
      </c>
      <c r="I321">
        <v>0.50144419014649066</v>
      </c>
      <c r="J321">
        <v>0.47253307887597773</v>
      </c>
      <c r="L321">
        <v>1.8989944809720998</v>
      </c>
      <c r="M321">
        <v>0.67208443074221447</v>
      </c>
      <c r="N321">
        <v>3.6314535228884242</v>
      </c>
      <c r="P321">
        <v>7.6231460621379793E-12</v>
      </c>
      <c r="R321">
        <v>6.7013902944805617</v>
      </c>
      <c r="S321">
        <v>6.7148325139077363</v>
      </c>
      <c r="T321">
        <v>1</v>
      </c>
      <c r="U321">
        <v>1.9535081127730956</v>
      </c>
    </row>
    <row r="322" spans="1:21">
      <c r="A322">
        <v>-1.4872616331585216</v>
      </c>
      <c r="B322">
        <v>-7.6286848870250029E-2</v>
      </c>
      <c r="C322">
        <v>0.43490383466884225</v>
      </c>
      <c r="D322">
        <v>-0.28293965781711744</v>
      </c>
      <c r="E322">
        <v>-0.24581565773673919</v>
      </c>
      <c r="F322">
        <v>-0.37095067018800376</v>
      </c>
      <c r="G322">
        <v>0.32849871783719453</v>
      </c>
      <c r="H322">
        <v>0.87176564695964676</v>
      </c>
      <c r="I322">
        <v>0.13877928786838656</v>
      </c>
      <c r="J322">
        <v>0.65639060904228053</v>
      </c>
      <c r="L322">
        <v>1.8989945463408426</v>
      </c>
      <c r="M322">
        <v>0.67208440384080703</v>
      </c>
      <c r="N322">
        <v>3.6314535659624614</v>
      </c>
      <c r="P322">
        <v>7.6080741493986703E-12</v>
      </c>
      <c r="R322">
        <v>6.7013902944805617</v>
      </c>
      <c r="S322">
        <v>6.7148325139077363</v>
      </c>
      <c r="T322">
        <v>1</v>
      </c>
      <c r="U322">
        <v>1.9535081127730956</v>
      </c>
    </row>
    <row r="323" spans="1:21">
      <c r="A323">
        <v>-1.4815471022209536</v>
      </c>
      <c r="B323">
        <v>-7.4467265668952426E-2</v>
      </c>
      <c r="C323">
        <v>0.40423938743728188</v>
      </c>
      <c r="D323">
        <v>0.32376865459705778</v>
      </c>
      <c r="E323">
        <v>0.31828129893032198</v>
      </c>
      <c r="F323">
        <v>-0.84041620483518886</v>
      </c>
      <c r="G323">
        <v>0.12554381034574821</v>
      </c>
      <c r="H323">
        <v>0.49256200132602534</v>
      </c>
      <c r="I323">
        <v>0.52806544151808676</v>
      </c>
      <c r="J323">
        <v>0.8514192803795636</v>
      </c>
      <c r="L323">
        <v>1.898994641571093</v>
      </c>
      <c r="M323">
        <v>0.67208440583124918</v>
      </c>
      <c r="N323">
        <v>3.6314536228796044</v>
      </c>
      <c r="P323">
        <v>7.7659118362393786E-12</v>
      </c>
      <c r="R323">
        <v>6.7013902944805617</v>
      </c>
      <c r="S323">
        <v>6.7148325139077363</v>
      </c>
      <c r="T323">
        <v>1</v>
      </c>
      <c r="U323">
        <v>1.9535081127730956</v>
      </c>
    </row>
    <row r="324" spans="1:21">
      <c r="A324">
        <v>-1.4810245102161586</v>
      </c>
      <c r="B324">
        <v>-6.7604645958161888E-2</v>
      </c>
      <c r="C324">
        <v>0.40818885138420985</v>
      </c>
      <c r="D324">
        <v>-0.10645413017851936</v>
      </c>
      <c r="E324">
        <v>0.2703004343520693</v>
      </c>
      <c r="F324">
        <v>-0.54551376012498753</v>
      </c>
      <c r="G324">
        <v>0.15569190876645655</v>
      </c>
      <c r="H324">
        <v>0.72517160981492101</v>
      </c>
      <c r="I324">
        <v>0.85532116328804286</v>
      </c>
      <c r="J324">
        <v>0.77435661729030991</v>
      </c>
      <c r="L324">
        <v>1.8989944809304109</v>
      </c>
      <c r="M324">
        <v>0.67208442008198255</v>
      </c>
      <c r="N324">
        <v>3.6314534950854815</v>
      </c>
      <c r="P324">
        <v>7.4855304331278918E-12</v>
      </c>
      <c r="R324">
        <v>6.7013902944805617</v>
      </c>
      <c r="S324">
        <v>6.7148325139077363</v>
      </c>
      <c r="T324">
        <v>1</v>
      </c>
      <c r="U324">
        <v>1.9535081127730956</v>
      </c>
    </row>
    <row r="325" spans="1:21">
      <c r="A325">
        <v>-1.4856859417300559</v>
      </c>
      <c r="B325">
        <v>-7.2689336910060562E-2</v>
      </c>
      <c r="C325">
        <v>0.41339169896507993</v>
      </c>
      <c r="D325">
        <v>0.1551275164851971</v>
      </c>
      <c r="E325">
        <v>-3.9891939443168385E-3</v>
      </c>
      <c r="F325">
        <v>-0.26777273914876232</v>
      </c>
      <c r="G325">
        <v>0.50604663789600102</v>
      </c>
      <c r="H325">
        <v>0.8027062849050185</v>
      </c>
      <c r="I325">
        <v>0.60554240209669208</v>
      </c>
      <c r="J325">
        <v>0.99288232853029967</v>
      </c>
      <c r="L325">
        <v>1.8989945575126563</v>
      </c>
      <c r="M325">
        <v>0.67208438617663102</v>
      </c>
      <c r="N325">
        <v>3.6314536193622282</v>
      </c>
      <c r="P325">
        <v>7.710096600096172E-12</v>
      </c>
      <c r="R325">
        <v>6.7013902944805617</v>
      </c>
      <c r="S325">
        <v>6.7148325139077363</v>
      </c>
      <c r="T325">
        <v>1</v>
      </c>
      <c r="U325">
        <v>1.9535081127730956</v>
      </c>
    </row>
    <row r="326" spans="1:21">
      <c r="A326">
        <v>-1.4918448923579557</v>
      </c>
      <c r="B326">
        <v>-6.7767763685722487E-2</v>
      </c>
      <c r="C326">
        <v>0.39755450180574459</v>
      </c>
      <c r="D326">
        <v>0.58950741767217896</v>
      </c>
      <c r="E326">
        <v>-6.2816136768593545E-2</v>
      </c>
      <c r="F326">
        <v>0.4818040898919736</v>
      </c>
      <c r="G326">
        <v>0.35832447013502505</v>
      </c>
      <c r="H326">
        <v>0.24595636381379993</v>
      </c>
      <c r="I326">
        <v>0.5759556255170859</v>
      </c>
      <c r="J326">
        <v>0.30359033025045895</v>
      </c>
      <c r="L326">
        <v>1.8989945595548814</v>
      </c>
      <c r="M326">
        <v>0.67208443615593294</v>
      </c>
      <c r="N326">
        <v>3.6314535769043279</v>
      </c>
      <c r="P326">
        <v>7.7779022197704328E-12</v>
      </c>
      <c r="R326">
        <v>6.7013902944805617</v>
      </c>
      <c r="S326">
        <v>6.7148325139077363</v>
      </c>
      <c r="T326">
        <v>1</v>
      </c>
      <c r="U326">
        <v>1.9535081127730956</v>
      </c>
    </row>
    <row r="327" spans="1:21">
      <c r="A327">
        <v>-1.4891242927864616</v>
      </c>
      <c r="B327">
        <v>-7.7318225129427195E-2</v>
      </c>
      <c r="C327">
        <v>0.40595589050832148</v>
      </c>
      <c r="D327">
        <v>0.76408076911679035</v>
      </c>
      <c r="E327">
        <v>-0.24931008545827038</v>
      </c>
      <c r="F327">
        <v>-0.31250632308932408</v>
      </c>
      <c r="G327">
        <v>0.712964557555965</v>
      </c>
      <c r="H327">
        <v>0.65733958222139466</v>
      </c>
      <c r="I327">
        <v>0.30662684802308027</v>
      </c>
      <c r="J327">
        <v>0.95383959214681513</v>
      </c>
      <c r="L327">
        <v>1.8989944458097925</v>
      </c>
      <c r="M327">
        <v>0.67208441281211639</v>
      </c>
      <c r="N327">
        <v>3.6314535189641122</v>
      </c>
      <c r="P327">
        <v>7.558980293161821E-12</v>
      </c>
      <c r="R327">
        <v>6.7013902944805617</v>
      </c>
      <c r="S327">
        <v>6.7148325139077363</v>
      </c>
      <c r="T327">
        <v>1</v>
      </c>
      <c r="U327">
        <v>1.9535081127730956</v>
      </c>
    </row>
    <row r="328" spans="1:21">
      <c r="A328">
        <v>-1.4883031914882903</v>
      </c>
      <c r="B328">
        <v>-6.8696414984583107E-2</v>
      </c>
      <c r="C328">
        <v>0.3981582077454856</v>
      </c>
      <c r="D328">
        <v>0.29968841982016797</v>
      </c>
      <c r="E328">
        <v>-0.25664849877830509</v>
      </c>
      <c r="F328">
        <v>8.726629816991012E-2</v>
      </c>
      <c r="G328">
        <v>0.23116184249098476</v>
      </c>
      <c r="H328">
        <v>0.16365478968921174</v>
      </c>
      <c r="I328">
        <v>0.37704726732828492</v>
      </c>
      <c r="J328">
        <v>0.4135168334820819</v>
      </c>
      <c r="L328">
        <v>1.8989945985527787</v>
      </c>
      <c r="M328">
        <v>0.67208443729837986</v>
      </c>
      <c r="N328">
        <v>3.6314535816281874</v>
      </c>
      <c r="P328">
        <v>7.7785231881220662E-12</v>
      </c>
      <c r="R328">
        <v>6.7013902944805617</v>
      </c>
      <c r="S328">
        <v>6.7148325139077363</v>
      </c>
      <c r="T328">
        <v>1</v>
      </c>
      <c r="U328">
        <v>1.9535081127730956</v>
      </c>
    </row>
    <row r="329" spans="1:21">
      <c r="A329">
        <v>-1.4828619131988945</v>
      </c>
      <c r="B329">
        <v>-6.2233880116472483E-2</v>
      </c>
      <c r="C329">
        <v>0.39209110182655232</v>
      </c>
      <c r="D329">
        <v>0.49972302344081659</v>
      </c>
      <c r="E329">
        <v>-0.21861840973474306</v>
      </c>
      <c r="F329">
        <v>-0.2749901022474649</v>
      </c>
      <c r="G329">
        <v>0.28793321231051866</v>
      </c>
      <c r="H329">
        <v>0.79310328931713747</v>
      </c>
      <c r="I329">
        <v>0.83929754462757022</v>
      </c>
      <c r="J329">
        <v>0.56119073847067324</v>
      </c>
      <c r="L329">
        <v>1.8989944888378667</v>
      </c>
      <c r="M329">
        <v>0.67208441347441794</v>
      </c>
      <c r="N329">
        <v>3.6314535413277236</v>
      </c>
      <c r="P329">
        <v>7.6039309388534771E-12</v>
      </c>
      <c r="R329">
        <v>6.7013902944805617</v>
      </c>
      <c r="S329">
        <v>6.7148325139077363</v>
      </c>
      <c r="T329">
        <v>1</v>
      </c>
      <c r="U329">
        <v>1.9535081127730956</v>
      </c>
    </row>
    <row r="330" spans="1:21">
      <c r="A330">
        <v>-1.4793873016631378</v>
      </c>
      <c r="B330">
        <v>-6.0538317695582607E-2</v>
      </c>
      <c r="C330">
        <v>0.37810520942487402</v>
      </c>
      <c r="D330">
        <v>8.8526137258727516E-2</v>
      </c>
      <c r="E330">
        <v>-0.51732521799136388</v>
      </c>
      <c r="F330">
        <v>-0.42968143504615536</v>
      </c>
      <c r="G330">
        <v>0.21433570751539008</v>
      </c>
      <c r="H330">
        <v>0.26005116738932832</v>
      </c>
      <c r="I330">
        <v>0.72213463916420473</v>
      </c>
      <c r="J330">
        <v>0.80240466116920306</v>
      </c>
      <c r="L330">
        <v>1.8989946100796649</v>
      </c>
      <c r="M330">
        <v>0.6720844029855233</v>
      </c>
      <c r="N330">
        <v>3.6314536316887662</v>
      </c>
      <c r="P330">
        <v>7.7983086018702918E-12</v>
      </c>
      <c r="R330">
        <v>6.7013902944805617</v>
      </c>
      <c r="S330">
        <v>6.7148325139077363</v>
      </c>
      <c r="T330">
        <v>1</v>
      </c>
      <c r="U330">
        <v>1.9535081127730956</v>
      </c>
    </row>
    <row r="331" spans="1:21">
      <c r="A331">
        <v>-1.9363662739518712</v>
      </c>
      <c r="B331">
        <v>8.9941175663049253E-2</v>
      </c>
      <c r="C331">
        <v>1.0107407333085856</v>
      </c>
      <c r="D331">
        <v>0.61100444377618557</v>
      </c>
      <c r="E331">
        <v>0.20103944733323961</v>
      </c>
      <c r="F331">
        <v>0.28044439519268588</v>
      </c>
      <c r="G331">
        <v>0.52302905529550647</v>
      </c>
      <c r="H331">
        <v>0.72646018633097886</v>
      </c>
      <c r="I331">
        <v>1.0142544737820813</v>
      </c>
      <c r="J331">
        <v>0.19768702654859927</v>
      </c>
      <c r="L331">
        <v>1.8989940757246131</v>
      </c>
      <c r="M331">
        <v>0.67208896982480326</v>
      </c>
      <c r="N331">
        <v>2.2187055005227956</v>
      </c>
      <c r="P331">
        <v>6.4716317545630392E-11</v>
      </c>
      <c r="R331">
        <v>13.883112073102259</v>
      </c>
      <c r="S331">
        <v>14.088858695576636</v>
      </c>
      <c r="T331">
        <v>1</v>
      </c>
      <c r="U331">
        <v>1.6915968764140183</v>
      </c>
    </row>
    <row r="332" spans="1:21">
      <c r="A332">
        <v>-1.9331536746738589</v>
      </c>
      <c r="B332">
        <v>8.2835440244795847E-2</v>
      </c>
      <c r="C332">
        <v>1.0235125589814129</v>
      </c>
      <c r="D332">
        <v>5.6709783162226857E-2</v>
      </c>
      <c r="E332">
        <v>7.5753925848719372E-2</v>
      </c>
      <c r="F332">
        <v>-8.8787177535768799E-2</v>
      </c>
      <c r="G332">
        <v>0.40975919726286669</v>
      </c>
      <c r="H332">
        <v>0.59586217837868782</v>
      </c>
      <c r="I332">
        <v>0.58058148793909192</v>
      </c>
      <c r="J332">
        <v>0.97798454252169909</v>
      </c>
      <c r="L332">
        <v>1.8989943354148431</v>
      </c>
      <c r="M332">
        <v>0.6720890763557098</v>
      </c>
      <c r="N332">
        <v>2.2187052030909955</v>
      </c>
      <c r="P332">
        <v>6.3324970984365861E-11</v>
      </c>
      <c r="R332">
        <v>13.883112073102259</v>
      </c>
      <c r="S332">
        <v>14.088858695576636</v>
      </c>
      <c r="T332">
        <v>1</v>
      </c>
      <c r="U332">
        <v>1.6915968764140183</v>
      </c>
    </row>
    <row r="333" spans="1:21">
      <c r="A333">
        <v>-1.9421751783711643</v>
      </c>
      <c r="B333">
        <v>8.6873083012141306E-2</v>
      </c>
      <c r="C333">
        <v>1.0319844933239675</v>
      </c>
      <c r="D333">
        <v>4.3609691193782323E-2</v>
      </c>
      <c r="E333">
        <v>0.40177776654373232</v>
      </c>
      <c r="F333">
        <v>0.37372148919318487</v>
      </c>
      <c r="G333">
        <v>0.64191467740526664</v>
      </c>
      <c r="H333">
        <v>0.66295922505207006</v>
      </c>
      <c r="I333">
        <v>0.99880459174749969</v>
      </c>
      <c r="J333">
        <v>0.89351842462539521</v>
      </c>
      <c r="L333">
        <v>1.898994650548345</v>
      </c>
      <c r="M333">
        <v>0.67208889827897711</v>
      </c>
      <c r="N333">
        <v>2.2187053653991256</v>
      </c>
      <c r="P333">
        <v>6.2049681390882258E-11</v>
      </c>
      <c r="R333">
        <v>13.883112073102259</v>
      </c>
      <c r="S333">
        <v>14.088858695576636</v>
      </c>
      <c r="T333">
        <v>1</v>
      </c>
      <c r="U333">
        <v>1.6915968764140183</v>
      </c>
    </row>
    <row r="334" spans="1:21">
      <c r="A334">
        <v>-1.8712933068658466</v>
      </c>
      <c r="B334">
        <v>8.1643411143303507E-2</v>
      </c>
      <c r="C334">
        <v>0.89964263449448301</v>
      </c>
      <c r="D334">
        <v>0.77485059344649354</v>
      </c>
      <c r="E334">
        <v>-0.66408516746328794</v>
      </c>
      <c r="F334">
        <v>-0.1967285904291885</v>
      </c>
      <c r="G334">
        <v>0.14809002598882973</v>
      </c>
      <c r="H334">
        <v>0.44486440170958869</v>
      </c>
      <c r="I334">
        <v>0.84458786161646293</v>
      </c>
      <c r="J334">
        <v>0.81280143248358139</v>
      </c>
      <c r="L334">
        <v>1.8989944054543779</v>
      </c>
      <c r="M334">
        <v>0.67208886937790524</v>
      </c>
      <c r="N334">
        <v>2.2187054250672462</v>
      </c>
      <c r="P334">
        <v>6.2327843040584345E-11</v>
      </c>
      <c r="R334">
        <v>13.883112073102259</v>
      </c>
      <c r="S334">
        <v>14.088858695576636</v>
      </c>
      <c r="T334">
        <v>1</v>
      </c>
      <c r="U334">
        <v>1.6915968764140183</v>
      </c>
    </row>
    <row r="335" spans="1:21">
      <c r="A335">
        <v>-1.9118725367321485</v>
      </c>
      <c r="B335">
        <v>8.9182779384053945E-2</v>
      </c>
      <c r="C335">
        <v>0.95365938823755347</v>
      </c>
      <c r="D335">
        <v>-0.12290584486286511</v>
      </c>
      <c r="E335">
        <v>-0.95046237881323414</v>
      </c>
      <c r="F335">
        <v>0.13395687439299969</v>
      </c>
      <c r="G335">
        <v>0.87351359704741016</v>
      </c>
      <c r="H335">
        <v>0</v>
      </c>
      <c r="I335">
        <v>0.85878464132886734</v>
      </c>
      <c r="J335">
        <v>0.14994377670942186</v>
      </c>
      <c r="L335">
        <v>1.8989951233035443</v>
      </c>
      <c r="M335">
        <v>0.67208528794015499</v>
      </c>
      <c r="N335">
        <v>2.2187017248980276</v>
      </c>
      <c r="P335">
        <v>9.640542044921143E-12</v>
      </c>
      <c r="R335">
        <v>13.883112073102259</v>
      </c>
      <c r="S335">
        <v>14.088858695576636</v>
      </c>
      <c r="T335">
        <v>1</v>
      </c>
      <c r="U335">
        <v>1.6915968764140183</v>
      </c>
    </row>
    <row r="336" spans="1:21">
      <c r="A336">
        <v>-1.8691827920724513</v>
      </c>
      <c r="B336">
        <v>8.3146246178826308E-2</v>
      </c>
      <c r="C336">
        <v>0.88743472104362686</v>
      </c>
      <c r="D336">
        <v>0.62373690641249846</v>
      </c>
      <c r="E336">
        <v>-0.17672054010404353</v>
      </c>
      <c r="F336">
        <v>-0.14008404734766972</v>
      </c>
      <c r="G336">
        <v>0</v>
      </c>
      <c r="H336">
        <v>0</v>
      </c>
      <c r="I336">
        <v>1.1577430104615316</v>
      </c>
      <c r="J336">
        <v>0.35926051898657785</v>
      </c>
      <c r="L336">
        <v>1.8989922485450366</v>
      </c>
      <c r="M336">
        <v>0.67208187799544428</v>
      </c>
      <c r="N336">
        <v>2.2187036518937968</v>
      </c>
      <c r="P336">
        <v>1.3160218935296349E-11</v>
      </c>
      <c r="R336">
        <v>13.883112073102259</v>
      </c>
      <c r="S336">
        <v>14.088858695576636</v>
      </c>
      <c r="T336">
        <v>1</v>
      </c>
      <c r="U336">
        <v>1.6915968764140183</v>
      </c>
    </row>
    <row r="337" spans="1:21">
      <c r="A337">
        <v>-1.9357564355991046</v>
      </c>
      <c r="B337">
        <v>9.2461882134197107E-2</v>
      </c>
      <c r="C337">
        <v>1.0373103398611656</v>
      </c>
      <c r="D337">
        <v>-0.67837733821926238</v>
      </c>
      <c r="E337">
        <v>2.3474062716859461E-2</v>
      </c>
      <c r="F337">
        <v>0.43394402275004645</v>
      </c>
      <c r="G337">
        <v>0.41659311315510605</v>
      </c>
      <c r="H337">
        <v>0.88356651372465955</v>
      </c>
      <c r="I337">
        <v>0.97201274204877608</v>
      </c>
      <c r="J337">
        <v>1.0461339457031191</v>
      </c>
      <c r="L337">
        <v>1.8989940456810612</v>
      </c>
      <c r="M337">
        <v>0.67208878570948594</v>
      </c>
      <c r="N337">
        <v>2.2187056133274061</v>
      </c>
      <c r="P337">
        <v>6.3318816454918443E-11</v>
      </c>
      <c r="R337">
        <v>13.883112073102259</v>
      </c>
      <c r="S337">
        <v>14.088858695576636</v>
      </c>
      <c r="T337">
        <v>1</v>
      </c>
      <c r="U337">
        <v>1.6915968764140183</v>
      </c>
    </row>
    <row r="338" spans="1:21">
      <c r="A338">
        <v>-1.884171979113364</v>
      </c>
      <c r="B338">
        <v>8.5190388053275404E-2</v>
      </c>
      <c r="C338">
        <v>0.92319130672058392</v>
      </c>
      <c r="D338">
        <v>0.41506053228181283</v>
      </c>
      <c r="E338">
        <v>-0.38885480149444707</v>
      </c>
      <c r="F338">
        <v>-0.23654739887326887</v>
      </c>
      <c r="G338">
        <v>0.28167259252708116</v>
      </c>
      <c r="H338">
        <v>0.46740587812624507</v>
      </c>
      <c r="I338">
        <v>1.0799008131915817</v>
      </c>
      <c r="J338">
        <v>0.57232385209419023</v>
      </c>
      <c r="L338">
        <v>1.8989949397357253</v>
      </c>
      <c r="M338">
        <v>0.67208862759411403</v>
      </c>
      <c r="N338">
        <v>2.2187054832296949</v>
      </c>
      <c r="P338">
        <v>5.9505730574464192E-11</v>
      </c>
      <c r="R338">
        <v>13.883112073102259</v>
      </c>
      <c r="S338">
        <v>14.088858695576636</v>
      </c>
      <c r="T338">
        <v>1</v>
      </c>
      <c r="U338">
        <v>1.6915968764140183</v>
      </c>
    </row>
    <row r="339" spans="1:21">
      <c r="A339">
        <v>-1.9261510935874731</v>
      </c>
      <c r="B339">
        <v>8.5694463862361472E-2</v>
      </c>
      <c r="C339">
        <v>0.98982936460491477</v>
      </c>
      <c r="D339">
        <v>6.9314466569176197E-2</v>
      </c>
      <c r="E339">
        <v>-0.65183577840942863</v>
      </c>
      <c r="F339">
        <v>0.51574918356620825</v>
      </c>
      <c r="G339">
        <v>0.42993306406736514</v>
      </c>
      <c r="H339">
        <v>0</v>
      </c>
      <c r="I339">
        <v>0.35116867418825143</v>
      </c>
      <c r="J339">
        <v>0.56063203012273355</v>
      </c>
      <c r="L339">
        <v>1.8989960525126175</v>
      </c>
      <c r="M339">
        <v>0.67208699879817346</v>
      </c>
      <c r="N339">
        <v>2.2186998448493318</v>
      </c>
      <c r="P339">
        <v>2.5692773290631128E-11</v>
      </c>
      <c r="R339">
        <v>13.883112073102259</v>
      </c>
      <c r="S339">
        <v>14.088858695576636</v>
      </c>
      <c r="T339">
        <v>1</v>
      </c>
      <c r="U339">
        <v>1.6915968764140183</v>
      </c>
    </row>
    <row r="340" spans="1:21">
      <c r="A340">
        <v>-1.9154290623539671</v>
      </c>
      <c r="B340">
        <v>7.6785246187310946E-2</v>
      </c>
      <c r="C340">
        <v>0.9667541096336465</v>
      </c>
      <c r="D340">
        <v>0.68222051952546781</v>
      </c>
      <c r="E340">
        <v>0.53586627146382493</v>
      </c>
      <c r="F340">
        <v>-0.58222380435987209</v>
      </c>
      <c r="G340">
        <v>0.60595735217105584</v>
      </c>
      <c r="H340">
        <v>0</v>
      </c>
      <c r="I340">
        <v>1.0028469032889831</v>
      </c>
      <c r="J340">
        <v>0.42330391500387704</v>
      </c>
      <c r="L340">
        <v>1.8989958551215795</v>
      </c>
      <c r="M340">
        <v>0.67208537244534128</v>
      </c>
      <c r="N340">
        <v>2.2186998723017246</v>
      </c>
      <c r="P340">
        <v>1.2385049467185973E-11</v>
      </c>
      <c r="R340">
        <v>13.883112073102259</v>
      </c>
      <c r="S340">
        <v>14.088858695576636</v>
      </c>
      <c r="T340">
        <v>1</v>
      </c>
      <c r="U340">
        <v>1.6915968764140183</v>
      </c>
    </row>
    <row r="341" spans="1:21">
      <c r="A341">
        <v>-1.4457874318213491</v>
      </c>
      <c r="B341">
        <v>4.7267233117070317E-2</v>
      </c>
      <c r="C341">
        <v>0.18736074918706716</v>
      </c>
      <c r="D341">
        <v>-0.60564085974634041</v>
      </c>
      <c r="E341">
        <v>8.9856407962910029E-2</v>
      </c>
      <c r="F341">
        <v>-0.36414014203063039</v>
      </c>
      <c r="G341">
        <v>0.88982483335492368</v>
      </c>
      <c r="H341">
        <v>0.76092017485703656</v>
      </c>
      <c r="I341">
        <v>0.26121891610025766</v>
      </c>
      <c r="J341">
        <v>7.8773621967135582E-2</v>
      </c>
      <c r="L341">
        <v>1.8989936669344609</v>
      </c>
      <c r="M341">
        <v>4.0793780898614527</v>
      </c>
      <c r="N341">
        <v>3.6314510945296767</v>
      </c>
      <c r="P341">
        <v>1.2097308044477914E-11</v>
      </c>
      <c r="R341">
        <v>10.942110783080427</v>
      </c>
      <c r="S341">
        <v>10.969037156132696</v>
      </c>
      <c r="T341">
        <v>1</v>
      </c>
      <c r="U341">
        <v>1.9522209609600414</v>
      </c>
    </row>
    <row r="342" spans="1:21">
      <c r="A342">
        <v>-1.4401998445958835</v>
      </c>
      <c r="B342">
        <v>5.9089912214032057E-2</v>
      </c>
      <c r="C342">
        <v>0.14405577029637892</v>
      </c>
      <c r="D342">
        <v>0.4737746819083879</v>
      </c>
      <c r="E342">
        <v>0.24724981749025368</v>
      </c>
      <c r="F342">
        <v>0.36311213193029013</v>
      </c>
      <c r="G342">
        <v>0.55343688149007064</v>
      </c>
      <c r="H342">
        <v>0.62001503521973955</v>
      </c>
      <c r="I342">
        <v>0.81853069469444906</v>
      </c>
      <c r="J342">
        <v>0.60897235075172096</v>
      </c>
      <c r="L342">
        <v>1.8989936573816255</v>
      </c>
      <c r="M342">
        <v>4.0793781388099051</v>
      </c>
      <c r="N342">
        <v>3.6314511376351937</v>
      </c>
      <c r="P342">
        <v>1.2368887262163092E-11</v>
      </c>
      <c r="R342">
        <v>10.942110783080427</v>
      </c>
      <c r="S342">
        <v>10.969037156132696</v>
      </c>
      <c r="T342">
        <v>1</v>
      </c>
      <c r="U342">
        <v>1.9522209609600414</v>
      </c>
    </row>
    <row r="343" spans="1:21">
      <c r="A343">
        <v>-1.4392198460336589</v>
      </c>
      <c r="B343">
        <v>7.1583523771208038E-2</v>
      </c>
      <c r="C343">
        <v>0.11947566855666004</v>
      </c>
      <c r="D343">
        <v>-0.32100293516211609</v>
      </c>
      <c r="E343">
        <v>-0.1561898845429732</v>
      </c>
      <c r="F343">
        <v>9.6374767467509267E-2</v>
      </c>
      <c r="G343">
        <v>0.91780548301676101</v>
      </c>
      <c r="H343">
        <v>0.11749119220474562</v>
      </c>
      <c r="I343">
        <v>0.98815809622723039</v>
      </c>
      <c r="J343">
        <v>0.112662770713576</v>
      </c>
      <c r="L343">
        <v>1.8989936455043275</v>
      </c>
      <c r="M343">
        <v>4.0793781729093315</v>
      </c>
      <c r="N343">
        <v>3.6314511704892656</v>
      </c>
      <c r="P343">
        <v>1.2571745678836312E-11</v>
      </c>
      <c r="R343">
        <v>10.942110783080427</v>
      </c>
      <c r="S343">
        <v>10.969037156132696</v>
      </c>
      <c r="T343">
        <v>1</v>
      </c>
      <c r="U343">
        <v>1.9522209609600414</v>
      </c>
    </row>
    <row r="344" spans="1:21">
      <c r="A344">
        <v>-1.4428684987354012</v>
      </c>
      <c r="B344">
        <v>4.054581675377824E-2</v>
      </c>
      <c r="C344">
        <v>0.17868951165868857</v>
      </c>
      <c r="D344">
        <v>-0.30581025107078819</v>
      </c>
      <c r="E344">
        <v>-2.1454565392614863E-2</v>
      </c>
      <c r="F344">
        <v>-0.60184420981808862</v>
      </c>
      <c r="G344">
        <v>0.63823148572740274</v>
      </c>
      <c r="H344">
        <v>0.33713652123990256</v>
      </c>
      <c r="I344">
        <v>0.27953205540409065</v>
      </c>
      <c r="J344">
        <v>0.52061000192984463</v>
      </c>
      <c r="L344">
        <v>1.8989936630245152</v>
      </c>
      <c r="M344">
        <v>4.0793781024002396</v>
      </c>
      <c r="N344">
        <v>3.6314511159834728</v>
      </c>
      <c r="P344">
        <v>1.2153742724936339E-11</v>
      </c>
      <c r="R344">
        <v>10.942110783080427</v>
      </c>
      <c r="S344">
        <v>10.969037156132696</v>
      </c>
      <c r="T344">
        <v>1</v>
      </c>
      <c r="U344">
        <v>1.9522209609600414</v>
      </c>
    </row>
    <row r="345" spans="1:21">
      <c r="A345">
        <v>-1.436830962490607</v>
      </c>
      <c r="B345">
        <v>6.4627916865671653E-2</v>
      </c>
      <c r="C345">
        <v>0.12676699632518887</v>
      </c>
      <c r="D345">
        <v>0.39386433565632789</v>
      </c>
      <c r="E345">
        <v>-0.59673765124692102</v>
      </c>
      <c r="F345">
        <v>-0.31356209118456169</v>
      </c>
      <c r="G345">
        <v>0.87584689058838971</v>
      </c>
      <c r="H345">
        <v>0.66707912525230562</v>
      </c>
      <c r="I345">
        <v>0.91801967655111405</v>
      </c>
      <c r="J345">
        <v>0.49949898442447455</v>
      </c>
      <c r="L345">
        <v>1.8989936217541947</v>
      </c>
      <c r="M345">
        <v>4.0793781368829158</v>
      </c>
      <c r="N345">
        <v>3.6314511677101238</v>
      </c>
      <c r="P345">
        <v>1.2399169388622783E-11</v>
      </c>
      <c r="R345">
        <v>10.942110783080427</v>
      </c>
      <c r="S345">
        <v>10.969037156132696</v>
      </c>
      <c r="T345">
        <v>1</v>
      </c>
      <c r="U345">
        <v>1.9522209609600414</v>
      </c>
    </row>
    <row r="346" spans="1:21">
      <c r="A346">
        <v>-1.4428826610868151</v>
      </c>
      <c r="B346">
        <v>4.6218947028045715E-2</v>
      </c>
      <c r="C346">
        <v>0.1610988244354884</v>
      </c>
      <c r="D346">
        <v>0.57428187391616248</v>
      </c>
      <c r="E346">
        <v>4.6310579964931476E-3</v>
      </c>
      <c r="F346">
        <v>-0.60561542902155752</v>
      </c>
      <c r="G346">
        <v>0.97728314092305735</v>
      </c>
      <c r="H346">
        <v>0.82853628786190237</v>
      </c>
      <c r="I346">
        <v>0.54422805281916187</v>
      </c>
      <c r="J346">
        <v>0.52669150572159185</v>
      </c>
      <c r="L346">
        <v>1.8989935738759554</v>
      </c>
      <c r="M346">
        <v>4.0793781283643726</v>
      </c>
      <c r="N346">
        <v>3.6314512334585074</v>
      </c>
      <c r="P346">
        <v>1.2375755367896294E-11</v>
      </c>
      <c r="R346">
        <v>10.942110783080427</v>
      </c>
      <c r="S346">
        <v>10.969037156132696</v>
      </c>
      <c r="T346">
        <v>1</v>
      </c>
      <c r="U346">
        <v>1.9522209609600414</v>
      </c>
    </row>
    <row r="347" spans="1:21">
      <c r="A347">
        <v>-1.4403338146854596</v>
      </c>
      <c r="B347">
        <v>5.8957901074574132E-2</v>
      </c>
      <c r="C347">
        <v>0.12993128541909787</v>
      </c>
      <c r="D347">
        <v>0.21386574121639271</v>
      </c>
      <c r="E347">
        <v>5.1377326193138735E-2</v>
      </c>
      <c r="F347">
        <v>0.25543086602094106</v>
      </c>
      <c r="G347">
        <v>0.68851923643741364</v>
      </c>
      <c r="H347">
        <v>1.5215732335125551E-2</v>
      </c>
      <c r="I347">
        <v>0.72296658063725572</v>
      </c>
      <c r="J347">
        <v>0.66842344121177444</v>
      </c>
      <c r="L347">
        <v>1.8989936812872992</v>
      </c>
      <c r="M347">
        <v>4.0793781398229427</v>
      </c>
      <c r="N347">
        <v>3.6314510951798473</v>
      </c>
      <c r="P347">
        <v>1.2383105377561499E-11</v>
      </c>
      <c r="R347">
        <v>10.942110783080427</v>
      </c>
      <c r="S347">
        <v>10.969037156132696</v>
      </c>
      <c r="T347">
        <v>1</v>
      </c>
      <c r="U347">
        <v>1.9522209609600414</v>
      </c>
    </row>
    <row r="348" spans="1:21">
      <c r="A348">
        <v>-1.4387566100600044</v>
      </c>
      <c r="B348">
        <v>6.0889104350665371E-2</v>
      </c>
      <c r="C348">
        <v>0.13485294967313174</v>
      </c>
      <c r="D348">
        <v>0.12018148588672495</v>
      </c>
      <c r="E348">
        <v>0.10015653571519709</v>
      </c>
      <c r="F348">
        <v>7.5085104369815664E-2</v>
      </c>
      <c r="G348">
        <v>0.44707235044130067</v>
      </c>
      <c r="H348">
        <v>0.14593626440953408</v>
      </c>
      <c r="I348">
        <v>0.81599831160036318</v>
      </c>
      <c r="J348">
        <v>0.35781220861198804</v>
      </c>
      <c r="L348">
        <v>1.8989936636326605</v>
      </c>
      <c r="M348">
        <v>4.0793781216263367</v>
      </c>
      <c r="N348">
        <v>3.6314511028144039</v>
      </c>
      <c r="P348">
        <v>1.2295435965328664E-11</v>
      </c>
      <c r="R348">
        <v>10.942110783080427</v>
      </c>
      <c r="S348">
        <v>10.969037156132696</v>
      </c>
      <c r="T348">
        <v>1</v>
      </c>
      <c r="U348">
        <v>1.9522209609600414</v>
      </c>
    </row>
    <row r="349" spans="1:21">
      <c r="A349">
        <v>-1.4401185045322522</v>
      </c>
      <c r="B349">
        <v>5.455088935113394E-2</v>
      </c>
      <c r="C349">
        <v>0.16577107061352486</v>
      </c>
      <c r="D349">
        <v>0.12214322301183118</v>
      </c>
      <c r="E349">
        <v>0.4117182952580889</v>
      </c>
      <c r="F349">
        <v>0.72293687103713544</v>
      </c>
      <c r="G349">
        <v>1.4497797710450832E-2</v>
      </c>
      <c r="H349">
        <v>0.55124771240151549</v>
      </c>
      <c r="I349">
        <v>0.56942279272040952</v>
      </c>
      <c r="J349">
        <v>0.65871084550525372</v>
      </c>
      <c r="L349">
        <v>1.8989936526031734</v>
      </c>
      <c r="M349">
        <v>4.0793780851655468</v>
      </c>
      <c r="N349">
        <v>3.6314511007657986</v>
      </c>
      <c r="P349">
        <v>1.2091755613347865E-11</v>
      </c>
      <c r="R349">
        <v>10.942110783080427</v>
      </c>
      <c r="S349">
        <v>10.969037156132696</v>
      </c>
      <c r="T349">
        <v>1</v>
      </c>
      <c r="U349">
        <v>1.9522209609600414</v>
      </c>
    </row>
    <row r="350" spans="1:21">
      <c r="A350">
        <v>-1.4403608831881325</v>
      </c>
      <c r="B350">
        <v>6.504179355259615E-2</v>
      </c>
      <c r="C350">
        <v>0.13879129992384667</v>
      </c>
      <c r="D350">
        <v>0.26240719711407751</v>
      </c>
      <c r="E350">
        <v>0.153659697876844</v>
      </c>
      <c r="F350">
        <v>0.22335300474304778</v>
      </c>
      <c r="G350">
        <v>0.72529761996008713</v>
      </c>
      <c r="H350">
        <v>0.6862251018839628</v>
      </c>
      <c r="I350">
        <v>0.90440158560694373</v>
      </c>
      <c r="J350">
        <v>0.24541226437478889</v>
      </c>
      <c r="L350">
        <v>1.8989936068224464</v>
      </c>
      <c r="M350">
        <v>4.079378141591306</v>
      </c>
      <c r="N350">
        <v>3.6314511920738552</v>
      </c>
      <c r="P350">
        <v>1.2432768327887744E-11</v>
      </c>
      <c r="R350">
        <v>10.942110783080427</v>
      </c>
      <c r="S350">
        <v>10.969037156132696</v>
      </c>
      <c r="T350">
        <v>1</v>
      </c>
      <c r="U350">
        <v>1.9522209609600414</v>
      </c>
    </row>
    <row r="351" spans="1:21">
      <c r="A351">
        <v>-1.4513923814181078</v>
      </c>
      <c r="B351">
        <v>0.12309373635568462</v>
      </c>
      <c r="C351">
        <v>9.6834017849490639E-2</v>
      </c>
      <c r="D351">
        <v>4.2767440807298052E-2</v>
      </c>
      <c r="E351">
        <v>0.78050086765984106</v>
      </c>
      <c r="F351">
        <v>0.4848723789464951</v>
      </c>
      <c r="G351">
        <v>0.56969014508991711</v>
      </c>
      <c r="H351">
        <v>0.94846182694638259</v>
      </c>
      <c r="I351">
        <v>0.27117652881796239</v>
      </c>
      <c r="J351">
        <v>0.61184907883803274</v>
      </c>
      <c r="L351">
        <v>1.8989958906009987</v>
      </c>
      <c r="M351">
        <v>4.0793765451453119</v>
      </c>
      <c r="N351">
        <v>2.2187015922411715</v>
      </c>
      <c r="P351">
        <v>3.977093272027681E-12</v>
      </c>
      <c r="R351">
        <v>4.4447880023870185</v>
      </c>
      <c r="S351">
        <v>4.4471433415054369</v>
      </c>
      <c r="T351">
        <v>1</v>
      </c>
      <c r="U351">
        <v>1.6886687167142138</v>
      </c>
    </row>
    <row r="352" spans="1:21">
      <c r="A352">
        <v>-1.4465093286344766</v>
      </c>
      <c r="B352">
        <v>0.11646568251352354</v>
      </c>
      <c r="C352">
        <v>7.1027943655214962E-2</v>
      </c>
      <c r="D352">
        <v>-8.2696718803100221E-3</v>
      </c>
      <c r="E352">
        <v>0.29792047444359138</v>
      </c>
      <c r="F352">
        <v>-2.2938980758220259E-2</v>
      </c>
      <c r="G352">
        <v>0.61986931003223489</v>
      </c>
      <c r="H352">
        <v>2.2069349970369984E-2</v>
      </c>
      <c r="I352">
        <v>0.45693026960631772</v>
      </c>
      <c r="J352">
        <v>0.14481807726838594</v>
      </c>
      <c r="L352">
        <v>1.8989957728337234</v>
      </c>
      <c r="M352">
        <v>4.0793764690465153</v>
      </c>
      <c r="N352">
        <v>2.218701927144096</v>
      </c>
      <c r="P352">
        <v>3.9136676793706254E-12</v>
      </c>
      <c r="R352">
        <v>4.4447880023870185</v>
      </c>
      <c r="S352">
        <v>4.4471433415054369</v>
      </c>
      <c r="T352">
        <v>1</v>
      </c>
      <c r="U352">
        <v>1.6886687167142138</v>
      </c>
    </row>
    <row r="353" spans="1:21">
      <c r="A353">
        <v>-1.4466756375482765</v>
      </c>
      <c r="B353">
        <v>0.11540279706621666</v>
      </c>
      <c r="C353">
        <v>7.6310112669641036E-2</v>
      </c>
      <c r="D353">
        <v>-0.30860844946349142</v>
      </c>
      <c r="E353">
        <v>-2.017353441888552E-2</v>
      </c>
      <c r="F353">
        <v>-0.74517920180798791</v>
      </c>
      <c r="G353">
        <v>0.91193980165480404</v>
      </c>
      <c r="H353">
        <v>0.16248663479940764</v>
      </c>
      <c r="I353">
        <v>0.4402277710322301</v>
      </c>
      <c r="J353">
        <v>9.1759977348314314E-2</v>
      </c>
      <c r="L353">
        <v>1.8989957463029248</v>
      </c>
      <c r="M353">
        <v>4.0793764648750486</v>
      </c>
      <c r="N353">
        <v>2.2187019715881928</v>
      </c>
      <c r="P353">
        <v>3.9236496358399381E-12</v>
      </c>
      <c r="R353">
        <v>4.4447880023870185</v>
      </c>
      <c r="S353">
        <v>4.4471433415054369</v>
      </c>
      <c r="T353">
        <v>1</v>
      </c>
      <c r="U353">
        <v>1.6886687167142138</v>
      </c>
    </row>
    <row r="354" spans="1:21">
      <c r="A354">
        <v>-1.4420778181735043</v>
      </c>
      <c r="B354">
        <v>0.11154502845382945</v>
      </c>
      <c r="C354">
        <v>9.030101882725397E-2</v>
      </c>
      <c r="D354">
        <v>-0.5664700745223995</v>
      </c>
      <c r="E354">
        <v>0.22970679116217144</v>
      </c>
      <c r="F354">
        <v>-0.31584899958913593</v>
      </c>
      <c r="G354">
        <v>0.23521850593996765</v>
      </c>
      <c r="H354">
        <v>0.10727547920742445</v>
      </c>
      <c r="I354">
        <v>0.70526099994447966</v>
      </c>
      <c r="J354">
        <v>0.94228634250261101</v>
      </c>
      <c r="L354">
        <v>1.8989957965118889</v>
      </c>
      <c r="M354">
        <v>4.0793764722618056</v>
      </c>
      <c r="N354">
        <v>2.2187018807626888</v>
      </c>
      <c r="P354">
        <v>3.897776483877207E-12</v>
      </c>
      <c r="R354">
        <v>4.4447880023870185</v>
      </c>
      <c r="S354">
        <v>4.4471433415054369</v>
      </c>
      <c r="T354">
        <v>1</v>
      </c>
      <c r="U354">
        <v>1.6886687167142138</v>
      </c>
    </row>
    <row r="355" spans="1:21">
      <c r="A355">
        <v>-1.4400524763033533</v>
      </c>
      <c r="B355">
        <v>0.10848895073384938</v>
      </c>
      <c r="C355">
        <v>7.4867126606450313E-2</v>
      </c>
      <c r="D355">
        <v>0.2709247640433084</v>
      </c>
      <c r="E355">
        <v>0.13216142595165609</v>
      </c>
      <c r="F355">
        <v>-0.26899731874116634</v>
      </c>
      <c r="G355">
        <v>0.20400205858539217</v>
      </c>
      <c r="H355">
        <v>8.8758338644200671E-2</v>
      </c>
      <c r="I355">
        <v>0.79541485223310127</v>
      </c>
      <c r="J355">
        <v>0.74802619152856586</v>
      </c>
      <c r="L355">
        <v>1.898995704645281</v>
      </c>
      <c r="M355">
        <v>4.079376445467382</v>
      </c>
      <c r="N355">
        <v>2.2187020162903139</v>
      </c>
      <c r="P355">
        <v>3.8661098422603241E-12</v>
      </c>
      <c r="R355">
        <v>4.4447880023870185</v>
      </c>
      <c r="S355">
        <v>4.4471433415054369</v>
      </c>
      <c r="T355">
        <v>1</v>
      </c>
      <c r="U355">
        <v>1.6886687167142138</v>
      </c>
    </row>
    <row r="356" spans="1:21">
      <c r="A356">
        <v>-1.4464776567075919</v>
      </c>
      <c r="B356">
        <v>0.11912529474250863</v>
      </c>
      <c r="C356">
        <v>6.3201704456072871E-2</v>
      </c>
      <c r="D356">
        <v>0.48774801942143275</v>
      </c>
      <c r="E356">
        <v>-0.22570056860781326</v>
      </c>
      <c r="F356">
        <v>0.39587818625958943</v>
      </c>
      <c r="G356">
        <v>0.86915443951669158</v>
      </c>
      <c r="H356">
        <v>0.39487173114394397</v>
      </c>
      <c r="I356">
        <v>0.2938936903091281</v>
      </c>
      <c r="J356">
        <v>0.20196835715298495</v>
      </c>
      <c r="L356">
        <v>1.8989958643610858</v>
      </c>
      <c r="M356">
        <v>4.0793765063230634</v>
      </c>
      <c r="N356">
        <v>2.2187017342466042</v>
      </c>
      <c r="P356">
        <v>3.9448880195848111E-12</v>
      </c>
      <c r="R356">
        <v>4.4447880023870185</v>
      </c>
      <c r="S356">
        <v>4.4471433415054369</v>
      </c>
      <c r="T356">
        <v>1</v>
      </c>
      <c r="U356">
        <v>1.6886687167142138</v>
      </c>
    </row>
    <row r="357" spans="1:21">
      <c r="A357">
        <v>-1.4424659873640966</v>
      </c>
      <c r="B357">
        <v>0.12435400694862447</v>
      </c>
      <c r="C357">
        <v>9.608032627247523E-2</v>
      </c>
      <c r="D357">
        <v>-0.96282554831889777</v>
      </c>
      <c r="E357">
        <v>-6.6435768663347841E-2</v>
      </c>
      <c r="F357">
        <v>-0.56893124989464328</v>
      </c>
      <c r="G357">
        <v>0.25902672703879254</v>
      </c>
      <c r="H357">
        <v>0.64905977419924954</v>
      </c>
      <c r="I357">
        <v>0.62364990266281228</v>
      </c>
      <c r="J357">
        <v>0.12671836507498169</v>
      </c>
      <c r="L357">
        <v>1.8989957636592225</v>
      </c>
      <c r="M357">
        <v>4.0793764585736758</v>
      </c>
      <c r="N357">
        <v>2.2187019253505165</v>
      </c>
      <c r="P357">
        <v>3.861305440556205E-12</v>
      </c>
      <c r="R357">
        <v>4.4447880023870185</v>
      </c>
      <c r="S357">
        <v>4.4471433415054369</v>
      </c>
      <c r="T357">
        <v>1</v>
      </c>
      <c r="U357">
        <v>1.6886687167142138</v>
      </c>
    </row>
    <row r="358" spans="1:21">
      <c r="A358">
        <v>-1.4453072050242475</v>
      </c>
      <c r="B358">
        <v>0.1148732942603142</v>
      </c>
      <c r="C358">
        <v>9.7772493781153158E-2</v>
      </c>
      <c r="D358">
        <v>-9.4732017593733966E-2</v>
      </c>
      <c r="E358">
        <v>-0.29880908381195981</v>
      </c>
      <c r="F358">
        <v>-0.24227356261197486</v>
      </c>
      <c r="G358">
        <v>0.37766570884655737</v>
      </c>
      <c r="H358">
        <v>0.75400550464741134</v>
      </c>
      <c r="I358">
        <v>0.10149763101644196</v>
      </c>
      <c r="J358">
        <v>0.92732752015740216</v>
      </c>
      <c r="L358">
        <v>1.8989956144087394</v>
      </c>
      <c r="M358">
        <v>4.0793764132379771</v>
      </c>
      <c r="N358">
        <v>2.2187020775580972</v>
      </c>
      <c r="P358">
        <v>3.7313695496012402E-12</v>
      </c>
      <c r="R358">
        <v>4.4447880023870185</v>
      </c>
      <c r="S358">
        <v>4.4471433415054369</v>
      </c>
      <c r="T358">
        <v>1</v>
      </c>
      <c r="U358">
        <v>1.6886687167142138</v>
      </c>
    </row>
    <row r="359" spans="1:21">
      <c r="A359">
        <v>-1.4416305318092713</v>
      </c>
      <c r="B359">
        <v>0.12173641757755486</v>
      </c>
      <c r="C359">
        <v>7.9674718973317737E-2</v>
      </c>
      <c r="D359">
        <v>0.20871589472609936</v>
      </c>
      <c r="E359">
        <v>8.9185690384908908E-2</v>
      </c>
      <c r="F359">
        <v>0.37297542804754164</v>
      </c>
      <c r="G359">
        <v>0.45074363565486808</v>
      </c>
      <c r="H359">
        <v>0.93349685842685071</v>
      </c>
      <c r="I359">
        <v>0.8952647516039598</v>
      </c>
      <c r="J359">
        <v>0.61489382382761559</v>
      </c>
      <c r="L359">
        <v>1.8989959137322709</v>
      </c>
      <c r="M359">
        <v>4.0793765925409433</v>
      </c>
      <c r="N359">
        <v>2.2187015827274892</v>
      </c>
      <c r="P359">
        <v>4.1750087201430786E-12</v>
      </c>
      <c r="R359">
        <v>4.4447880023870185</v>
      </c>
      <c r="S359">
        <v>4.4471433415054369</v>
      </c>
      <c r="T359">
        <v>1</v>
      </c>
      <c r="U359">
        <v>1.6886687167142138</v>
      </c>
    </row>
    <row r="360" spans="1:21">
      <c r="A360">
        <v>-1.4442489311694373</v>
      </c>
      <c r="B360">
        <v>0.11227097068699375</v>
      </c>
      <c r="C360">
        <v>6.3998460007256092E-2</v>
      </c>
      <c r="D360">
        <v>0.57019342842526943</v>
      </c>
      <c r="E360">
        <v>-0.39397361368333444</v>
      </c>
      <c r="F360">
        <v>0.51777176501682121</v>
      </c>
      <c r="G360">
        <v>0.66028642958319217</v>
      </c>
      <c r="H360">
        <v>0.14425052928527382</v>
      </c>
      <c r="I360">
        <v>0.24547604521458524</v>
      </c>
      <c r="J360">
        <v>0.75538225793902736</v>
      </c>
      <c r="L360">
        <v>1.8989959162795627</v>
      </c>
      <c r="M360">
        <v>4.0793765842682941</v>
      </c>
      <c r="N360">
        <v>2.2187015851503329</v>
      </c>
      <c r="P360">
        <v>4.154820632371125E-12</v>
      </c>
      <c r="R360">
        <v>4.4447880023870185</v>
      </c>
      <c r="S360">
        <v>4.4471433415054369</v>
      </c>
      <c r="T360">
        <v>1</v>
      </c>
      <c r="U360">
        <v>1.6886687167142138</v>
      </c>
    </row>
    <row r="361" spans="1:21">
      <c r="A361">
        <v>-1.4154491556875224</v>
      </c>
      <c r="B361">
        <v>0.11605282683613129</v>
      </c>
      <c r="C361">
        <v>2.9909485288019462E-2</v>
      </c>
      <c r="D361">
        <v>-0.33238407772460049</v>
      </c>
      <c r="E361">
        <v>-0.18260698104091777</v>
      </c>
      <c r="F361">
        <v>0.19231450399510053</v>
      </c>
      <c r="G361">
        <v>0.49874802483630232</v>
      </c>
      <c r="H361">
        <v>0.25517692261580582</v>
      </c>
      <c r="I361">
        <v>0.38226013007123827</v>
      </c>
      <c r="J361">
        <v>1.0001040712313527</v>
      </c>
      <c r="L361">
        <v>1.8989964836754671</v>
      </c>
      <c r="M361">
        <v>3.6314530182688527</v>
      </c>
      <c r="N361">
        <v>2.218701772333425</v>
      </c>
      <c r="P361">
        <v>4.4136584991833299E-12</v>
      </c>
      <c r="R361">
        <v>4.5839562477202325</v>
      </c>
      <c r="S361">
        <v>4.5861496106463111</v>
      </c>
      <c r="T361">
        <v>1</v>
      </c>
      <c r="U361">
        <v>1.9595875542164909</v>
      </c>
    </row>
    <row r="362" spans="1:21">
      <c r="A362">
        <v>-1.4227611353131084</v>
      </c>
      <c r="B362">
        <v>0.10776586448301879</v>
      </c>
      <c r="C362">
        <v>2.8389334718844896E-2</v>
      </c>
      <c r="D362">
        <v>0.4159619665180172</v>
      </c>
      <c r="E362">
        <v>0.28025130037350876</v>
      </c>
      <c r="F362">
        <v>-0.87773162995029375</v>
      </c>
      <c r="G362">
        <v>0.94521700957101873</v>
      </c>
      <c r="H362">
        <v>0.16699393976452709</v>
      </c>
      <c r="I362">
        <v>0.69053105016400262</v>
      </c>
      <c r="J362">
        <v>0.52951231868641235</v>
      </c>
      <c r="L362">
        <v>1.8989966295780507</v>
      </c>
      <c r="M362">
        <v>3.6314531214409258</v>
      </c>
      <c r="N362">
        <v>2.2187013244436251</v>
      </c>
      <c r="P362">
        <v>4.7991913715273955E-12</v>
      </c>
      <c r="R362">
        <v>4.5839562477202325</v>
      </c>
      <c r="S362">
        <v>4.5861496106463111</v>
      </c>
      <c r="T362">
        <v>1</v>
      </c>
      <c r="U362">
        <v>1.9595875542164909</v>
      </c>
    </row>
    <row r="363" spans="1:21">
      <c r="A363">
        <v>-1.4055826934214508</v>
      </c>
      <c r="B363">
        <v>0.12289445301338683</v>
      </c>
      <c r="C363">
        <v>4.1913695619049856E-3</v>
      </c>
      <c r="D363">
        <v>-0.30676135907375979</v>
      </c>
      <c r="E363">
        <v>-0.4603247537193228</v>
      </c>
      <c r="F363">
        <v>0.3556698190258385</v>
      </c>
      <c r="G363">
        <v>0.19131591658354805</v>
      </c>
      <c r="H363">
        <v>9.2685469516136848E-2</v>
      </c>
      <c r="I363">
        <v>0.94924265373886585</v>
      </c>
      <c r="J363">
        <v>0.23112212210558056</v>
      </c>
      <c r="L363">
        <v>1.8989965819508929</v>
      </c>
      <c r="M363">
        <v>3.6314529987587987</v>
      </c>
      <c r="N363">
        <v>2.2187016174407495</v>
      </c>
      <c r="P363">
        <v>4.5305186812609575E-12</v>
      </c>
      <c r="R363">
        <v>4.5839562477202325</v>
      </c>
      <c r="S363">
        <v>4.5861496106463111</v>
      </c>
      <c r="T363">
        <v>1</v>
      </c>
      <c r="U363">
        <v>1.9595875542164909</v>
      </c>
    </row>
    <row r="364" spans="1:21">
      <c r="A364">
        <v>-1.4207958546110759</v>
      </c>
      <c r="B364">
        <v>0.1140078694688933</v>
      </c>
      <c r="C364">
        <v>3.7179317828250381E-2</v>
      </c>
      <c r="D364">
        <v>-0.26497434931485192</v>
      </c>
      <c r="E364">
        <v>0.43023741115362002</v>
      </c>
      <c r="F364">
        <v>-0.45429094379630391</v>
      </c>
      <c r="G364">
        <v>0.76946615447847688</v>
      </c>
      <c r="H364">
        <v>0.31480590187407992</v>
      </c>
      <c r="I364">
        <v>0.52104982547078738</v>
      </c>
      <c r="J364">
        <v>0.74857336028017796</v>
      </c>
      <c r="L364">
        <v>1.8989957147396685</v>
      </c>
      <c r="M364">
        <v>3.6314530400837333</v>
      </c>
      <c r="N364">
        <v>2.2187020514166784</v>
      </c>
      <c r="P364">
        <v>2.9606236422160516E-12</v>
      </c>
      <c r="R364">
        <v>4.5839562477202325</v>
      </c>
      <c r="S364">
        <v>4.5861496106463111</v>
      </c>
      <c r="T364">
        <v>1</v>
      </c>
      <c r="U364">
        <v>1.9595875542164909</v>
      </c>
    </row>
    <row r="365" spans="1:21">
      <c r="A365">
        <v>-1.4179977437541456</v>
      </c>
      <c r="B365">
        <v>0.114752244195842</v>
      </c>
      <c r="C365">
        <v>3.8889401864277681E-2</v>
      </c>
      <c r="D365">
        <v>0.16300977506807038</v>
      </c>
      <c r="E365">
        <v>0.23467973585648111</v>
      </c>
      <c r="F365">
        <v>-3.771546110271934E-4</v>
      </c>
      <c r="G365">
        <v>0.28200586367806368</v>
      </c>
      <c r="H365">
        <v>0.52874876410506477</v>
      </c>
      <c r="I365">
        <v>0.22224862773862883</v>
      </c>
      <c r="J365">
        <v>0.90702365352563274</v>
      </c>
      <c r="L365">
        <v>1.8989963463706312</v>
      </c>
      <c r="M365">
        <v>3.631452997375257</v>
      </c>
      <c r="N365">
        <v>2.218701851916661</v>
      </c>
      <c r="P365">
        <v>4.04060946706314E-12</v>
      </c>
      <c r="R365">
        <v>4.5839562477202325</v>
      </c>
      <c r="S365">
        <v>4.5861496106463111</v>
      </c>
      <c r="T365">
        <v>1</v>
      </c>
      <c r="U365">
        <v>1.9595875542164909</v>
      </c>
    </row>
    <row r="366" spans="1:21">
      <c r="A366">
        <v>-1.4262832240572199</v>
      </c>
      <c r="B366">
        <v>0.10739544045429801</v>
      </c>
      <c r="C366">
        <v>3.2547080032048689E-2</v>
      </c>
      <c r="D366">
        <v>0.48027839339935069</v>
      </c>
      <c r="E366">
        <v>0.28495646427680682</v>
      </c>
      <c r="F366">
        <v>-0.32640069166589125</v>
      </c>
      <c r="G366">
        <v>0.80504760964602873</v>
      </c>
      <c r="H366">
        <v>6.5467721814939945E-3</v>
      </c>
      <c r="I366">
        <v>2.0373549554408239E-2</v>
      </c>
      <c r="J366">
        <v>0.74040473215123503</v>
      </c>
      <c r="L366">
        <v>1.898994949117504</v>
      </c>
      <c r="M366">
        <v>3.6314534395626334</v>
      </c>
      <c r="N366">
        <v>2.2187018793321851</v>
      </c>
      <c r="P366">
        <v>3.0248194140716481E-12</v>
      </c>
      <c r="R366">
        <v>4.5839562477202325</v>
      </c>
      <c r="S366">
        <v>4.5861496106463111</v>
      </c>
      <c r="T366">
        <v>1</v>
      </c>
      <c r="U366">
        <v>1.9595875542164909</v>
      </c>
    </row>
    <row r="367" spans="1:21">
      <c r="A367">
        <v>-1.4136061686284416</v>
      </c>
      <c r="B367">
        <v>0.11735097560822849</v>
      </c>
      <c r="C367">
        <v>3.6131015497053082E-2</v>
      </c>
      <c r="D367">
        <v>5.6321542337237879E-2</v>
      </c>
      <c r="E367">
        <v>-0.49865846508795647</v>
      </c>
      <c r="F367">
        <v>-0.76358390063394066</v>
      </c>
      <c r="G367">
        <v>0.49832419591033172</v>
      </c>
      <c r="H367">
        <v>0.93156274202889466</v>
      </c>
      <c r="I367">
        <v>0.26933265653780813</v>
      </c>
      <c r="J367">
        <v>0.56956757242304779</v>
      </c>
      <c r="L367">
        <v>1.8989966276854768</v>
      </c>
      <c r="M367">
        <v>3.6314530544990213</v>
      </c>
      <c r="N367">
        <v>2.2187016186315041</v>
      </c>
      <c r="P367">
        <v>4.8220840456532163E-12</v>
      </c>
      <c r="R367">
        <v>4.5839562477202325</v>
      </c>
      <c r="S367">
        <v>4.5861496106463111</v>
      </c>
      <c r="T367">
        <v>1</v>
      </c>
      <c r="U367">
        <v>1.9595875542164909</v>
      </c>
    </row>
    <row r="368" spans="1:21">
      <c r="A368">
        <v>-1.4171454878700085</v>
      </c>
      <c r="B368">
        <v>0.11487499332904601</v>
      </c>
      <c r="C368">
        <v>2.8791515181805557E-2</v>
      </c>
      <c r="D368">
        <v>-8.9381971747468217E-2</v>
      </c>
      <c r="E368">
        <v>-0.48378909481155014</v>
      </c>
      <c r="F368">
        <v>-0.59119538065871013</v>
      </c>
      <c r="G368">
        <v>0.92633224601336039</v>
      </c>
      <c r="H368">
        <v>0.53167204782582878</v>
      </c>
      <c r="I368">
        <v>0.35217063200406495</v>
      </c>
      <c r="J368">
        <v>0.68119067323801474</v>
      </c>
      <c r="L368">
        <v>1.8989954361610382</v>
      </c>
      <c r="M368">
        <v>3.6314535158845338</v>
      </c>
      <c r="N368">
        <v>2.2187016700852595</v>
      </c>
      <c r="P368">
        <v>3.3475034263865821E-12</v>
      </c>
      <c r="R368">
        <v>4.5839562477202325</v>
      </c>
      <c r="S368">
        <v>4.5861496106463111</v>
      </c>
      <c r="T368">
        <v>1</v>
      </c>
      <c r="U368">
        <v>1.9595875542164909</v>
      </c>
    </row>
    <row r="369" spans="1:21">
      <c r="A369">
        <v>-1.4089821984493396</v>
      </c>
      <c r="B369">
        <v>0.12966515567191039</v>
      </c>
      <c r="C369">
        <v>1.6682176876588087E-2</v>
      </c>
      <c r="D369">
        <v>-0.21418758598841689</v>
      </c>
      <c r="E369">
        <v>0.15197071878077548</v>
      </c>
      <c r="F369">
        <v>0.48190907299295366</v>
      </c>
      <c r="G369">
        <v>0.32181714537690359</v>
      </c>
      <c r="H369">
        <v>0.80502097819744189</v>
      </c>
      <c r="I369">
        <v>0.64856694251253766</v>
      </c>
      <c r="J369">
        <v>0.18846745933246761</v>
      </c>
      <c r="L369">
        <v>1.8989965470533026</v>
      </c>
      <c r="M369">
        <v>3.6314530139627048</v>
      </c>
      <c r="N369">
        <v>2.2187017129202373</v>
      </c>
      <c r="P369">
        <v>4.5446059606128016E-12</v>
      </c>
      <c r="R369">
        <v>4.5839562477202325</v>
      </c>
      <c r="S369">
        <v>4.5861496106463111</v>
      </c>
      <c r="T369">
        <v>1</v>
      </c>
      <c r="U369">
        <v>1.9595875542164909</v>
      </c>
    </row>
    <row r="370" spans="1:21">
      <c r="A370">
        <v>-1.4152816017561347</v>
      </c>
      <c r="B370">
        <v>0.11765452653963594</v>
      </c>
      <c r="C370">
        <v>1.6714584045839444E-2</v>
      </c>
      <c r="D370">
        <v>0.15247231427752392</v>
      </c>
      <c r="E370">
        <v>-6.3468474216643325E-2</v>
      </c>
      <c r="F370">
        <v>-0.20970587706365629</v>
      </c>
      <c r="G370">
        <v>0.87496133779090735</v>
      </c>
      <c r="H370">
        <v>0.47878886258784481</v>
      </c>
      <c r="I370">
        <v>0.82908027316660038</v>
      </c>
      <c r="J370">
        <v>0.44620555805535822</v>
      </c>
      <c r="L370">
        <v>1.8989964418732419</v>
      </c>
      <c r="M370">
        <v>3.6314529985996078</v>
      </c>
      <c r="N370">
        <v>2.2187017876692527</v>
      </c>
      <c r="P370">
        <v>4.2528332262801884E-12</v>
      </c>
      <c r="R370">
        <v>4.5839562477202325</v>
      </c>
      <c r="S370">
        <v>4.5861496106463111</v>
      </c>
      <c r="T370">
        <v>1</v>
      </c>
      <c r="U370">
        <v>1.9595875542164909</v>
      </c>
    </row>
    <row r="371" spans="1:21">
      <c r="A371">
        <v>-1.4711279929587586</v>
      </c>
      <c r="B371">
        <v>-8.6373759787748902E-2</v>
      </c>
      <c r="C371">
        <v>1.5985817076388262</v>
      </c>
      <c r="D371">
        <v>4.3552906936185701E-2</v>
      </c>
      <c r="E371">
        <v>0.96501064507379986</v>
      </c>
      <c r="F371">
        <v>-0.25215193463601099</v>
      </c>
      <c r="G371">
        <v>0</v>
      </c>
      <c r="H371">
        <v>0.77097117446556385</v>
      </c>
      <c r="I371">
        <v>0</v>
      </c>
      <c r="J371">
        <v>0.72336754403806036</v>
      </c>
      <c r="L371">
        <v>0.67242062399905556</v>
      </c>
      <c r="M371">
        <v>4.0790770109612042</v>
      </c>
      <c r="N371">
        <v>3.6317401439639725</v>
      </c>
      <c r="P371">
        <v>2.8634296864599293E-7</v>
      </c>
      <c r="R371">
        <v>67.763996770762134</v>
      </c>
      <c r="S371">
        <v>77.784722012998088</v>
      </c>
      <c r="T371">
        <v>1</v>
      </c>
      <c r="U371">
        <v>1.9509759135692184</v>
      </c>
    </row>
    <row r="372" spans="1:21">
      <c r="A372">
        <v>-1.4699589663412831</v>
      </c>
      <c r="B372">
        <v>-9.3540797570582451E-2</v>
      </c>
      <c r="C372">
        <v>1.8813599177160745</v>
      </c>
      <c r="D372">
        <v>0.44698331158696464</v>
      </c>
      <c r="E372">
        <v>-9.2818308360506543E-2</v>
      </c>
      <c r="F372">
        <v>-0.3357233757436649</v>
      </c>
      <c r="G372">
        <v>0</v>
      </c>
      <c r="H372">
        <v>0.90966698948233882</v>
      </c>
      <c r="I372">
        <v>0.26123390314106637</v>
      </c>
      <c r="J372">
        <v>0.57932417321506147</v>
      </c>
      <c r="L372">
        <v>0.67208440963524818</v>
      </c>
      <c r="M372">
        <v>4.079374221204267</v>
      </c>
      <c r="N372">
        <v>3.6314535861025128</v>
      </c>
      <c r="P372">
        <v>8.0871901329165438E-12</v>
      </c>
      <c r="R372">
        <v>67.763996770762134</v>
      </c>
      <c r="S372">
        <v>77.784722012998088</v>
      </c>
      <c r="T372">
        <v>1</v>
      </c>
      <c r="U372">
        <v>1.9509759135692184</v>
      </c>
    </row>
    <row r="373" spans="1:21">
      <c r="A373">
        <v>-1.4652592900452812</v>
      </c>
      <c r="B373">
        <v>-7.0390431725128932E-2</v>
      </c>
      <c r="C373">
        <v>1.3927367577223955</v>
      </c>
      <c r="D373">
        <v>-0.30033055110828216</v>
      </c>
      <c r="E373">
        <v>9.8409795527603691E-2</v>
      </c>
      <c r="F373">
        <v>-1.459466060676087E-2</v>
      </c>
      <c r="G373">
        <v>0</v>
      </c>
      <c r="H373">
        <v>0.90726849138462484</v>
      </c>
      <c r="I373">
        <v>0</v>
      </c>
      <c r="J373">
        <v>0.89087775528674717</v>
      </c>
      <c r="L373">
        <v>0.66448492717148477</v>
      </c>
      <c r="M373">
        <v>4.0860741365575031</v>
      </c>
      <c r="N373">
        <v>3.625071959601827</v>
      </c>
      <c r="P373">
        <v>1.4330220132370133E-4</v>
      </c>
      <c r="R373">
        <v>67.763996770762134</v>
      </c>
      <c r="S373">
        <v>77.784722012998088</v>
      </c>
      <c r="T373">
        <v>1</v>
      </c>
      <c r="U373">
        <v>1.9509759135692184</v>
      </c>
    </row>
    <row r="374" spans="1:21">
      <c r="A374">
        <v>-1.4678875215574632</v>
      </c>
      <c r="B374">
        <v>-7.1836607500622027E-2</v>
      </c>
      <c r="C374">
        <v>1.4327065552849794</v>
      </c>
      <c r="D374">
        <v>-0.30070944708292752</v>
      </c>
      <c r="E374">
        <v>0.95956242272003267</v>
      </c>
      <c r="F374">
        <v>-0.92547647364565999</v>
      </c>
      <c r="G374">
        <v>0.30589468769845157</v>
      </c>
      <c r="H374">
        <v>1.3712781206177949</v>
      </c>
      <c r="I374">
        <v>0.27496158293036538</v>
      </c>
      <c r="J374">
        <v>0.33514970655305304</v>
      </c>
      <c r="L374">
        <v>0.67208319901249425</v>
      </c>
      <c r="M374">
        <v>4.079373940961271</v>
      </c>
      <c r="N374">
        <v>3.6314529970300859</v>
      </c>
      <c r="P374">
        <v>3.1120877431542337E-12</v>
      </c>
      <c r="R374">
        <v>67.763996770762134</v>
      </c>
      <c r="S374">
        <v>77.784722012998088</v>
      </c>
      <c r="T374">
        <v>1</v>
      </c>
      <c r="U374">
        <v>1.9509759135692184</v>
      </c>
    </row>
    <row r="375" spans="1:21">
      <c r="A375">
        <v>-1.4723055590833554</v>
      </c>
      <c r="B375">
        <v>-9.9455504269658837E-2</v>
      </c>
      <c r="C375">
        <v>1.8990214731393329</v>
      </c>
      <c r="D375">
        <v>-7.2777509141289956E-2</v>
      </c>
      <c r="E375">
        <v>0.13563694928236472</v>
      </c>
      <c r="F375">
        <v>-0.31873722501811363</v>
      </c>
      <c r="G375">
        <v>0.30045337881940776</v>
      </c>
      <c r="H375">
        <v>0.47386640974356453</v>
      </c>
      <c r="I375">
        <v>0.32854207722726458</v>
      </c>
      <c r="J375">
        <v>0.88544436077364841</v>
      </c>
      <c r="L375">
        <v>0.67208318068301853</v>
      </c>
      <c r="M375">
        <v>4.0793739510585594</v>
      </c>
      <c r="N375">
        <v>3.6314529870935051</v>
      </c>
      <c r="P375">
        <v>3.0358694490555812E-12</v>
      </c>
      <c r="R375">
        <v>67.763996770762134</v>
      </c>
      <c r="S375">
        <v>77.784722012998088</v>
      </c>
      <c r="T375">
        <v>1</v>
      </c>
      <c r="U375">
        <v>1.9509759135692184</v>
      </c>
    </row>
    <row r="376" spans="1:21">
      <c r="A376">
        <v>-1.473778592210061</v>
      </c>
      <c r="B376">
        <v>-0.10128883677594105</v>
      </c>
      <c r="C376">
        <v>2.0582701255632569</v>
      </c>
      <c r="D376">
        <v>-5.311871432992378E-2</v>
      </c>
      <c r="E376">
        <v>0.19634777197565981</v>
      </c>
      <c r="F376">
        <v>0.29422762521174006</v>
      </c>
      <c r="G376">
        <v>1.1010108898170572E-3</v>
      </c>
      <c r="H376">
        <v>0.63376117528104392</v>
      </c>
      <c r="I376">
        <v>0.21369422026307255</v>
      </c>
      <c r="J376">
        <v>1.1469662690573657</v>
      </c>
      <c r="L376">
        <v>0.68020102052936693</v>
      </c>
      <c r="M376">
        <v>4.0742574051222062</v>
      </c>
      <c r="N376">
        <v>3.6393462300213906</v>
      </c>
      <c r="P376">
        <v>1.5442422756698794E-4</v>
      </c>
      <c r="R376">
        <v>67.763996770762134</v>
      </c>
      <c r="S376">
        <v>77.784722012998088</v>
      </c>
      <c r="T376">
        <v>1</v>
      </c>
      <c r="U376">
        <v>1.9509759135692184</v>
      </c>
    </row>
    <row r="377" spans="1:21">
      <c r="A377">
        <v>-1.4694349588894011</v>
      </c>
      <c r="B377">
        <v>-7.6149789150877306E-2</v>
      </c>
      <c r="C377">
        <v>1.491134783560869</v>
      </c>
      <c r="D377">
        <v>-0.61092006293339318</v>
      </c>
      <c r="E377">
        <v>0.26012593181742305</v>
      </c>
      <c r="F377">
        <v>-0.23458834359402386</v>
      </c>
      <c r="G377">
        <v>0.65332039979108558</v>
      </c>
      <c r="H377">
        <v>1.2260835189121617</v>
      </c>
      <c r="I377">
        <v>0</v>
      </c>
      <c r="J377">
        <v>1.2375901479233142</v>
      </c>
      <c r="L377">
        <v>0.6720824008898163</v>
      </c>
      <c r="M377">
        <v>4.0793760807492214</v>
      </c>
      <c r="N377">
        <v>3.63145299943415</v>
      </c>
      <c r="P377">
        <v>2.6771811043786878E-12</v>
      </c>
      <c r="R377">
        <v>67.763996770762134</v>
      </c>
      <c r="S377">
        <v>77.784722012998088</v>
      </c>
      <c r="T377">
        <v>1</v>
      </c>
      <c r="U377">
        <v>1.9509759135692184</v>
      </c>
    </row>
    <row r="378" spans="1:21">
      <c r="A378">
        <v>-1.468867456284392</v>
      </c>
      <c r="B378">
        <v>-8.6428181341861157E-2</v>
      </c>
      <c r="C378">
        <v>1.5019037378632545</v>
      </c>
      <c r="D378">
        <v>-1.3830464195297858E-2</v>
      </c>
      <c r="E378">
        <v>0.66582647738481249</v>
      </c>
      <c r="F378">
        <v>-0.80586350011192187</v>
      </c>
      <c r="G378">
        <v>0.27773057185407712</v>
      </c>
      <c r="H378">
        <v>0.88161203359054141</v>
      </c>
      <c r="I378">
        <v>0</v>
      </c>
      <c r="J378">
        <v>1.0633290693595028</v>
      </c>
      <c r="L378">
        <v>0.67208453369255106</v>
      </c>
      <c r="M378">
        <v>4.0793759677272883</v>
      </c>
      <c r="N378">
        <v>3.6314539431524393</v>
      </c>
      <c r="P378">
        <v>1.0641003390580855E-11</v>
      </c>
      <c r="R378">
        <v>67.763996770762134</v>
      </c>
      <c r="S378">
        <v>77.784722012998088</v>
      </c>
      <c r="T378">
        <v>1</v>
      </c>
      <c r="U378">
        <v>1.9509759135692184</v>
      </c>
    </row>
    <row r="379" spans="1:21">
      <c r="A379">
        <v>-1.4719453850425315</v>
      </c>
      <c r="B379">
        <v>-7.8573034238619166E-2</v>
      </c>
      <c r="C379">
        <v>1.7612435098678232</v>
      </c>
      <c r="D379">
        <v>2.3887014800521342E-2</v>
      </c>
      <c r="E379">
        <v>0.30957552499501195</v>
      </c>
      <c r="F379">
        <v>0.31934513344066406</v>
      </c>
      <c r="G379">
        <v>0.18649225996517196</v>
      </c>
      <c r="H379">
        <v>1.5893025538938013</v>
      </c>
      <c r="I379">
        <v>8.7036052456702215E-5</v>
      </c>
      <c r="J379">
        <v>0.66048400089902992</v>
      </c>
      <c r="L379">
        <v>0.6775361852105859</v>
      </c>
      <c r="M379">
        <v>4.0750755383752999</v>
      </c>
      <c r="N379">
        <v>3.635914873760127</v>
      </c>
      <c r="P379">
        <v>6.8148412953202733E-5</v>
      </c>
      <c r="R379">
        <v>67.763996770762134</v>
      </c>
      <c r="S379">
        <v>77.784722012998088</v>
      </c>
      <c r="T379">
        <v>1</v>
      </c>
      <c r="U379">
        <v>1.9509759135692184</v>
      </c>
    </row>
    <row r="380" spans="1:21">
      <c r="A380">
        <v>-1.4656049710268406</v>
      </c>
      <c r="B380">
        <v>-8.1299692953441319E-2</v>
      </c>
      <c r="C380">
        <v>1.4458126373790043</v>
      </c>
      <c r="D380">
        <v>-0.45822343253429948</v>
      </c>
      <c r="E380">
        <v>0.42456308409894628</v>
      </c>
      <c r="F380">
        <v>-1.0735686732522938</v>
      </c>
      <c r="G380">
        <v>9.7664442309596991E-2</v>
      </c>
      <c r="H380">
        <v>0.72134856110756007</v>
      </c>
      <c r="I380">
        <v>0</v>
      </c>
      <c r="J380">
        <v>0.9342085901735433</v>
      </c>
      <c r="L380">
        <v>0.67208394955546935</v>
      </c>
      <c r="M380">
        <v>4.0793743062649197</v>
      </c>
      <c r="N380">
        <v>3.6314523664774452</v>
      </c>
      <c r="P380">
        <v>3.4977557211499854E-12</v>
      </c>
      <c r="R380">
        <v>67.763996770762134</v>
      </c>
      <c r="S380">
        <v>77.784722012998088</v>
      </c>
      <c r="T380">
        <v>1</v>
      </c>
      <c r="U380">
        <v>1.9509759135692184</v>
      </c>
    </row>
    <row r="381" spans="1:21">
      <c r="A381">
        <v>-1.4170489337205741</v>
      </c>
      <c r="B381">
        <v>-8.3040019489505373E-2</v>
      </c>
      <c r="C381">
        <v>-0.34184982954065141</v>
      </c>
      <c r="D381">
        <v>0.21141062357906751</v>
      </c>
      <c r="E381">
        <v>-8.8762555803814883E-2</v>
      </c>
      <c r="F381">
        <v>-1.047682945456955E-3</v>
      </c>
      <c r="G381">
        <v>0.47534189861968762</v>
      </c>
      <c r="H381">
        <v>0.87907651135436149</v>
      </c>
      <c r="I381">
        <v>0.51436035141993708</v>
      </c>
      <c r="J381">
        <v>0.42136059843759049</v>
      </c>
      <c r="L381">
        <v>0.67208125806813457</v>
      </c>
      <c r="M381">
        <v>4.0793763463070443</v>
      </c>
      <c r="N381">
        <v>2.2186998699523528</v>
      </c>
      <c r="P381">
        <v>4.6733416926901429E-12</v>
      </c>
      <c r="R381">
        <v>8.9570652746343455</v>
      </c>
      <c r="S381">
        <v>8.9880513431210201</v>
      </c>
      <c r="T381">
        <v>1</v>
      </c>
      <c r="U381">
        <v>1.685708238758526</v>
      </c>
    </row>
    <row r="382" spans="1:21">
      <c r="A382">
        <v>-1.4143068364367013</v>
      </c>
      <c r="B382">
        <v>-9.3834997076648247E-2</v>
      </c>
      <c r="C382">
        <v>-0.37478821121220746</v>
      </c>
      <c r="D382">
        <v>3.1805259983583439E-2</v>
      </c>
      <c r="E382">
        <v>0.18656431812073931</v>
      </c>
      <c r="F382">
        <v>-0.20807693240717196</v>
      </c>
      <c r="G382">
        <v>0.52217829202565635</v>
      </c>
      <c r="H382">
        <v>0.30669248533513199</v>
      </c>
      <c r="I382">
        <v>0.8683684631242905</v>
      </c>
      <c r="J382">
        <v>3.4861003308768276E-2</v>
      </c>
      <c r="L382">
        <v>0.67208072482696724</v>
      </c>
      <c r="M382">
        <v>4.0793761796860126</v>
      </c>
      <c r="N382">
        <v>2.2187004659455232</v>
      </c>
      <c r="P382">
        <v>4.4026059714039382E-12</v>
      </c>
      <c r="R382">
        <v>8.9570652746343455</v>
      </c>
      <c r="S382">
        <v>8.9880513431210201</v>
      </c>
      <c r="T382">
        <v>1</v>
      </c>
      <c r="U382">
        <v>1.685708238758526</v>
      </c>
    </row>
    <row r="383" spans="1:21">
      <c r="A383">
        <v>-1.4102996904109832</v>
      </c>
      <c r="B383">
        <v>-9.993068103281541E-2</v>
      </c>
      <c r="C383">
        <v>-0.38555792287011087</v>
      </c>
      <c r="D383">
        <v>9.4772691774340972E-2</v>
      </c>
      <c r="E383">
        <v>-0.23825101827551876</v>
      </c>
      <c r="F383">
        <v>-0.13756034605820752</v>
      </c>
      <c r="G383">
        <v>0.45911044946729818</v>
      </c>
      <c r="H383">
        <v>7.647736032492447E-2</v>
      </c>
      <c r="I383">
        <v>0.95163048245110771</v>
      </c>
      <c r="J383">
        <v>0.33536507757013928</v>
      </c>
      <c r="L383">
        <v>0.67208080933150194</v>
      </c>
      <c r="M383">
        <v>4.0793761878564156</v>
      </c>
      <c r="N383">
        <v>2.2187003388338646</v>
      </c>
      <c r="P383">
        <v>4.3610355490195099E-12</v>
      </c>
      <c r="R383">
        <v>8.9570652746343455</v>
      </c>
      <c r="S383">
        <v>8.9880513431210201</v>
      </c>
      <c r="T383">
        <v>1</v>
      </c>
      <c r="U383">
        <v>1.685708238758526</v>
      </c>
    </row>
    <row r="384" spans="1:21">
      <c r="A384">
        <v>-1.4190501924643411</v>
      </c>
      <c r="B384">
        <v>-9.1683013615047826E-2</v>
      </c>
      <c r="C384">
        <v>-0.34350177835964762</v>
      </c>
      <c r="D384">
        <v>7.6117856772302331E-2</v>
      </c>
      <c r="E384">
        <v>0.14647311618689154</v>
      </c>
      <c r="F384">
        <v>-0.17642866749037225</v>
      </c>
      <c r="G384">
        <v>0.52517557014628413</v>
      </c>
      <c r="H384">
        <v>0.37989807444386053</v>
      </c>
      <c r="I384">
        <v>0.36031315539563646</v>
      </c>
      <c r="J384">
        <v>0.68861573122783681</v>
      </c>
      <c r="L384">
        <v>0.67208075769980202</v>
      </c>
      <c r="M384">
        <v>4.0793762398952262</v>
      </c>
      <c r="N384">
        <v>2.218700355137412</v>
      </c>
      <c r="P384">
        <v>4.6224077704455401E-12</v>
      </c>
      <c r="R384">
        <v>8.9570652746343455</v>
      </c>
      <c r="S384">
        <v>8.9880513431210201</v>
      </c>
      <c r="T384">
        <v>1</v>
      </c>
      <c r="U384">
        <v>1.685708238758526</v>
      </c>
    </row>
    <row r="385" spans="1:21">
      <c r="A385">
        <v>-1.4185582719095919</v>
      </c>
      <c r="B385">
        <v>-9.1446569969749203E-2</v>
      </c>
      <c r="C385">
        <v>-0.35693760448623646</v>
      </c>
      <c r="D385">
        <v>0.1094601029762014</v>
      </c>
      <c r="E385">
        <v>0.48925583396032923</v>
      </c>
      <c r="F385">
        <v>0.26626202426410128</v>
      </c>
      <c r="G385">
        <v>0.68537253923598429</v>
      </c>
      <c r="H385">
        <v>0.52539522711996967</v>
      </c>
      <c r="I385">
        <v>0.72912174862608647</v>
      </c>
      <c r="J385">
        <v>0.6835705782506224</v>
      </c>
      <c r="L385">
        <v>0.67208084329218476</v>
      </c>
      <c r="M385">
        <v>4.0793762935972939</v>
      </c>
      <c r="N385">
        <v>2.2187002416315997</v>
      </c>
      <c r="P385">
        <v>4.7117760840149723E-12</v>
      </c>
      <c r="R385">
        <v>8.9570652746343455</v>
      </c>
      <c r="S385">
        <v>8.9880513431210201</v>
      </c>
      <c r="T385">
        <v>1</v>
      </c>
      <c r="U385">
        <v>1.685708238758526</v>
      </c>
    </row>
    <row r="386" spans="1:21">
      <c r="A386">
        <v>-1.4158073751962412</v>
      </c>
      <c r="B386">
        <v>-8.5243502898584761E-2</v>
      </c>
      <c r="C386">
        <v>-0.35145080948865126</v>
      </c>
      <c r="D386">
        <v>0.54568460563683296</v>
      </c>
      <c r="E386">
        <v>3.2257619806397214E-2</v>
      </c>
      <c r="F386">
        <v>0.71283013908585313</v>
      </c>
      <c r="G386">
        <v>0.47662697369798535</v>
      </c>
      <c r="H386">
        <v>1.0092793537088605</v>
      </c>
      <c r="I386">
        <v>0.70171410528341815</v>
      </c>
      <c r="J386">
        <v>0.83527657784055886</v>
      </c>
      <c r="L386">
        <v>0.67208088023249857</v>
      </c>
      <c r="M386">
        <v>4.0793763250307169</v>
      </c>
      <c r="N386">
        <v>2.2187001974968643</v>
      </c>
      <c r="P386">
        <v>4.778726027254076E-12</v>
      </c>
      <c r="R386">
        <v>8.9570652746343455</v>
      </c>
      <c r="S386">
        <v>8.9880513431210201</v>
      </c>
      <c r="T386">
        <v>1</v>
      </c>
      <c r="U386">
        <v>1.685708238758526</v>
      </c>
    </row>
    <row r="387" spans="1:21">
      <c r="A387">
        <v>-1.4208015871261837</v>
      </c>
      <c r="B387">
        <v>-6.7662421286904376E-2</v>
      </c>
      <c r="C387">
        <v>-0.29507198972725346</v>
      </c>
      <c r="D387">
        <v>-0.78717994280050974</v>
      </c>
      <c r="E387">
        <v>0.8612621053028926</v>
      </c>
      <c r="F387">
        <v>-0.46644042932543833</v>
      </c>
      <c r="G387">
        <v>0.42703778181071139</v>
      </c>
      <c r="H387">
        <v>0.88787235678520715</v>
      </c>
      <c r="I387">
        <v>0.94128535332838625</v>
      </c>
      <c r="J387">
        <v>0.43709680395403522</v>
      </c>
      <c r="L387">
        <v>0.67208070941792608</v>
      </c>
      <c r="M387">
        <v>4.0793761986955897</v>
      </c>
      <c r="N387">
        <v>2.2187003884966754</v>
      </c>
      <c r="P387">
        <v>4.609480518323161E-12</v>
      </c>
      <c r="R387">
        <v>8.9570652746343455</v>
      </c>
      <c r="S387">
        <v>8.9880513431210201</v>
      </c>
      <c r="T387">
        <v>1</v>
      </c>
      <c r="U387">
        <v>1.685708238758526</v>
      </c>
    </row>
    <row r="388" spans="1:21">
      <c r="A388">
        <v>-1.4221845091979171</v>
      </c>
      <c r="B388">
        <v>-9.6033003214277712E-2</v>
      </c>
      <c r="C388">
        <v>-0.3634979530122347</v>
      </c>
      <c r="D388">
        <v>0.66409757334858333</v>
      </c>
      <c r="E388">
        <v>0.27930796307483519</v>
      </c>
      <c r="F388">
        <v>0.17925669274972295</v>
      </c>
      <c r="G388">
        <v>0.83959426877511556</v>
      </c>
      <c r="H388">
        <v>0.71274208180882825</v>
      </c>
      <c r="I388">
        <v>0.17229010063238276</v>
      </c>
      <c r="J388">
        <v>0.5465436772289296</v>
      </c>
      <c r="L388">
        <v>0.67208093942268499</v>
      </c>
      <c r="M388">
        <v>4.079376412354967</v>
      </c>
      <c r="N388">
        <v>2.2187001343402164</v>
      </c>
      <c r="P388">
        <v>4.9983751171623954E-12</v>
      </c>
      <c r="R388">
        <v>8.9570652746343455</v>
      </c>
      <c r="S388">
        <v>8.9880513431210201</v>
      </c>
      <c r="T388">
        <v>1</v>
      </c>
      <c r="U388">
        <v>1.685708238758526</v>
      </c>
    </row>
    <row r="389" spans="1:21">
      <c r="A389">
        <v>-1.4171136239579984</v>
      </c>
      <c r="B389">
        <v>-7.2175175277356812E-2</v>
      </c>
      <c r="C389">
        <v>-0.32057965871892097</v>
      </c>
      <c r="D389">
        <v>-0.14762940437457628</v>
      </c>
      <c r="E389">
        <v>0.29396516509247184</v>
      </c>
      <c r="F389">
        <v>-6.1549789728652222E-2</v>
      </c>
      <c r="G389">
        <v>0.21549892476699056</v>
      </c>
      <c r="H389">
        <v>0.98873979409403878</v>
      </c>
      <c r="I389">
        <v>0.75113555958394007</v>
      </c>
      <c r="J389">
        <v>0.21834407652120855</v>
      </c>
      <c r="L389">
        <v>0.67208071978617201</v>
      </c>
      <c r="M389">
        <v>4.0793762529674362</v>
      </c>
      <c r="N389">
        <v>2.2187004020108581</v>
      </c>
      <c r="P389">
        <v>4.7003397050558769E-12</v>
      </c>
      <c r="R389">
        <v>8.9570652746343455</v>
      </c>
      <c r="S389">
        <v>8.9880513431210201</v>
      </c>
      <c r="T389">
        <v>1</v>
      </c>
      <c r="U389">
        <v>1.685708238758526</v>
      </c>
    </row>
    <row r="390" spans="1:21">
      <c r="A390">
        <v>-1.4151596894552203</v>
      </c>
      <c r="B390">
        <v>-8.7822242650383089E-2</v>
      </c>
      <c r="C390">
        <v>-0.35758169035137322</v>
      </c>
      <c r="D390">
        <v>0.17655346462209431</v>
      </c>
      <c r="E390">
        <v>-0.65194994676908591</v>
      </c>
      <c r="F390">
        <v>0.45040107632025972</v>
      </c>
      <c r="G390">
        <v>0.46525257704617567</v>
      </c>
      <c r="H390">
        <v>0.64386969548881479</v>
      </c>
      <c r="I390">
        <v>0.27217437499758729</v>
      </c>
      <c r="J390">
        <v>0.63044102777417221</v>
      </c>
      <c r="L390">
        <v>0.67208076284942397</v>
      </c>
      <c r="M390">
        <v>4.079376216618245</v>
      </c>
      <c r="N390">
        <v>2.2187003720551921</v>
      </c>
      <c r="P390">
        <v>4.5192522188832569E-12</v>
      </c>
      <c r="R390">
        <v>8.9570652746343455</v>
      </c>
      <c r="S390">
        <v>8.9880513431210201</v>
      </c>
      <c r="T390">
        <v>1</v>
      </c>
      <c r="U390">
        <v>1.685708238758526</v>
      </c>
    </row>
    <row r="391" spans="1:21">
      <c r="A391">
        <v>-1.4942800036862869</v>
      </c>
      <c r="B391">
        <v>-6.4544576064522644E-2</v>
      </c>
      <c r="C391">
        <v>-0.14874405143368838</v>
      </c>
      <c r="D391">
        <v>-0.18232065769012026</v>
      </c>
      <c r="E391">
        <v>1.4059133695639865E-4</v>
      </c>
      <c r="F391">
        <v>0.26964587039471993</v>
      </c>
      <c r="G391">
        <v>0.51616399743604879</v>
      </c>
      <c r="H391">
        <v>0.3175223792987561</v>
      </c>
      <c r="I391">
        <v>0.78195442830441142</v>
      </c>
      <c r="J391">
        <v>0.76377862209389669</v>
      </c>
      <c r="L391">
        <v>0.67208271624972149</v>
      </c>
      <c r="M391">
        <v>3.6314521440539895</v>
      </c>
      <c r="N391">
        <v>2.2187023804795056</v>
      </c>
      <c r="P391">
        <v>1.823492003163786E-12</v>
      </c>
      <c r="R391">
        <v>5.9589381025828034</v>
      </c>
      <c r="S391">
        <v>5.9659507309582951</v>
      </c>
      <c r="T391">
        <v>1</v>
      </c>
      <c r="U391">
        <v>1.9665041601073316</v>
      </c>
    </row>
    <row r="392" spans="1:21">
      <c r="A392">
        <v>-1.4961517257727583</v>
      </c>
      <c r="B392">
        <v>-6.4607308506798175E-2</v>
      </c>
      <c r="C392">
        <v>-0.16641498403562524</v>
      </c>
      <c r="D392">
        <v>0.22639662769832106</v>
      </c>
      <c r="E392">
        <v>-0.18598152866925435</v>
      </c>
      <c r="F392">
        <v>0.53934748547859801</v>
      </c>
      <c r="G392">
        <v>0.45364290474112889</v>
      </c>
      <c r="H392">
        <v>0.49225503876850302</v>
      </c>
      <c r="I392">
        <v>0.30158752861005922</v>
      </c>
      <c r="J392">
        <v>0.15664811713076493</v>
      </c>
      <c r="L392">
        <v>0.67208208504389422</v>
      </c>
      <c r="M392">
        <v>3.6314522767992701</v>
      </c>
      <c r="N392">
        <v>2.2187017238687776</v>
      </c>
      <c r="P392">
        <v>5.3211352378705096E-13</v>
      </c>
      <c r="R392">
        <v>5.9589381025828034</v>
      </c>
      <c r="S392">
        <v>5.9659507309582951</v>
      </c>
      <c r="T392">
        <v>1</v>
      </c>
      <c r="U392">
        <v>1.9665041601073316</v>
      </c>
    </row>
    <row r="393" spans="1:21">
      <c r="A393">
        <v>-1.500418994489594</v>
      </c>
      <c r="B393">
        <v>-6.6697876199537626E-2</v>
      </c>
      <c r="C393">
        <v>-0.14652475820596594</v>
      </c>
      <c r="D393">
        <v>0.32492261737288031</v>
      </c>
      <c r="E393">
        <v>0.14781935804244398</v>
      </c>
      <c r="F393">
        <v>-5.2745979490516612E-2</v>
      </c>
      <c r="G393">
        <v>0.60653673391006069</v>
      </c>
      <c r="H393">
        <v>0.50626097331217423</v>
      </c>
      <c r="I393">
        <v>0.19767494783228567</v>
      </c>
      <c r="J393">
        <v>0.37806102437133937</v>
      </c>
      <c r="L393">
        <v>0.67208197851788898</v>
      </c>
      <c r="M393">
        <v>3.6314522984821607</v>
      </c>
      <c r="N393">
        <v>2.2187011474132765</v>
      </c>
      <c r="P393">
        <v>2.6008647334421255E-13</v>
      </c>
      <c r="R393">
        <v>5.9589381025828034</v>
      </c>
      <c r="S393">
        <v>5.9659507309582951</v>
      </c>
      <c r="T393">
        <v>1</v>
      </c>
      <c r="U393">
        <v>1.9665041601073316</v>
      </c>
    </row>
    <row r="394" spans="1:21">
      <c r="A394">
        <v>-1.4925060611411791</v>
      </c>
      <c r="B394">
        <v>-6.1463681190709211E-2</v>
      </c>
      <c r="C394">
        <v>-0.1644176814790308</v>
      </c>
      <c r="D394">
        <v>0.11802191867651021</v>
      </c>
      <c r="E394">
        <v>6.6058133721720591E-2</v>
      </c>
      <c r="F394">
        <v>0.50009552429397308</v>
      </c>
      <c r="G394">
        <v>0.37757227025371903</v>
      </c>
      <c r="H394">
        <v>0.58146894985349573</v>
      </c>
      <c r="I394">
        <v>0.81258240687067518</v>
      </c>
      <c r="J394">
        <v>0.19633452320850367</v>
      </c>
      <c r="L394">
        <v>0.67208199156066639</v>
      </c>
      <c r="M394">
        <v>3.631452317809821</v>
      </c>
      <c r="N394">
        <v>2.2187009573860039</v>
      </c>
      <c r="P394">
        <v>3.0477120272209565E-13</v>
      </c>
      <c r="R394">
        <v>5.9589381025828034</v>
      </c>
      <c r="S394">
        <v>5.9659507309582951</v>
      </c>
      <c r="T394">
        <v>1</v>
      </c>
      <c r="U394">
        <v>1.9665041601073316</v>
      </c>
    </row>
    <row r="395" spans="1:21">
      <c r="A395">
        <v>-1.4929940512065583</v>
      </c>
      <c r="B395">
        <v>-5.8645761504514018E-2</v>
      </c>
      <c r="C395">
        <v>-0.14076293700138329</v>
      </c>
      <c r="D395">
        <v>0.11700505449600591</v>
      </c>
      <c r="E395">
        <v>0.23537481716930028</v>
      </c>
      <c r="F395">
        <v>-4.0032268527908456E-2</v>
      </c>
      <c r="G395">
        <v>0.24317003590475941</v>
      </c>
      <c r="H395">
        <v>0.62783136090341507</v>
      </c>
      <c r="I395">
        <v>0.51307118010876918</v>
      </c>
      <c r="J395">
        <v>0.31526914692116043</v>
      </c>
      <c r="L395">
        <v>0.67208213416081342</v>
      </c>
      <c r="M395">
        <v>3.6314522149288653</v>
      </c>
      <c r="N395">
        <v>2.2187017644100857</v>
      </c>
      <c r="P395">
        <v>5.201052892395786E-13</v>
      </c>
      <c r="R395">
        <v>5.9589381025828034</v>
      </c>
      <c r="S395">
        <v>5.9659507309582951</v>
      </c>
      <c r="T395">
        <v>1</v>
      </c>
      <c r="U395">
        <v>1.9665041601073316</v>
      </c>
    </row>
    <row r="396" spans="1:21">
      <c r="A396">
        <v>-1.4848172205241377</v>
      </c>
      <c r="B396">
        <v>-4.4539893260585356E-2</v>
      </c>
      <c r="C396">
        <v>-0.10984606699879208</v>
      </c>
      <c r="D396">
        <v>-0.41157915487316582</v>
      </c>
      <c r="E396">
        <v>-0.26216576467041891</v>
      </c>
      <c r="F396">
        <v>-0.64010795738071502</v>
      </c>
      <c r="G396">
        <v>4.5066933321131444E-2</v>
      </c>
      <c r="H396">
        <v>0.97513068784653822</v>
      </c>
      <c r="I396">
        <v>9.9218045943084254E-2</v>
      </c>
      <c r="J396">
        <v>0.48831771727189799</v>
      </c>
      <c r="L396">
        <v>0.67208202997827671</v>
      </c>
      <c r="M396">
        <v>3.6314524290205452</v>
      </c>
      <c r="N396">
        <v>2.2187006497467952</v>
      </c>
      <c r="P396">
        <v>6.0796457669566531E-13</v>
      </c>
      <c r="R396">
        <v>5.9589381025828034</v>
      </c>
      <c r="S396">
        <v>5.9659507309582951</v>
      </c>
      <c r="T396">
        <v>1</v>
      </c>
      <c r="U396">
        <v>1.9665041601073316</v>
      </c>
    </row>
    <row r="397" spans="1:21">
      <c r="A397">
        <v>-1.4895569650225982</v>
      </c>
      <c r="B397">
        <v>-5.5168620606982938E-2</v>
      </c>
      <c r="C397">
        <v>-0.14942485823386384</v>
      </c>
      <c r="D397">
        <v>-0.27816085386075273</v>
      </c>
      <c r="E397">
        <v>-0.44414202133104796</v>
      </c>
      <c r="F397">
        <v>0.41154824466706708</v>
      </c>
      <c r="G397">
        <v>0.44837680484646869</v>
      </c>
      <c r="H397">
        <v>0.7330752266213546</v>
      </c>
      <c r="I397">
        <v>0.40768943086646486</v>
      </c>
      <c r="J397">
        <v>0.52274604025267823</v>
      </c>
      <c r="L397">
        <v>0.67208234768984587</v>
      </c>
      <c r="M397">
        <v>3.6314519937437031</v>
      </c>
      <c r="N397">
        <v>2.2187018856603005</v>
      </c>
      <c r="P397">
        <v>5.7630551425892619E-13</v>
      </c>
      <c r="R397">
        <v>5.9589381025828034</v>
      </c>
      <c r="S397">
        <v>5.9659507309582951</v>
      </c>
      <c r="T397">
        <v>1</v>
      </c>
      <c r="U397">
        <v>1.9665041601073316</v>
      </c>
    </row>
    <row r="398" spans="1:21">
      <c r="A398">
        <v>-1.5030608043412133</v>
      </c>
      <c r="B398">
        <v>-7.3061413892862442E-2</v>
      </c>
      <c r="C398">
        <v>-0.17382156259018169</v>
      </c>
      <c r="D398">
        <v>-9.7566007329892387E-2</v>
      </c>
      <c r="E398">
        <v>-0.36988189044424918</v>
      </c>
      <c r="F398">
        <v>0.75410151568520956</v>
      </c>
      <c r="G398">
        <v>0.82433750132581884</v>
      </c>
      <c r="H398">
        <v>1.609761464653249E-2</v>
      </c>
      <c r="I398">
        <v>1.4095368722006202E-2</v>
      </c>
      <c r="J398">
        <v>0.39612838107989917</v>
      </c>
      <c r="L398">
        <v>0.67208297809210471</v>
      </c>
      <c r="M398">
        <v>3.6314535377888619</v>
      </c>
      <c r="N398">
        <v>2.2187025966492802</v>
      </c>
      <c r="P398">
        <v>5.431104515845275E-12</v>
      </c>
      <c r="R398">
        <v>5.9589381025828034</v>
      </c>
      <c r="S398">
        <v>5.9659507309582951</v>
      </c>
      <c r="T398">
        <v>1</v>
      </c>
      <c r="U398">
        <v>1.9665041601073316</v>
      </c>
    </row>
    <row r="399" spans="1:21">
      <c r="A399">
        <v>-1.4990840738216342</v>
      </c>
      <c r="B399">
        <v>-6.1581771174920988E-2</v>
      </c>
      <c r="C399">
        <v>-0.14171107424043672</v>
      </c>
      <c r="D399">
        <v>-1.595362681374966E-2</v>
      </c>
      <c r="E399">
        <v>0.89433653366296773</v>
      </c>
      <c r="F399">
        <v>-0.51477621969331566</v>
      </c>
      <c r="G399">
        <v>0.82882296330098482</v>
      </c>
      <c r="H399">
        <v>0.71002017161923126</v>
      </c>
      <c r="I399">
        <v>0.97969345254132456</v>
      </c>
      <c r="J399">
        <v>0.15211678458856906</v>
      </c>
      <c r="L399">
        <v>0.67208198753767445</v>
      </c>
      <c r="M399">
        <v>3.6314524039633262</v>
      </c>
      <c r="N399">
        <v>2.2187008114826208</v>
      </c>
      <c r="P399">
        <v>4.674781889117062E-13</v>
      </c>
      <c r="R399">
        <v>5.9589381025828034</v>
      </c>
      <c r="S399">
        <v>5.9659507309582951</v>
      </c>
      <c r="T399">
        <v>1</v>
      </c>
      <c r="U399">
        <v>1.9665041601073316</v>
      </c>
    </row>
    <row r="400" spans="1:21">
      <c r="A400">
        <v>-1.4976812873354213</v>
      </c>
      <c r="B400">
        <v>-7.4891156090653083E-2</v>
      </c>
      <c r="C400">
        <v>-0.1497972490012961</v>
      </c>
      <c r="D400">
        <v>0.50858150231120558</v>
      </c>
      <c r="E400">
        <v>-0.65720634512354648</v>
      </c>
      <c r="F400">
        <v>-8.0968345885302911E-3</v>
      </c>
      <c r="G400">
        <v>0.51290524913251523</v>
      </c>
      <c r="H400">
        <v>0.2173563121944988</v>
      </c>
      <c r="I400">
        <v>0.32376592733750431</v>
      </c>
      <c r="J400">
        <v>0.94514607911150594</v>
      </c>
      <c r="L400">
        <v>0.67208229353491722</v>
      </c>
      <c r="M400">
        <v>3.6314522864163812</v>
      </c>
      <c r="N400">
        <v>2.2187020985697954</v>
      </c>
      <c r="P400">
        <v>1.0897984551021494E-12</v>
      </c>
      <c r="R400">
        <v>5.9589381025828034</v>
      </c>
      <c r="S400">
        <v>5.9659507309582951</v>
      </c>
      <c r="T400">
        <v>1</v>
      </c>
      <c r="U400">
        <v>1.9665041601073316</v>
      </c>
    </row>
    <row r="401" spans="1:21">
      <c r="A401">
        <v>-1.439134854901726</v>
      </c>
      <c r="B401">
        <v>6.7868934795131827E-2</v>
      </c>
      <c r="C401">
        <v>-1.3048981859080936E-2</v>
      </c>
      <c r="D401">
        <v>0.30124656220811119</v>
      </c>
      <c r="E401">
        <v>0.55445269607907033</v>
      </c>
      <c r="F401">
        <v>-0.44215101974222376</v>
      </c>
      <c r="G401">
        <v>7.8128585572007966E-3</v>
      </c>
      <c r="H401">
        <v>0.1943741777792666</v>
      </c>
      <c r="I401">
        <v>0.20774204349374448</v>
      </c>
      <c r="J401">
        <v>4.3111040377788006E-2</v>
      </c>
      <c r="L401">
        <v>4.0793753560307637</v>
      </c>
      <c r="M401">
        <v>3.6314515616645999</v>
      </c>
      <c r="N401">
        <v>2.2187020155634647</v>
      </c>
      <c r="P401">
        <v>1.0540026098817468E-12</v>
      </c>
      <c r="R401">
        <v>8.7365387211630789</v>
      </c>
      <c r="S401">
        <v>8.7470632700269135</v>
      </c>
      <c r="T401">
        <v>1</v>
      </c>
      <c r="U401">
        <v>1.9627527407921372</v>
      </c>
    </row>
    <row r="402" spans="1:21">
      <c r="A402">
        <v>-1.4408493430882128</v>
      </c>
      <c r="B402">
        <v>7.027429126437261E-2</v>
      </c>
      <c r="C402">
        <v>-2.8710180858709498E-2</v>
      </c>
      <c r="D402">
        <v>-0.17826886873427181</v>
      </c>
      <c r="E402">
        <v>0.59071241515407025</v>
      </c>
      <c r="F402">
        <v>0.74416229754202579</v>
      </c>
      <c r="G402">
        <v>0.7780135088631237</v>
      </c>
      <c r="H402">
        <v>0.1898085851791986</v>
      </c>
      <c r="I402">
        <v>0.6381534138672218</v>
      </c>
      <c r="J402">
        <v>0.68740635726178612</v>
      </c>
      <c r="L402">
        <v>4.0793761879875667</v>
      </c>
      <c r="M402">
        <v>3.6314513962881776</v>
      </c>
      <c r="N402">
        <v>2.2186995471351443</v>
      </c>
      <c r="P402">
        <v>4.4058362977007703E-12</v>
      </c>
      <c r="R402">
        <v>8.7365387211630789</v>
      </c>
      <c r="S402">
        <v>8.7470632700269135</v>
      </c>
      <c r="T402">
        <v>1</v>
      </c>
      <c r="U402">
        <v>1.9627527407921372</v>
      </c>
    </row>
    <row r="403" spans="1:21">
      <c r="A403">
        <v>-1.4457145535052405</v>
      </c>
      <c r="B403">
        <v>6.5275506061496666E-2</v>
      </c>
      <c r="C403">
        <v>-1.4267332922771388E-2</v>
      </c>
      <c r="D403">
        <v>0.85395442904439256</v>
      </c>
      <c r="E403">
        <v>0.97309211491381997</v>
      </c>
      <c r="F403">
        <v>-0.13304070958088035</v>
      </c>
      <c r="G403">
        <v>0.59274495870006672</v>
      </c>
      <c r="H403">
        <v>0.12226941933978652</v>
      </c>
      <c r="I403">
        <v>0.35002323479664804</v>
      </c>
      <c r="J403">
        <v>0.38534388890483046</v>
      </c>
      <c r="L403">
        <v>4.0793752040084987</v>
      </c>
      <c r="M403">
        <v>3.631451719836519</v>
      </c>
      <c r="N403">
        <v>2.2187019125354781</v>
      </c>
      <c r="P403">
        <v>7.0039835853201166E-13</v>
      </c>
      <c r="R403">
        <v>8.7365387211630789</v>
      </c>
      <c r="S403">
        <v>8.7470632700269135</v>
      </c>
      <c r="T403">
        <v>1</v>
      </c>
      <c r="U403">
        <v>1.9627527407921372</v>
      </c>
    </row>
    <row r="404" spans="1:21">
      <c r="A404">
        <v>-1.4382323646111013</v>
      </c>
      <c r="B404">
        <v>8.1084842246348002E-2</v>
      </c>
      <c r="C404">
        <v>-5.901505740660464E-3</v>
      </c>
      <c r="D404">
        <v>-0.748056096441434</v>
      </c>
      <c r="E404">
        <v>0.40664849887567517</v>
      </c>
      <c r="F404">
        <v>0.47833217390794464</v>
      </c>
      <c r="G404">
        <v>0.81168525908678357</v>
      </c>
      <c r="H404">
        <v>0.34663886711327219</v>
      </c>
      <c r="I404">
        <v>0.13081240576592887</v>
      </c>
      <c r="J404">
        <v>0.81640547172152411</v>
      </c>
      <c r="L404">
        <v>4.0793754342528983</v>
      </c>
      <c r="M404">
        <v>3.6314517178637935</v>
      </c>
      <c r="N404">
        <v>2.2187022033533941</v>
      </c>
      <c r="P404">
        <v>1.4217996500624738E-12</v>
      </c>
      <c r="R404">
        <v>8.7365387211630789</v>
      </c>
      <c r="S404">
        <v>8.7470632700269135</v>
      </c>
      <c r="T404">
        <v>1</v>
      </c>
      <c r="U404">
        <v>1.9627527407921372</v>
      </c>
    </row>
    <row r="405" spans="1:21">
      <c r="A405">
        <v>-1.4390997671212</v>
      </c>
      <c r="B405">
        <v>6.0328919475704852E-2</v>
      </c>
      <c r="C405">
        <v>-1.6405316346492671E-2</v>
      </c>
      <c r="D405">
        <v>1.6959784000603668E-2</v>
      </c>
      <c r="E405">
        <v>-0.420290651958874</v>
      </c>
      <c r="F405">
        <v>-0.12801887200902692</v>
      </c>
      <c r="G405">
        <v>0.28398654102067306</v>
      </c>
      <c r="H405">
        <v>0.12134337340625985</v>
      </c>
      <c r="I405">
        <v>8.8104156585920593E-2</v>
      </c>
      <c r="J405">
        <v>0.86121115710077334</v>
      </c>
      <c r="L405">
        <v>4.0793753410900893</v>
      </c>
      <c r="M405">
        <v>3.631451556592705</v>
      </c>
      <c r="N405">
        <v>2.218701991924354</v>
      </c>
      <c r="P405">
        <v>1.0033174098884732E-12</v>
      </c>
      <c r="R405">
        <v>8.7365387211630789</v>
      </c>
      <c r="S405">
        <v>8.7470632700269135</v>
      </c>
      <c r="T405">
        <v>1</v>
      </c>
      <c r="U405">
        <v>1.9627527407921372</v>
      </c>
    </row>
    <row r="406" spans="1:21">
      <c r="A406">
        <v>-1.4394356483693471</v>
      </c>
      <c r="B406">
        <v>4.3899131612070735E-2</v>
      </c>
      <c r="C406">
        <v>-4.7479375882191394E-2</v>
      </c>
      <c r="D406">
        <v>0.38441789931842107</v>
      </c>
      <c r="E406">
        <v>-0.85772090918204846</v>
      </c>
      <c r="F406">
        <v>-0.30945953923358038</v>
      </c>
      <c r="G406">
        <v>0.33010063340941692</v>
      </c>
      <c r="H406">
        <v>9.3648029037317698E-2</v>
      </c>
      <c r="I406">
        <v>0.84081554260437297</v>
      </c>
      <c r="J406">
        <v>0.70203912298558757</v>
      </c>
      <c r="L406">
        <v>4.07937539776671</v>
      </c>
      <c r="M406">
        <v>3.6314515633693425</v>
      </c>
      <c r="N406">
        <v>2.2187020686540158</v>
      </c>
      <c r="P406">
        <v>1.18744972053295E-12</v>
      </c>
      <c r="R406">
        <v>8.7365387211630789</v>
      </c>
      <c r="S406">
        <v>8.7470632700269135</v>
      </c>
      <c r="T406">
        <v>1</v>
      </c>
      <c r="U406">
        <v>1.9627527407921372</v>
      </c>
    </row>
    <row r="407" spans="1:21">
      <c r="A407">
        <v>-1.4394875917344063</v>
      </c>
      <c r="B407">
        <v>7.757058328050763E-2</v>
      </c>
      <c r="C407">
        <v>-1.8058082718877856E-2</v>
      </c>
      <c r="D407">
        <v>-0.30923678746913441</v>
      </c>
      <c r="E407">
        <v>0.47027753756495883</v>
      </c>
      <c r="F407">
        <v>-0.23879063434576853</v>
      </c>
      <c r="G407">
        <v>0.95467129774371051</v>
      </c>
      <c r="H407">
        <v>0.51093213328578146</v>
      </c>
      <c r="I407">
        <v>0.40486164942437225</v>
      </c>
      <c r="J407">
        <v>0.11273397209481562</v>
      </c>
      <c r="L407">
        <v>4.0793754911225388</v>
      </c>
      <c r="M407">
        <v>3.6314515009914641</v>
      </c>
      <c r="N407">
        <v>2.2187021265772171</v>
      </c>
      <c r="P407">
        <v>1.4397888810454011E-12</v>
      </c>
      <c r="R407">
        <v>8.7365387211630789</v>
      </c>
      <c r="S407">
        <v>8.7470632700269135</v>
      </c>
      <c r="T407">
        <v>1</v>
      </c>
      <c r="U407">
        <v>1.9627527407921372</v>
      </c>
    </row>
    <row r="408" spans="1:21">
      <c r="A408">
        <v>-1.4400004101494828</v>
      </c>
      <c r="B408">
        <v>6.4291683397871918E-2</v>
      </c>
      <c r="C408">
        <v>-6.9338759235684595E-3</v>
      </c>
      <c r="D408">
        <v>-0.19425354079195462</v>
      </c>
      <c r="E408">
        <v>0.24600473213429111</v>
      </c>
      <c r="F408">
        <v>-0.49968481890976746</v>
      </c>
      <c r="G408">
        <v>0.54332872238935692</v>
      </c>
      <c r="H408">
        <v>0.12351641980014179</v>
      </c>
      <c r="I408">
        <v>0.5506835353949876</v>
      </c>
      <c r="J408">
        <v>0.80982377558161434</v>
      </c>
      <c r="L408">
        <v>4.079375598434174</v>
      </c>
      <c r="M408">
        <v>3.6314512753441126</v>
      </c>
      <c r="N408">
        <v>2.2187020384408682</v>
      </c>
      <c r="P408">
        <v>1.6269628969752839E-12</v>
      </c>
      <c r="R408">
        <v>8.7365387211630789</v>
      </c>
      <c r="S408">
        <v>8.7470632700269135</v>
      </c>
      <c r="T408">
        <v>1</v>
      </c>
      <c r="U408">
        <v>1.9627527407921372</v>
      </c>
    </row>
    <row r="409" spans="1:21">
      <c r="A409">
        <v>-1.4381870897108535</v>
      </c>
      <c r="B409">
        <v>7.5589973347466519E-2</v>
      </c>
      <c r="C409">
        <v>-1.7283614918816873E-2</v>
      </c>
      <c r="D409">
        <v>0.39340831825209716</v>
      </c>
      <c r="E409">
        <v>0.16088378834525502</v>
      </c>
      <c r="F409">
        <v>0.11636185535720416</v>
      </c>
      <c r="G409">
        <v>0.68125544529188398</v>
      </c>
      <c r="H409">
        <v>0.93059917616511811</v>
      </c>
      <c r="I409">
        <v>0.16781699852078838</v>
      </c>
      <c r="J409">
        <v>0.40394785716172371</v>
      </c>
      <c r="L409">
        <v>4.0793751225124648</v>
      </c>
      <c r="M409">
        <v>3.6314516171593909</v>
      </c>
      <c r="N409">
        <v>2.2187016658447378</v>
      </c>
      <c r="P409">
        <v>3.8115997250317991E-13</v>
      </c>
      <c r="R409">
        <v>8.7365387211630789</v>
      </c>
      <c r="S409">
        <v>8.7470632700269135</v>
      </c>
      <c r="T409">
        <v>1</v>
      </c>
      <c r="U409">
        <v>1.9627527407921372</v>
      </c>
    </row>
    <row r="410" spans="1:21">
      <c r="A410">
        <v>-1.4394591028108041</v>
      </c>
      <c r="B410">
        <v>5.8516455013632764E-2</v>
      </c>
      <c r="C410">
        <v>-2.7662245476672287E-2</v>
      </c>
      <c r="D410">
        <v>0.62770712663978279</v>
      </c>
      <c r="E410">
        <v>-0.27724929300386686</v>
      </c>
      <c r="F410">
        <v>3.1663478907198631E-2</v>
      </c>
      <c r="G410">
        <v>2.0543885338448486E-2</v>
      </c>
      <c r="H410">
        <v>0.24002127268969639</v>
      </c>
      <c r="I410">
        <v>4.7217564174357796E-2</v>
      </c>
      <c r="J410">
        <v>0.46258868855524177</v>
      </c>
      <c r="L410">
        <v>4.07937549500096</v>
      </c>
      <c r="M410">
        <v>3.6314514427590132</v>
      </c>
      <c r="N410">
        <v>2.2187020848032506</v>
      </c>
      <c r="P410">
        <v>1.4099808580190389E-12</v>
      </c>
      <c r="R410">
        <v>8.7365387211630789</v>
      </c>
      <c r="S410">
        <v>8.7470632700269135</v>
      </c>
      <c r="T410">
        <v>1</v>
      </c>
      <c r="U410">
        <v>1.9627527407921372</v>
      </c>
    </row>
    <row r="411" spans="1:21">
      <c r="A411">
        <v>1.0908074666642058</v>
      </c>
      <c r="B411">
        <v>-1.0248540145300662</v>
      </c>
      <c r="C411">
        <v>0.23227855027138103</v>
      </c>
      <c r="D411">
        <v>-6.072764201396208E-2</v>
      </c>
      <c r="E411">
        <v>0.23110212275781911</v>
      </c>
      <c r="F411">
        <v>2.0880293287473314E-2</v>
      </c>
      <c r="G411">
        <v>1.2138087180344665E-2</v>
      </c>
      <c r="H411">
        <v>0.12555995183660634</v>
      </c>
      <c r="I411">
        <v>0.70100962604847916</v>
      </c>
      <c r="J411">
        <v>0.64701622065073683</v>
      </c>
      <c r="L411">
        <v>3.0960526629939187</v>
      </c>
      <c r="M411">
        <v>4.4627650257859406</v>
      </c>
      <c r="N411">
        <v>0.90857188726224236</v>
      </c>
      <c r="P411">
        <v>3.0856426898505517E-11</v>
      </c>
      <c r="R411">
        <v>7.3872884282208222</v>
      </c>
      <c r="S411">
        <v>7.3967963927114955</v>
      </c>
      <c r="T411">
        <v>1</v>
      </c>
      <c r="U411">
        <v>1.6142787710661215</v>
      </c>
    </row>
    <row r="412" spans="1:21">
      <c r="A412">
        <v>1.0973740984529103</v>
      </c>
      <c r="B412">
        <v>-1.0228163068563687</v>
      </c>
      <c r="C412">
        <v>0.25414273565634737</v>
      </c>
      <c r="D412">
        <v>1.6461823184361728E-2</v>
      </c>
      <c r="E412">
        <v>0.73005761598123553</v>
      </c>
      <c r="F412">
        <v>-0.67921209480573508</v>
      </c>
      <c r="G412">
        <v>0.13740262224158986</v>
      </c>
      <c r="H412">
        <v>0.98692162750713219</v>
      </c>
      <c r="I412">
        <v>0.7643983340611058</v>
      </c>
      <c r="J412">
        <v>0.59976198710719197</v>
      </c>
      <c r="L412">
        <v>3.0960521000945316</v>
      </c>
      <c r="M412">
        <v>4.4627654015569123</v>
      </c>
      <c r="N412">
        <v>0.90857179749249151</v>
      </c>
      <c r="P412">
        <v>3.0623477898267588E-11</v>
      </c>
      <c r="R412">
        <v>7.3872884282208222</v>
      </c>
      <c r="S412">
        <v>7.3967963927114955</v>
      </c>
      <c r="T412">
        <v>1</v>
      </c>
      <c r="U412">
        <v>1.6142787710661215</v>
      </c>
    </row>
    <row r="413" spans="1:21">
      <c r="A413">
        <v>1.1051236596075755</v>
      </c>
      <c r="B413">
        <v>-1.0194578698460202</v>
      </c>
      <c r="C413">
        <v>0.22960843595979571</v>
      </c>
      <c r="D413">
        <v>0.79078246586646073</v>
      </c>
      <c r="E413">
        <v>0.63610656174401048</v>
      </c>
      <c r="F413">
        <v>-0.68573136640696652</v>
      </c>
      <c r="G413">
        <v>0.38061284982879012</v>
      </c>
      <c r="H413">
        <v>0.72050128687739956</v>
      </c>
      <c r="I413">
        <v>0.42300787216800623</v>
      </c>
      <c r="J413">
        <v>0.96952821923467936</v>
      </c>
      <c r="L413">
        <v>3.096052377062902</v>
      </c>
      <c r="M413">
        <v>4.4627652084832521</v>
      </c>
      <c r="N413">
        <v>0.90857187317156562</v>
      </c>
      <c r="P413">
        <v>3.0969688544242371E-11</v>
      </c>
      <c r="R413">
        <v>7.3872884282208222</v>
      </c>
      <c r="S413">
        <v>7.3967963927114955</v>
      </c>
      <c r="T413">
        <v>1</v>
      </c>
      <c r="U413">
        <v>1.6142787710661215</v>
      </c>
    </row>
    <row r="414" spans="1:21">
      <c r="A414">
        <v>1.0838853702997937</v>
      </c>
      <c r="B414">
        <v>-1.0400870843314947</v>
      </c>
      <c r="C414">
        <v>0.2432241141535372</v>
      </c>
      <c r="D414">
        <v>0.63325677496128485</v>
      </c>
      <c r="E414">
        <v>0.73855609102200193</v>
      </c>
      <c r="F414">
        <v>0.52145410017277671</v>
      </c>
      <c r="G414">
        <v>0.68285789978374123</v>
      </c>
      <c r="H414">
        <v>0.36918375163681411</v>
      </c>
      <c r="I414">
        <v>0.72933152232135734</v>
      </c>
      <c r="J414">
        <v>0.52340118279564507</v>
      </c>
      <c r="L414">
        <v>3.0960535381990555</v>
      </c>
      <c r="M414">
        <v>4.4627645280750237</v>
      </c>
      <c r="N414">
        <v>0.9085717436135633</v>
      </c>
      <c r="P414">
        <v>2.9797190996883446E-11</v>
      </c>
      <c r="R414">
        <v>7.3872884282208222</v>
      </c>
      <c r="S414">
        <v>7.3967963927114955</v>
      </c>
      <c r="T414">
        <v>1</v>
      </c>
      <c r="U414">
        <v>1.6142787710661215</v>
      </c>
    </row>
    <row r="415" spans="1:21">
      <c r="A415">
        <v>1.0843655938237644</v>
      </c>
      <c r="B415">
        <v>-1.0339322238340596</v>
      </c>
      <c r="C415">
        <v>0.23104237555647605</v>
      </c>
      <c r="D415">
        <v>0.66459480382261371</v>
      </c>
      <c r="E415">
        <v>-0.28933904409335121</v>
      </c>
      <c r="F415">
        <v>0.41692418220095556</v>
      </c>
      <c r="G415">
        <v>0.61816462141726858</v>
      </c>
      <c r="H415">
        <v>0.451136207469156</v>
      </c>
      <c r="I415">
        <v>0.51381557671471867</v>
      </c>
      <c r="J415">
        <v>0.70995499776267823</v>
      </c>
      <c r="L415">
        <v>3.0960524249943386</v>
      </c>
      <c r="M415">
        <v>4.4627651988178627</v>
      </c>
      <c r="N415">
        <v>0.90857189279378936</v>
      </c>
      <c r="P415">
        <v>3.1120567293621028E-11</v>
      </c>
      <c r="R415">
        <v>7.3872884282208222</v>
      </c>
      <c r="S415">
        <v>7.3967963927114955</v>
      </c>
      <c r="T415">
        <v>1</v>
      </c>
      <c r="U415">
        <v>1.6142787710661215</v>
      </c>
    </row>
    <row r="416" spans="1:21">
      <c r="A416">
        <v>1.0816677343034176</v>
      </c>
      <c r="B416">
        <v>-1.0343250259385359</v>
      </c>
      <c r="C416">
        <v>0.24200970062861174</v>
      </c>
      <c r="D416">
        <v>0.15801521657386869</v>
      </c>
      <c r="E416">
        <v>-0.76368267802108203</v>
      </c>
      <c r="F416">
        <v>8.9887318376904266E-2</v>
      </c>
      <c r="G416">
        <v>0.12275952577975346</v>
      </c>
      <c r="H416">
        <v>0.24712422747335616</v>
      </c>
      <c r="I416">
        <v>9.2369547246378567E-2</v>
      </c>
      <c r="J416">
        <v>0.12425091502856672</v>
      </c>
      <c r="L416">
        <v>3.0960516663631106</v>
      </c>
      <c r="M416">
        <v>4.4627658177352858</v>
      </c>
      <c r="N416">
        <v>0.90857159969391355</v>
      </c>
      <c r="P416">
        <v>2.9828901986601653E-11</v>
      </c>
      <c r="R416">
        <v>7.3872884282208222</v>
      </c>
      <c r="S416">
        <v>7.3967963927114955</v>
      </c>
      <c r="T416">
        <v>1</v>
      </c>
      <c r="U416">
        <v>1.6142787710661215</v>
      </c>
    </row>
    <row r="417" spans="1:21">
      <c r="A417">
        <v>1.081479343218495</v>
      </c>
      <c r="B417">
        <v>-1.0333768397835961</v>
      </c>
      <c r="C417">
        <v>0.23977364385002845</v>
      </c>
      <c r="D417">
        <v>0.3780606702735404</v>
      </c>
      <c r="E417">
        <v>-2.6773683766691436E-2</v>
      </c>
      <c r="F417">
        <v>0.34649039936472043</v>
      </c>
      <c r="G417">
        <v>0.17630838325108936</v>
      </c>
      <c r="H417">
        <v>0.45316397538418746</v>
      </c>
      <c r="I417">
        <v>0.7132338212917928</v>
      </c>
      <c r="J417">
        <v>0.37462916001637014</v>
      </c>
      <c r="L417">
        <v>3.096053085598621</v>
      </c>
      <c r="M417">
        <v>4.4627663613340651</v>
      </c>
      <c r="N417">
        <v>0.90856666186727564</v>
      </c>
      <c r="P417">
        <v>1.212207215672761E-12</v>
      </c>
      <c r="R417">
        <v>7.3872884282208222</v>
      </c>
      <c r="S417">
        <v>7.3967963927114955</v>
      </c>
      <c r="T417">
        <v>1</v>
      </c>
      <c r="U417">
        <v>1.6142787710661215</v>
      </c>
    </row>
    <row r="418" spans="1:21">
      <c r="A418">
        <v>1.0908463980429788</v>
      </c>
      <c r="B418">
        <v>-1.0282353626877898</v>
      </c>
      <c r="C418">
        <v>0.23752357618601008</v>
      </c>
      <c r="D418">
        <v>0.33226657478606653</v>
      </c>
      <c r="E418">
        <v>0.15289058027235297</v>
      </c>
      <c r="F418">
        <v>-0.66103093449782302</v>
      </c>
      <c r="G418">
        <v>0.58836645444232216</v>
      </c>
      <c r="H418">
        <v>0.6894421990764773</v>
      </c>
      <c r="I418">
        <v>0.74447061412283799</v>
      </c>
      <c r="J418">
        <v>0.43302835869246747</v>
      </c>
      <c r="L418">
        <v>3.0960544796054976</v>
      </c>
      <c r="M418">
        <v>4.4627640337213208</v>
      </c>
      <c r="N418">
        <v>0.90857100173774996</v>
      </c>
      <c r="P418">
        <v>2.5060444952547708E-11</v>
      </c>
      <c r="R418">
        <v>7.3872884282208222</v>
      </c>
      <c r="S418">
        <v>7.3967963927114955</v>
      </c>
      <c r="T418">
        <v>1</v>
      </c>
      <c r="U418">
        <v>1.6142787710661215</v>
      </c>
    </row>
    <row r="419" spans="1:21">
      <c r="A419">
        <v>1.0719701699216244</v>
      </c>
      <c r="B419">
        <v>-1.042384386877409</v>
      </c>
      <c r="C419">
        <v>0.26328897994210876</v>
      </c>
      <c r="D419">
        <v>-0.46023047241086107</v>
      </c>
      <c r="E419">
        <v>-0.35692635055065908</v>
      </c>
      <c r="F419">
        <v>0.83072844951942737</v>
      </c>
      <c r="G419">
        <v>0.58554076686764422</v>
      </c>
      <c r="H419">
        <v>0.65325567370129023</v>
      </c>
      <c r="I419">
        <v>0.85973111803079072</v>
      </c>
      <c r="J419">
        <v>0.43126363018793934</v>
      </c>
      <c r="L419">
        <v>3.0960538020784281</v>
      </c>
      <c r="M419">
        <v>4.4627643537599644</v>
      </c>
      <c r="N419">
        <v>0.90857157818106704</v>
      </c>
      <c r="P419">
        <v>2.863912311765762E-11</v>
      </c>
      <c r="R419">
        <v>7.3872884282208222</v>
      </c>
      <c r="S419">
        <v>7.3967963927114955</v>
      </c>
      <c r="T419">
        <v>1</v>
      </c>
      <c r="U419">
        <v>1.6142787710661215</v>
      </c>
    </row>
    <row r="420" spans="1:21">
      <c r="A420">
        <v>1.0895894456867388</v>
      </c>
      <c r="B420">
        <v>-1.0372969592058554</v>
      </c>
      <c r="C420">
        <v>0.25739722160941225</v>
      </c>
      <c r="D420">
        <v>-0.61533772622329397</v>
      </c>
      <c r="E420">
        <v>0.40665476441403803</v>
      </c>
      <c r="F420">
        <v>0.18638797888547254</v>
      </c>
      <c r="G420">
        <v>0.75174156224701394</v>
      </c>
      <c r="H420">
        <v>9.8411120670901617E-2</v>
      </c>
      <c r="I420">
        <v>0.33865918040114062</v>
      </c>
      <c r="J420">
        <v>0.67188925286617296</v>
      </c>
      <c r="L420">
        <v>3.0960520246314922</v>
      </c>
      <c r="M420">
        <v>4.4627655126475894</v>
      </c>
      <c r="N420">
        <v>0.90857180458564901</v>
      </c>
      <c r="P420">
        <v>3.089284013763541E-11</v>
      </c>
      <c r="R420">
        <v>7.3872884282208222</v>
      </c>
      <c r="S420">
        <v>7.3967963927114955</v>
      </c>
      <c r="T420">
        <v>1</v>
      </c>
      <c r="U420">
        <v>1.6142787710661215</v>
      </c>
    </row>
    <row r="421" spans="1:21">
      <c r="A421">
        <v>0.98439288158342919</v>
      </c>
      <c r="B421">
        <v>-1.1479923082327628</v>
      </c>
      <c r="C421">
        <v>0.39670781393906784</v>
      </c>
      <c r="D421">
        <v>0.4150140183844509</v>
      </c>
      <c r="E421">
        <v>0.73264266043675952</v>
      </c>
      <c r="F421">
        <v>-0.24356758737920778</v>
      </c>
      <c r="G421">
        <v>0.88791585083561975</v>
      </c>
      <c r="H421">
        <v>0.51828521110937809</v>
      </c>
      <c r="I421">
        <v>0.16664372372854894</v>
      </c>
      <c r="J421">
        <v>0.1196711661969912</v>
      </c>
      <c r="L421">
        <v>3.0960556908893673</v>
      </c>
      <c r="M421">
        <v>4.462769747299963</v>
      </c>
      <c r="N421">
        <v>3.6317294944244516</v>
      </c>
      <c r="P421">
        <v>9.0709147301409243E-11</v>
      </c>
      <c r="R421">
        <v>11.407017699081383</v>
      </c>
      <c r="S421">
        <v>11.431778758175978</v>
      </c>
      <c r="T421">
        <v>1</v>
      </c>
      <c r="U421">
        <v>1.9162336953380594</v>
      </c>
    </row>
    <row r="422" spans="1:21">
      <c r="A422">
        <v>0.98565339210389213</v>
      </c>
      <c r="B422">
        <v>-1.1408434001975483</v>
      </c>
      <c r="C422">
        <v>0.39753973118423713</v>
      </c>
      <c r="D422">
        <v>0.48805652232202901</v>
      </c>
      <c r="E422">
        <v>0.4895910012258381</v>
      </c>
      <c r="F422">
        <v>0.15797377891293521</v>
      </c>
      <c r="G422">
        <v>0.42942508878862368</v>
      </c>
      <c r="H422">
        <v>0.8942882944356908</v>
      </c>
      <c r="I422">
        <v>0.24515786778794688</v>
      </c>
      <c r="J422">
        <v>0.31610283789071042</v>
      </c>
      <c r="L422">
        <v>3.0960542960158057</v>
      </c>
      <c r="M422">
        <v>4.4627711126675917</v>
      </c>
      <c r="N422">
        <v>3.6317295491352852</v>
      </c>
      <c r="P422">
        <v>9.8577535641089146E-11</v>
      </c>
      <c r="R422">
        <v>11.407017699081383</v>
      </c>
      <c r="S422">
        <v>11.431778758175978</v>
      </c>
      <c r="T422">
        <v>1</v>
      </c>
      <c r="U422">
        <v>1.9162336953380594</v>
      </c>
    </row>
    <row r="423" spans="1:21">
      <c r="A423">
        <v>0.98429981739971273</v>
      </c>
      <c r="B423">
        <v>-1.1323986478836727</v>
      </c>
      <c r="C423">
        <v>0.37588689624223615</v>
      </c>
      <c r="D423">
        <v>-0.40521101254786179</v>
      </c>
      <c r="E423">
        <v>0.18450918812235886</v>
      </c>
      <c r="F423">
        <v>-1.7285742467138994E-2</v>
      </c>
      <c r="G423">
        <v>0.25657837122919708</v>
      </c>
      <c r="H423">
        <v>0.20899471244706461</v>
      </c>
      <c r="I423">
        <v>0.78559860225827505</v>
      </c>
      <c r="J423">
        <v>0.68930934056528592</v>
      </c>
      <c r="L423">
        <v>3.0960545817067331</v>
      </c>
      <c r="M423">
        <v>4.4627708404517179</v>
      </c>
      <c r="N423">
        <v>3.6317295195477248</v>
      </c>
      <c r="P423">
        <v>9.6720759083455734E-11</v>
      </c>
      <c r="R423">
        <v>11.407017699081383</v>
      </c>
      <c r="S423">
        <v>11.431778758175978</v>
      </c>
      <c r="T423">
        <v>1</v>
      </c>
      <c r="U423">
        <v>1.9162336953380594</v>
      </c>
    </row>
    <row r="424" spans="1:21">
      <c r="A424">
        <v>0.98966943634931859</v>
      </c>
      <c r="B424">
        <v>-1.1151129338442254</v>
      </c>
      <c r="C424">
        <v>0.33898869824832328</v>
      </c>
      <c r="D424">
        <v>-0.1240826304780632</v>
      </c>
      <c r="E424">
        <v>-0.81042484820577698</v>
      </c>
      <c r="F424">
        <v>-0.2229726647120151</v>
      </c>
      <c r="G424">
        <v>2.7062580895514271E-3</v>
      </c>
      <c r="H424">
        <v>0.22603349938097675</v>
      </c>
      <c r="I424">
        <v>0.99801480824686939</v>
      </c>
      <c r="J424">
        <v>0.46905882849021052</v>
      </c>
      <c r="L424">
        <v>3.0960535289538593</v>
      </c>
      <c r="M424">
        <v>4.4627714692344131</v>
      </c>
      <c r="N424">
        <v>3.6317297601020071</v>
      </c>
      <c r="P424">
        <v>9.8299541970100413E-11</v>
      </c>
      <c r="R424">
        <v>11.407017699081383</v>
      </c>
      <c r="S424">
        <v>11.431778758175978</v>
      </c>
      <c r="T424">
        <v>1</v>
      </c>
      <c r="U424">
        <v>1.9162336953380594</v>
      </c>
    </row>
    <row r="425" spans="1:21">
      <c r="A425">
        <v>0.99667933516700546</v>
      </c>
      <c r="B425">
        <v>-1.1267788389092905</v>
      </c>
      <c r="C425">
        <v>0.35909281393019205</v>
      </c>
      <c r="D425">
        <v>0.37463711356994045</v>
      </c>
      <c r="E425">
        <v>0.13472358239566903</v>
      </c>
      <c r="F425">
        <v>0.80565507519544488</v>
      </c>
      <c r="G425">
        <v>0.7319789302562687</v>
      </c>
      <c r="H425">
        <v>0.40932625710342502</v>
      </c>
      <c r="I425">
        <v>0.4460204449581554</v>
      </c>
      <c r="J425">
        <v>0.35382169626906201</v>
      </c>
      <c r="L425">
        <v>3.0960551082678296</v>
      </c>
      <c r="M425">
        <v>4.4627704068612966</v>
      </c>
      <c r="N425">
        <v>3.6317294727681033</v>
      </c>
      <c r="P425">
        <v>9.4685139665068208E-11</v>
      </c>
      <c r="R425">
        <v>11.407017699081383</v>
      </c>
      <c r="S425">
        <v>11.431778758175978</v>
      </c>
      <c r="T425">
        <v>1</v>
      </c>
      <c r="U425">
        <v>1.9162336953380594</v>
      </c>
    </row>
    <row r="426" spans="1:21">
      <c r="A426">
        <v>0.99054732719990524</v>
      </c>
      <c r="B426">
        <v>-1.1270076895510637</v>
      </c>
      <c r="C426">
        <v>0.34558587320259787</v>
      </c>
      <c r="D426">
        <v>0.70478257417441836</v>
      </c>
      <c r="E426">
        <v>-0.1131479559271356</v>
      </c>
      <c r="F426">
        <v>-5.6618096208254712E-2</v>
      </c>
      <c r="G426">
        <v>0.89884043283323789</v>
      </c>
      <c r="H426">
        <v>0.51391499200161928</v>
      </c>
      <c r="I426">
        <v>0.90206599921794151</v>
      </c>
      <c r="J426">
        <v>0.60937383037613368</v>
      </c>
      <c r="L426">
        <v>3.0960538163625935</v>
      </c>
      <c r="M426">
        <v>4.4627713500786728</v>
      </c>
      <c r="N426">
        <v>3.6317296314657868</v>
      </c>
      <c r="P426">
        <v>9.917933859994653E-11</v>
      </c>
      <c r="R426">
        <v>11.407017699081383</v>
      </c>
      <c r="S426">
        <v>11.431778758175978</v>
      </c>
      <c r="T426">
        <v>1</v>
      </c>
      <c r="U426">
        <v>1.9162336953380594</v>
      </c>
    </row>
    <row r="427" spans="1:21">
      <c r="A427">
        <v>0.98051751077408722</v>
      </c>
      <c r="B427">
        <v>-1.1445928430929513</v>
      </c>
      <c r="C427">
        <v>0.39813762478532438</v>
      </c>
      <c r="D427">
        <v>0.85066336142158527</v>
      </c>
      <c r="E427">
        <v>0.56485957332915859</v>
      </c>
      <c r="F427">
        <v>-0.15230964133394231</v>
      </c>
      <c r="G427">
        <v>0.24751134734441549</v>
      </c>
      <c r="H427">
        <v>0.9151214101055013</v>
      </c>
      <c r="I427">
        <v>0.28380599861831418</v>
      </c>
      <c r="J427">
        <v>0.39085981367819911</v>
      </c>
      <c r="L427">
        <v>3.0960536766646389</v>
      </c>
      <c r="M427">
        <v>4.4627714847957263</v>
      </c>
      <c r="N427">
        <v>3.6317296836086475</v>
      </c>
      <c r="P427">
        <v>9.9829396151534441E-11</v>
      </c>
      <c r="R427">
        <v>11.407017699081383</v>
      </c>
      <c r="S427">
        <v>11.431778758175978</v>
      </c>
      <c r="T427">
        <v>1</v>
      </c>
      <c r="U427">
        <v>1.9162336953380594</v>
      </c>
    </row>
    <row r="428" spans="1:21">
      <c r="A428">
        <v>0.98999471378444559</v>
      </c>
      <c r="B428">
        <v>-1.1266064213818772</v>
      </c>
      <c r="C428">
        <v>0.36090911109534562</v>
      </c>
      <c r="D428">
        <v>0.23050660058162425</v>
      </c>
      <c r="E428">
        <v>-0.1291285300527224</v>
      </c>
      <c r="F428">
        <v>-0.31874117035538241</v>
      </c>
      <c r="G428">
        <v>0.73037640984605368</v>
      </c>
      <c r="H428">
        <v>0.71230579589914389</v>
      </c>
      <c r="I428">
        <v>0.8994607282677517</v>
      </c>
      <c r="J428">
        <v>0.349954005152534</v>
      </c>
      <c r="L428">
        <v>3.0960569111460985</v>
      </c>
      <c r="M428">
        <v>4.4627653140880197</v>
      </c>
      <c r="N428">
        <v>3.6317328257110653</v>
      </c>
      <c r="P428">
        <v>3.6424571925435372E-11</v>
      </c>
      <c r="R428">
        <v>11.407017699081383</v>
      </c>
      <c r="S428">
        <v>11.431778758175978</v>
      </c>
      <c r="T428">
        <v>1</v>
      </c>
      <c r="U428">
        <v>1.9162336953380594</v>
      </c>
    </row>
    <row r="429" spans="1:21">
      <c r="A429">
        <v>0.97971497854080614</v>
      </c>
      <c r="B429">
        <v>-1.1503325628031422</v>
      </c>
      <c r="C429">
        <v>0.423861908185866</v>
      </c>
      <c r="D429">
        <v>-0.55611992174102587</v>
      </c>
      <c r="E429">
        <v>0.2685878996174495</v>
      </c>
      <c r="F429">
        <v>-7.0093838748912271E-2</v>
      </c>
      <c r="G429">
        <v>0.88265198461009775</v>
      </c>
      <c r="H429">
        <v>0.87564881372090164</v>
      </c>
      <c r="I429">
        <v>0.13154800672034228</v>
      </c>
      <c r="J429">
        <v>0.90212111360720837</v>
      </c>
      <c r="L429">
        <v>3.0960533544425708</v>
      </c>
      <c r="M429">
        <v>4.4627716446910206</v>
      </c>
      <c r="N429">
        <v>3.6317297640483153</v>
      </c>
      <c r="P429">
        <v>1.003167798342253E-10</v>
      </c>
      <c r="R429">
        <v>11.407017699081383</v>
      </c>
      <c r="S429">
        <v>11.431778758175978</v>
      </c>
      <c r="T429">
        <v>1</v>
      </c>
      <c r="U429">
        <v>1.9162336953380594</v>
      </c>
    </row>
    <row r="430" spans="1:21">
      <c r="A430">
        <v>0.97115693123978264</v>
      </c>
      <c r="B430">
        <v>-1.151529161252884</v>
      </c>
      <c r="C430">
        <v>0.40633717885525156</v>
      </c>
      <c r="D430">
        <v>1.9772775262589932E-2</v>
      </c>
      <c r="E430">
        <v>0.15866860892335671</v>
      </c>
      <c r="F430">
        <v>-0.47472812468349052</v>
      </c>
      <c r="G430">
        <v>9.8668327872741157E-2</v>
      </c>
      <c r="H430">
        <v>0.32164434163699129</v>
      </c>
      <c r="I430">
        <v>0.13362558684838693</v>
      </c>
      <c r="J430">
        <v>0.94197795940121476</v>
      </c>
      <c r="L430">
        <v>3.0960544505514709</v>
      </c>
      <c r="M430">
        <v>4.4627709225239025</v>
      </c>
      <c r="N430">
        <v>3.6317294918018059</v>
      </c>
      <c r="P430">
        <v>9.7711679638866895E-11</v>
      </c>
      <c r="R430">
        <v>11.407017699081383</v>
      </c>
      <c r="S430">
        <v>11.431778758175978</v>
      </c>
      <c r="T430">
        <v>1</v>
      </c>
      <c r="U430">
        <v>1.9162336953380594</v>
      </c>
    </row>
    <row r="431" spans="1:21">
      <c r="A431">
        <v>1.1729602719954375</v>
      </c>
      <c r="B431">
        <v>-0.9513779541600107</v>
      </c>
      <c r="C431">
        <v>0.12277229137122611</v>
      </c>
      <c r="D431">
        <v>0.65977834855250794</v>
      </c>
      <c r="E431">
        <v>0.16016022456531698</v>
      </c>
      <c r="F431">
        <v>0.17531883730778872</v>
      </c>
      <c r="G431">
        <v>0.83500251512702439</v>
      </c>
      <c r="H431">
        <v>0.24861736796229178</v>
      </c>
      <c r="I431">
        <v>0.38669043292341138</v>
      </c>
      <c r="J431">
        <v>0.77483191608643209</v>
      </c>
      <c r="L431">
        <v>3.0960545039695773</v>
      </c>
      <c r="M431">
        <v>4.4627647273745117</v>
      </c>
      <c r="N431">
        <v>0.84006744623707341</v>
      </c>
      <c r="P431">
        <v>2.2816545508539322E-12</v>
      </c>
      <c r="R431">
        <v>4.6357090519507596</v>
      </c>
      <c r="S431">
        <v>4.638002539904412</v>
      </c>
      <c r="T431">
        <v>1</v>
      </c>
      <c r="U431">
        <v>1.6744756138270898</v>
      </c>
    </row>
    <row r="432" spans="1:21">
      <c r="A432">
        <v>1.1659350312270058</v>
      </c>
      <c r="B432">
        <v>-0.94881029470960421</v>
      </c>
      <c r="C432">
        <v>0.12938628563682128</v>
      </c>
      <c r="D432">
        <v>3.2567917904239088E-2</v>
      </c>
      <c r="E432">
        <v>-4.9037681330650194E-2</v>
      </c>
      <c r="F432">
        <v>0.15101415135350957</v>
      </c>
      <c r="G432">
        <v>8.5150498298203731E-2</v>
      </c>
      <c r="H432">
        <v>0.1008819114828753</v>
      </c>
      <c r="I432">
        <v>0.6210969469379708</v>
      </c>
      <c r="J432">
        <v>0.7329662007703589</v>
      </c>
      <c r="L432">
        <v>3.0960542942680469</v>
      </c>
      <c r="M432">
        <v>4.4627645112920877</v>
      </c>
      <c r="N432">
        <v>0.8400674544353921</v>
      </c>
      <c r="P432">
        <v>2.0353591037505328E-12</v>
      </c>
      <c r="R432">
        <v>4.6357090519507596</v>
      </c>
      <c r="S432">
        <v>4.638002539904412</v>
      </c>
      <c r="T432">
        <v>1</v>
      </c>
      <c r="U432">
        <v>1.6744756138270898</v>
      </c>
    </row>
    <row r="433" spans="1:21">
      <c r="A433">
        <v>1.184625248666364</v>
      </c>
      <c r="B433">
        <v>-0.93435012185830524</v>
      </c>
      <c r="C433">
        <v>0.14850539555502829</v>
      </c>
      <c r="D433">
        <v>-0.72428082095326585</v>
      </c>
      <c r="E433">
        <v>-0.47253070715461309</v>
      </c>
      <c r="F433">
        <v>0.16629017457186385</v>
      </c>
      <c r="G433">
        <v>0.23054696850370165</v>
      </c>
      <c r="H433">
        <v>0.92218344508410022</v>
      </c>
      <c r="I433">
        <v>0.15098548916474547</v>
      </c>
      <c r="J433">
        <v>0.46535083563696789</v>
      </c>
      <c r="L433">
        <v>3.0960538761808079</v>
      </c>
      <c r="M433">
        <v>4.4627653830305327</v>
      </c>
      <c r="N433">
        <v>0.84006453613485843</v>
      </c>
      <c r="P433">
        <v>9.4690433626704127E-12</v>
      </c>
      <c r="R433">
        <v>4.6357090519507596</v>
      </c>
      <c r="S433">
        <v>4.638002539904412</v>
      </c>
      <c r="T433">
        <v>1</v>
      </c>
      <c r="U433">
        <v>1.6744756138270898</v>
      </c>
    </row>
    <row r="434" spans="1:21">
      <c r="A434">
        <v>1.1756628167096015</v>
      </c>
      <c r="B434">
        <v>-0.94073662367044775</v>
      </c>
      <c r="C434">
        <v>0.13234338324329264</v>
      </c>
      <c r="D434">
        <v>-0.11511504258493632</v>
      </c>
      <c r="E434">
        <v>-0.71388926903650374</v>
      </c>
      <c r="F434">
        <v>4.0197060902829006E-2</v>
      </c>
      <c r="G434">
        <v>0.19495672056395269</v>
      </c>
      <c r="H434">
        <v>0.50949004050381164</v>
      </c>
      <c r="I434">
        <v>0.1430028370069038</v>
      </c>
      <c r="J434">
        <v>0.26553491671372492</v>
      </c>
      <c r="L434">
        <v>3.096053779796359</v>
      </c>
      <c r="M434">
        <v>4.4627655707734935</v>
      </c>
      <c r="N434">
        <v>0.84006466252755663</v>
      </c>
      <c r="P434">
        <v>8.6585217330150662E-12</v>
      </c>
      <c r="R434">
        <v>4.6357090519507596</v>
      </c>
      <c r="S434">
        <v>4.638002539904412</v>
      </c>
      <c r="T434">
        <v>1</v>
      </c>
      <c r="U434">
        <v>1.6744756138270898</v>
      </c>
    </row>
    <row r="435" spans="1:21">
      <c r="A435">
        <v>1.174093031794667</v>
      </c>
      <c r="B435">
        <v>-0.95646100613524199</v>
      </c>
      <c r="C435">
        <v>0.13608235747361114</v>
      </c>
      <c r="D435">
        <v>0.36582432341464538</v>
      </c>
      <c r="E435">
        <v>0.78706034559343285</v>
      </c>
      <c r="F435">
        <v>-0.51908996342722447</v>
      </c>
      <c r="G435">
        <v>0.98046555212633979</v>
      </c>
      <c r="H435">
        <v>0.1149621095493009</v>
      </c>
      <c r="I435">
        <v>0.35261694494337131</v>
      </c>
      <c r="J435">
        <v>0.88662996699564578</v>
      </c>
      <c r="L435">
        <v>3.0960548218102404</v>
      </c>
      <c r="M435">
        <v>4.4627644033961165</v>
      </c>
      <c r="N435">
        <v>0.84006672794672743</v>
      </c>
      <c r="P435">
        <v>4.36248594279164E-12</v>
      </c>
      <c r="R435">
        <v>4.6357090519507596</v>
      </c>
      <c r="S435">
        <v>4.638002539904412</v>
      </c>
      <c r="T435">
        <v>1</v>
      </c>
      <c r="U435">
        <v>1.6744756138270898</v>
      </c>
    </row>
    <row r="436" spans="1:21">
      <c r="A436">
        <v>1.1881396465717333</v>
      </c>
      <c r="B436">
        <v>-0.93698835012193527</v>
      </c>
      <c r="C436">
        <v>0.13525553390546033</v>
      </c>
      <c r="D436">
        <v>-0.40778673293503137</v>
      </c>
      <c r="E436">
        <v>0.83240530752793906</v>
      </c>
      <c r="F436">
        <v>0.14287883206941332</v>
      </c>
      <c r="G436">
        <v>0.82707323501689989</v>
      </c>
      <c r="H436">
        <v>0.65135456077397036</v>
      </c>
      <c r="I436">
        <v>0.82342642280339085</v>
      </c>
      <c r="J436">
        <v>0.27932758680210995</v>
      </c>
      <c r="L436">
        <v>3.0960535012941213</v>
      </c>
      <c r="M436">
        <v>4.462765128473122</v>
      </c>
      <c r="N436">
        <v>0.84006781865204083</v>
      </c>
      <c r="P436">
        <v>2.7635497628322862E-13</v>
      </c>
      <c r="R436">
        <v>4.6357090519507596</v>
      </c>
      <c r="S436">
        <v>4.638002539904412</v>
      </c>
      <c r="T436">
        <v>1</v>
      </c>
      <c r="U436">
        <v>1.6744756138270898</v>
      </c>
    </row>
    <row r="437" spans="1:21">
      <c r="A437">
        <v>1.1871700291277416</v>
      </c>
      <c r="B437">
        <v>-0.93621165262988504</v>
      </c>
      <c r="C437">
        <v>0.13072526945850613</v>
      </c>
      <c r="D437">
        <v>0.26936395935662788</v>
      </c>
      <c r="E437">
        <v>0.10896364617424303</v>
      </c>
      <c r="F437">
        <v>0.37916625814282823</v>
      </c>
      <c r="G437">
        <v>0.705460836744499</v>
      </c>
      <c r="H437">
        <v>0.97668756463515816</v>
      </c>
      <c r="I437">
        <v>0.41398592656304473</v>
      </c>
      <c r="J437">
        <v>0.22602587129376867</v>
      </c>
      <c r="L437">
        <v>3.0960545860962165</v>
      </c>
      <c r="M437">
        <v>4.4627643653260574</v>
      </c>
      <c r="N437">
        <v>0.84006709168148819</v>
      </c>
      <c r="P437">
        <v>3.2403530132017038E-12</v>
      </c>
      <c r="R437">
        <v>4.6357090519507596</v>
      </c>
      <c r="S437">
        <v>4.638002539904412</v>
      </c>
      <c r="T437">
        <v>1</v>
      </c>
      <c r="U437">
        <v>1.6744756138270898</v>
      </c>
    </row>
    <row r="438" spans="1:21">
      <c r="A438">
        <v>1.1793394255297336</v>
      </c>
      <c r="B438">
        <v>-0.9440557470623</v>
      </c>
      <c r="C438">
        <v>0.13148801827514467</v>
      </c>
      <c r="D438">
        <v>0.27088709587854043</v>
      </c>
      <c r="E438">
        <v>0.41690241397117678</v>
      </c>
      <c r="F438">
        <v>0.22594124728031451</v>
      </c>
      <c r="G438">
        <v>0.82288324027127457</v>
      </c>
      <c r="H438">
        <v>0.70759950326200083</v>
      </c>
      <c r="I438">
        <v>0.67532743046761134</v>
      </c>
      <c r="J438">
        <v>0.71963799211086132</v>
      </c>
      <c r="L438">
        <v>3.0960548629059135</v>
      </c>
      <c r="M438">
        <v>4.4627645548051715</v>
      </c>
      <c r="N438">
        <v>0.84006491797880001</v>
      </c>
      <c r="P438">
        <v>1.0380988294043438E-11</v>
      </c>
      <c r="R438">
        <v>4.6357090519507596</v>
      </c>
      <c r="S438">
        <v>4.638002539904412</v>
      </c>
      <c r="T438">
        <v>1</v>
      </c>
      <c r="U438">
        <v>1.6744756138270898</v>
      </c>
    </row>
    <row r="439" spans="1:21">
      <c r="A439">
        <v>1.1754463697760094</v>
      </c>
      <c r="B439">
        <v>-0.94459238279868174</v>
      </c>
      <c r="C439">
        <v>0.14489909178508492</v>
      </c>
      <c r="D439">
        <v>-0.40413150279542059</v>
      </c>
      <c r="E439">
        <v>0.25730755225891305</v>
      </c>
      <c r="F439">
        <v>-0.84559915914232309</v>
      </c>
      <c r="G439">
        <v>0.94644838493037742</v>
      </c>
      <c r="H439">
        <v>0.97714449770102263</v>
      </c>
      <c r="I439">
        <v>0.99343647702469817</v>
      </c>
      <c r="J439">
        <v>0.73178702811269447</v>
      </c>
      <c r="L439">
        <v>3.0960549128910824</v>
      </c>
      <c r="M439">
        <v>4.4627642927795073</v>
      </c>
      <c r="N439">
        <v>0.84006626393790307</v>
      </c>
      <c r="P439">
        <v>5.8399757175240845E-12</v>
      </c>
      <c r="R439">
        <v>4.6357090519507596</v>
      </c>
      <c r="S439">
        <v>4.638002539904412</v>
      </c>
      <c r="T439">
        <v>1</v>
      </c>
      <c r="U439">
        <v>1.6744756138270898</v>
      </c>
    </row>
    <row r="440" spans="1:21">
      <c r="A440">
        <v>1.1786964093128887</v>
      </c>
      <c r="B440">
        <v>-0.94839549448342664</v>
      </c>
      <c r="C440">
        <v>0.13261687780370848</v>
      </c>
      <c r="D440">
        <v>0.45927722144633232</v>
      </c>
      <c r="E440">
        <v>0.396489969933839</v>
      </c>
      <c r="F440">
        <v>0.27657000056438014</v>
      </c>
      <c r="G440">
        <v>0.88784486126875983</v>
      </c>
      <c r="H440">
        <v>0.53937576986043334</v>
      </c>
      <c r="I440">
        <v>0.36160986403929074</v>
      </c>
      <c r="J440">
        <v>0.93651953588318881</v>
      </c>
      <c r="L440">
        <v>3.0960547258514821</v>
      </c>
      <c r="M440">
        <v>4.4627650174153262</v>
      </c>
      <c r="N440">
        <v>0.84006449343424516</v>
      </c>
      <c r="P440">
        <v>1.1825859582708753E-11</v>
      </c>
      <c r="R440">
        <v>4.6357090519507596</v>
      </c>
      <c r="S440">
        <v>4.638002539904412</v>
      </c>
      <c r="T440">
        <v>1</v>
      </c>
      <c r="U440">
        <v>1.6744756138270898</v>
      </c>
    </row>
    <row r="441" spans="1:21">
      <c r="A441">
        <v>1.041411549181837</v>
      </c>
      <c r="B441">
        <v>-1.0001958203357213</v>
      </c>
      <c r="C441">
        <v>0.10417720355601746</v>
      </c>
      <c r="D441">
        <v>8.2147317853512744E-2</v>
      </c>
      <c r="E441">
        <v>-4.4204759031269567E-2</v>
      </c>
      <c r="F441">
        <v>0.19132407444451735</v>
      </c>
      <c r="G441">
        <v>0.15323114929932072</v>
      </c>
      <c r="H441">
        <v>0.18005785000322674</v>
      </c>
      <c r="I441">
        <v>0.68572839448425849</v>
      </c>
      <c r="J441">
        <v>3.615755879147798E-2</v>
      </c>
      <c r="L441">
        <v>3.0960518395056558</v>
      </c>
      <c r="M441">
        <v>0.90857024189601954</v>
      </c>
      <c r="N441">
        <v>3.6317375372670746</v>
      </c>
      <c r="P441">
        <v>1.6702896065913489E-11</v>
      </c>
      <c r="R441">
        <v>8.6702125209460892</v>
      </c>
      <c r="S441">
        <v>8.6904484429411184</v>
      </c>
      <c r="T441">
        <v>1</v>
      </c>
      <c r="U441">
        <v>1.9146710972319407</v>
      </c>
    </row>
    <row r="442" spans="1:21">
      <c r="A442">
        <v>1.0386082464084259</v>
      </c>
      <c r="B442">
        <v>-1.005577543665146</v>
      </c>
      <c r="C442">
        <v>0.10528513991421276</v>
      </c>
      <c r="D442">
        <v>-0.29746367455684408</v>
      </c>
      <c r="E442">
        <v>-0.10486085551796233</v>
      </c>
      <c r="F442">
        <v>0.1394459525418659</v>
      </c>
      <c r="G442">
        <v>0.87601586756080962</v>
      </c>
      <c r="H442">
        <v>0.10443206611880264</v>
      </c>
      <c r="I442">
        <v>0.81023737344588542</v>
      </c>
      <c r="J442">
        <v>0.77811871836153701</v>
      </c>
      <c r="L442">
        <v>3.0960520059277719</v>
      </c>
      <c r="M442">
        <v>0.90857030177844678</v>
      </c>
      <c r="N442">
        <v>3.6317376947111271</v>
      </c>
      <c r="P442">
        <v>1.680916805809785E-11</v>
      </c>
      <c r="R442">
        <v>8.6702125209460892</v>
      </c>
      <c r="S442">
        <v>8.6904484429411184</v>
      </c>
      <c r="T442">
        <v>1</v>
      </c>
      <c r="U442">
        <v>1.9146710972319407</v>
      </c>
    </row>
    <row r="443" spans="1:21">
      <c r="A443">
        <v>1.0334743142240173</v>
      </c>
      <c r="B443">
        <v>-1.002378060436107</v>
      </c>
      <c r="C443">
        <v>0.10926888649598443</v>
      </c>
      <c r="D443">
        <v>-5.4079847907989843E-2</v>
      </c>
      <c r="E443">
        <v>-2.9059981743986961E-2</v>
      </c>
      <c r="F443">
        <v>-0.37917560250893412</v>
      </c>
      <c r="G443">
        <v>0.23380163249627045</v>
      </c>
      <c r="H443">
        <v>0.50542151301020566</v>
      </c>
      <c r="I443">
        <v>0.52223572151730291</v>
      </c>
      <c r="J443">
        <v>0.66965610229363581</v>
      </c>
      <c r="L443">
        <v>3.0960519181889263</v>
      </c>
      <c r="M443">
        <v>0.90857024750772764</v>
      </c>
      <c r="N443">
        <v>3.631737661020261</v>
      </c>
      <c r="P443">
        <v>1.6574197964518431E-11</v>
      </c>
      <c r="R443">
        <v>8.6702125209460892</v>
      </c>
      <c r="S443">
        <v>8.6904484429411184</v>
      </c>
      <c r="T443">
        <v>1</v>
      </c>
      <c r="U443">
        <v>1.9146710972319407</v>
      </c>
    </row>
    <row r="444" spans="1:21">
      <c r="A444">
        <v>1.0372221678858569</v>
      </c>
      <c r="B444">
        <v>-1.0193700592244015</v>
      </c>
      <c r="C444">
        <v>0.15458477119641553</v>
      </c>
      <c r="D444">
        <v>4.9062579691049484E-2</v>
      </c>
      <c r="E444">
        <v>-0.10012188838897458</v>
      </c>
      <c r="F444">
        <v>0.79920221554589532</v>
      </c>
      <c r="G444">
        <v>0.85494033870572128</v>
      </c>
      <c r="H444">
        <v>0.93726941996429214</v>
      </c>
      <c r="I444">
        <v>0.2226352482282507</v>
      </c>
      <c r="J444">
        <v>0.79794340811949971</v>
      </c>
      <c r="L444">
        <v>3.0960520388259485</v>
      </c>
      <c r="M444">
        <v>0.90857038345813146</v>
      </c>
      <c r="N444">
        <v>3.6317374014083046</v>
      </c>
      <c r="P444">
        <v>1.7368129495992924E-11</v>
      </c>
      <c r="R444">
        <v>8.6702125209460892</v>
      </c>
      <c r="S444">
        <v>8.6904484429411184</v>
      </c>
      <c r="T444">
        <v>1</v>
      </c>
      <c r="U444">
        <v>1.9146710972319407</v>
      </c>
    </row>
    <row r="445" spans="1:21">
      <c r="A445">
        <v>1.0363634027008404</v>
      </c>
      <c r="B445">
        <v>-1.012227396147485</v>
      </c>
      <c r="C445">
        <v>0.13704511018538199</v>
      </c>
      <c r="D445">
        <v>0.20621593626974555</v>
      </c>
      <c r="E445">
        <v>-0.18741304652494403</v>
      </c>
      <c r="F445">
        <v>0.55231545208719912</v>
      </c>
      <c r="G445">
        <v>0.31414489562221526</v>
      </c>
      <c r="H445">
        <v>0.71208468442789119</v>
      </c>
      <c r="I445">
        <v>8.9736975565361199E-2</v>
      </c>
      <c r="J445">
        <v>0.5926313374003096</v>
      </c>
      <c r="L445">
        <v>3.0960522497417822</v>
      </c>
      <c r="M445">
        <v>0.90857045623621946</v>
      </c>
      <c r="N445">
        <v>3.6317373633107293</v>
      </c>
      <c r="P445">
        <v>1.7562306778914975E-11</v>
      </c>
      <c r="R445">
        <v>8.6702125209460892</v>
      </c>
      <c r="S445">
        <v>8.6904484429411184</v>
      </c>
      <c r="T445">
        <v>1</v>
      </c>
      <c r="U445">
        <v>1.9146710972319407</v>
      </c>
    </row>
    <row r="446" spans="1:21">
      <c r="A446">
        <v>1.0382231039531893</v>
      </c>
      <c r="B446">
        <v>-1.0145815575026065</v>
      </c>
      <c r="C446">
        <v>0.14868953338194449</v>
      </c>
      <c r="D446">
        <v>-0.21119615159861072</v>
      </c>
      <c r="E446">
        <v>-8.9294387474628395E-2</v>
      </c>
      <c r="F446">
        <v>-2.128789539885536E-2</v>
      </c>
      <c r="G446">
        <v>0.87359689931953366</v>
      </c>
      <c r="H446">
        <v>0.96232543170319762</v>
      </c>
      <c r="I446">
        <v>0.50652615562841796</v>
      </c>
      <c r="J446">
        <v>0.20438326721443983</v>
      </c>
      <c r="L446">
        <v>3.0960519338732939</v>
      </c>
      <c r="M446">
        <v>0.90857029759598296</v>
      </c>
      <c r="N446">
        <v>3.631737552900892</v>
      </c>
      <c r="P446">
        <v>1.6908978096057219E-11</v>
      </c>
      <c r="R446">
        <v>8.6702125209460892</v>
      </c>
      <c r="S446">
        <v>8.6904484429411184</v>
      </c>
      <c r="T446">
        <v>1</v>
      </c>
      <c r="U446">
        <v>1.9146710972319407</v>
      </c>
    </row>
    <row r="447" spans="1:21">
      <c r="A447">
        <v>1.0361505193400811</v>
      </c>
      <c r="B447">
        <v>-1.0203832060257729</v>
      </c>
      <c r="C447">
        <v>0.15349279831963816</v>
      </c>
      <c r="D447">
        <v>9.8781776444087227E-2</v>
      </c>
      <c r="E447">
        <v>5.3290523220773656E-2</v>
      </c>
      <c r="F447">
        <v>0.18198867899453258</v>
      </c>
      <c r="G447">
        <v>0.73718391945887962</v>
      </c>
      <c r="H447">
        <v>0.79675842898868232</v>
      </c>
      <c r="I447">
        <v>0.16007226536481839</v>
      </c>
      <c r="J447">
        <v>0.20690390529899597</v>
      </c>
      <c r="L447">
        <v>3.0960521607809941</v>
      </c>
      <c r="M447">
        <v>0.90857044740223525</v>
      </c>
      <c r="N447">
        <v>3.6317372684409781</v>
      </c>
      <c r="P447">
        <v>1.7688232309973559E-11</v>
      </c>
      <c r="R447">
        <v>8.6702125209460892</v>
      </c>
      <c r="S447">
        <v>8.6904484429411184</v>
      </c>
      <c r="T447">
        <v>1</v>
      </c>
      <c r="U447">
        <v>1.9146710972319407</v>
      </c>
    </row>
    <row r="448" spans="1:21">
      <c r="A448">
        <v>1.0363471271825702</v>
      </c>
      <c r="B448">
        <v>-1.003733061979688</v>
      </c>
      <c r="C448">
        <v>0.12403729296447269</v>
      </c>
      <c r="D448">
        <v>-0.18232737228474788</v>
      </c>
      <c r="E448">
        <v>-0.29670854043533496</v>
      </c>
      <c r="F448">
        <v>0.20812365891490328</v>
      </c>
      <c r="G448">
        <v>0.23683700049537909</v>
      </c>
      <c r="H448">
        <v>0.71401130498736587</v>
      </c>
      <c r="I448">
        <v>0.38660209400480011</v>
      </c>
      <c r="J448">
        <v>0.72426264161931109</v>
      </c>
      <c r="L448">
        <v>3.0960518620138879</v>
      </c>
      <c r="M448">
        <v>0.90857020925198173</v>
      </c>
      <c r="N448">
        <v>3.6317376727157753</v>
      </c>
      <c r="P448">
        <v>1.6418601882390967E-11</v>
      </c>
      <c r="R448">
        <v>8.6702125209460892</v>
      </c>
      <c r="S448">
        <v>8.6904484429411184</v>
      </c>
      <c r="T448">
        <v>1</v>
      </c>
      <c r="U448">
        <v>1.9146710972319407</v>
      </c>
    </row>
    <row r="449" spans="1:21">
      <c r="A449">
        <v>1.0398363185171744</v>
      </c>
      <c r="B449">
        <v>-1.0045649136189401</v>
      </c>
      <c r="C449">
        <v>0.10331409333281409</v>
      </c>
      <c r="D449">
        <v>5.2509920327042027E-2</v>
      </c>
      <c r="E449">
        <v>-0.22714976622246205</v>
      </c>
      <c r="F449">
        <v>0.19868384334723455</v>
      </c>
      <c r="G449">
        <v>0.92281084213329312</v>
      </c>
      <c r="H449">
        <v>0.34384532764858156</v>
      </c>
      <c r="I449">
        <v>0.830571779707167</v>
      </c>
      <c r="J449">
        <v>0.75276117979920598</v>
      </c>
      <c r="L449">
        <v>3.0960519906223705</v>
      </c>
      <c r="M449">
        <v>0.90857035569593614</v>
      </c>
      <c r="N449">
        <v>3.6317374066160757</v>
      </c>
      <c r="P449">
        <v>1.7249748298908944E-11</v>
      </c>
      <c r="R449">
        <v>8.6702125209460892</v>
      </c>
      <c r="S449">
        <v>8.6904484429411184</v>
      </c>
      <c r="T449">
        <v>1</v>
      </c>
      <c r="U449">
        <v>1.9146710972319407</v>
      </c>
    </row>
    <row r="450" spans="1:21">
      <c r="A450">
        <v>1.0415214644198618</v>
      </c>
      <c r="B450">
        <v>-1.001389475892994</v>
      </c>
      <c r="C450">
        <v>0.11301673188606083</v>
      </c>
      <c r="D450">
        <v>0.52833187309909557</v>
      </c>
      <c r="E450">
        <v>-0.60991700279908956</v>
      </c>
      <c r="F450">
        <v>0.61899023589686086</v>
      </c>
      <c r="G450">
        <v>7.4176050632608889E-2</v>
      </c>
      <c r="H450">
        <v>0.64483242900738214</v>
      </c>
      <c r="I450">
        <v>0.22683937124798859</v>
      </c>
      <c r="J450">
        <v>0.28017006433130431</v>
      </c>
      <c r="L450">
        <v>3.0960521403199879</v>
      </c>
      <c r="M450">
        <v>0.90857041108437064</v>
      </c>
      <c r="N450">
        <v>3.6317373393822896</v>
      </c>
      <c r="P450">
        <v>1.7402033670288613E-11</v>
      </c>
      <c r="R450">
        <v>8.6702125209460892</v>
      </c>
      <c r="S450">
        <v>8.6904484429411184</v>
      </c>
      <c r="T450">
        <v>1</v>
      </c>
      <c r="U450">
        <v>1.9146710972319407</v>
      </c>
    </row>
    <row r="451" spans="1:21">
      <c r="A451">
        <v>0.8824044482147817</v>
      </c>
      <c r="B451">
        <v>-0.93532490729467777</v>
      </c>
      <c r="C451">
        <v>-0.26540530376572019</v>
      </c>
      <c r="D451">
        <v>-1.9345425038421831E-2</v>
      </c>
      <c r="E451">
        <v>0.69612572511135584</v>
      </c>
      <c r="F451">
        <v>-9.4174270459113113E-2</v>
      </c>
      <c r="G451">
        <v>0.68934086688638441</v>
      </c>
      <c r="H451">
        <v>0.25695227280907179</v>
      </c>
      <c r="I451">
        <v>0.87908814704151361</v>
      </c>
      <c r="J451">
        <v>7.5833651953192777E-2</v>
      </c>
      <c r="L451">
        <v>3.0960524525654738</v>
      </c>
      <c r="M451">
        <v>0.90856790049644343</v>
      </c>
      <c r="N451">
        <v>0.84006841045928726</v>
      </c>
      <c r="P451">
        <v>3.6142356157654454E-12</v>
      </c>
      <c r="R451">
        <v>12.491015365653295</v>
      </c>
      <c r="S451">
        <v>12.611025430513319</v>
      </c>
      <c r="T451">
        <v>1</v>
      </c>
      <c r="U451">
        <v>1.6714400023299787</v>
      </c>
    </row>
    <row r="452" spans="1:21">
      <c r="A452">
        <v>0.90261963604995665</v>
      </c>
      <c r="B452">
        <v>-0.94807991573402861</v>
      </c>
      <c r="C452">
        <v>-0.21766640463680623</v>
      </c>
      <c r="D452">
        <v>0.40768075728161568</v>
      </c>
      <c r="E452">
        <v>0.16568893829077327</v>
      </c>
      <c r="F452">
        <v>-0.3369306498539813</v>
      </c>
      <c r="G452">
        <v>0.5427979849882042</v>
      </c>
      <c r="H452">
        <v>6.8109059005979827E-2</v>
      </c>
      <c r="I452">
        <v>0.25050115638470483</v>
      </c>
      <c r="J452">
        <v>0.73396190064812594</v>
      </c>
      <c r="L452">
        <v>3.0960524523805257</v>
      </c>
      <c r="M452">
        <v>0.90856785427031905</v>
      </c>
      <c r="N452">
        <v>0.84006835150193848</v>
      </c>
      <c r="P452">
        <v>3.3718568493634853E-12</v>
      </c>
      <c r="R452">
        <v>12.491015365653295</v>
      </c>
      <c r="S452">
        <v>12.611025430513319</v>
      </c>
      <c r="T452">
        <v>1</v>
      </c>
      <c r="U452">
        <v>1.6714400023299787</v>
      </c>
    </row>
    <row r="453" spans="1:21">
      <c r="A453">
        <v>0.886819933420817</v>
      </c>
      <c r="B453">
        <v>-0.93558310964002189</v>
      </c>
      <c r="C453">
        <v>-0.25113772476472762</v>
      </c>
      <c r="D453">
        <v>-0.22318050641447723</v>
      </c>
      <c r="E453">
        <v>-0.8314665223645793</v>
      </c>
      <c r="F453">
        <v>0.20785428229775182</v>
      </c>
      <c r="G453">
        <v>1.0053344859262696</v>
      </c>
      <c r="H453">
        <v>0.65640891642590427</v>
      </c>
      <c r="I453">
        <v>0.20906136095170022</v>
      </c>
      <c r="J453">
        <v>0.86060499395255019</v>
      </c>
      <c r="L453">
        <v>3.0960524092811235</v>
      </c>
      <c r="M453">
        <v>0.90856786068915818</v>
      </c>
      <c r="N453">
        <v>0.84006837200669526</v>
      </c>
      <c r="P453">
        <v>3.4843214969961436E-12</v>
      </c>
      <c r="R453">
        <v>12.491015365653295</v>
      </c>
      <c r="S453">
        <v>12.611025430513319</v>
      </c>
      <c r="T453">
        <v>1</v>
      </c>
      <c r="U453">
        <v>1.6714400023299787</v>
      </c>
    </row>
    <row r="454" spans="1:21">
      <c r="A454">
        <v>0.84513570786384196</v>
      </c>
      <c r="B454">
        <v>-0.92672601357086426</v>
      </c>
      <c r="C454">
        <v>-0.31731169910655099</v>
      </c>
      <c r="D454">
        <v>-0.15307243432110243</v>
      </c>
      <c r="E454">
        <v>0.33782448117219016</v>
      </c>
      <c r="F454">
        <v>6.7696291154128674E-2</v>
      </c>
      <c r="G454">
        <v>0.90682429182049518</v>
      </c>
      <c r="H454">
        <v>0.9497282464303598</v>
      </c>
      <c r="I454">
        <v>0.42332185278063555</v>
      </c>
      <c r="J454">
        <v>0.15071158291507322</v>
      </c>
      <c r="L454">
        <v>3.096052539568773</v>
      </c>
      <c r="M454">
        <v>0.90856792494454008</v>
      </c>
      <c r="N454">
        <v>0.84006848734402495</v>
      </c>
      <c r="P454">
        <v>3.7271475470775751E-12</v>
      </c>
      <c r="R454">
        <v>12.491015365653295</v>
      </c>
      <c r="S454">
        <v>12.611025430513319</v>
      </c>
      <c r="T454">
        <v>1</v>
      </c>
      <c r="U454">
        <v>1.6714400023299787</v>
      </c>
    </row>
    <row r="455" spans="1:21">
      <c r="A455">
        <v>0.91740392596083753</v>
      </c>
      <c r="B455">
        <v>-0.93816577916028598</v>
      </c>
      <c r="C455">
        <v>-0.20227180311515813</v>
      </c>
      <c r="D455">
        <v>0.2138453481330285</v>
      </c>
      <c r="E455">
        <v>0.30981410778006907</v>
      </c>
      <c r="F455">
        <v>0.41626656613656826</v>
      </c>
      <c r="G455">
        <v>4.2742807153753191E-2</v>
      </c>
      <c r="H455">
        <v>0.40876338092927023</v>
      </c>
      <c r="I455">
        <v>0.87932639514918054</v>
      </c>
      <c r="J455">
        <v>0.61473355134378205</v>
      </c>
      <c r="L455">
        <v>3.0960524769066278</v>
      </c>
      <c r="M455">
        <v>0.90856772162536681</v>
      </c>
      <c r="N455">
        <v>0.84006842384050795</v>
      </c>
      <c r="P455">
        <v>3.0869356540032893E-12</v>
      </c>
      <c r="R455">
        <v>12.491015365653295</v>
      </c>
      <c r="S455">
        <v>12.611025430513319</v>
      </c>
      <c r="T455">
        <v>1</v>
      </c>
      <c r="U455">
        <v>1.6714400023299787</v>
      </c>
    </row>
    <row r="456" spans="1:21">
      <c r="A456">
        <v>0.88561749420365599</v>
      </c>
      <c r="B456">
        <v>-0.93122208936158501</v>
      </c>
      <c r="C456">
        <v>-0.25454055628532746</v>
      </c>
      <c r="D456">
        <v>0.64706607521944071</v>
      </c>
      <c r="E456">
        <v>0.67457832770725035</v>
      </c>
      <c r="F456">
        <v>0.54503440833317274</v>
      </c>
      <c r="G456">
        <v>0.20111591993002773</v>
      </c>
      <c r="H456">
        <v>1.0142336232728235</v>
      </c>
      <c r="I456">
        <v>0.8585555840578134</v>
      </c>
      <c r="J456">
        <v>0.35738094459434683</v>
      </c>
      <c r="L456">
        <v>3.0960524064111223</v>
      </c>
      <c r="M456">
        <v>0.90856801045460034</v>
      </c>
      <c r="N456">
        <v>0.8400683082072663</v>
      </c>
      <c r="P456">
        <v>3.8558175126062618E-12</v>
      </c>
      <c r="R456">
        <v>12.491015365653295</v>
      </c>
      <c r="S456">
        <v>12.611025430513319</v>
      </c>
      <c r="T456">
        <v>1</v>
      </c>
      <c r="U456">
        <v>1.6714400023299787</v>
      </c>
    </row>
    <row r="457" spans="1:21">
      <c r="A457">
        <v>0.90855473897096894</v>
      </c>
      <c r="B457">
        <v>-0.94302826764805459</v>
      </c>
      <c r="C457">
        <v>-0.21980640951813427</v>
      </c>
      <c r="D457">
        <v>0.18659548422100014</v>
      </c>
      <c r="E457">
        <v>-0.66488576920143605</v>
      </c>
      <c r="F457">
        <v>0.50876741469429254</v>
      </c>
      <c r="G457">
        <v>0.59879764842217853</v>
      </c>
      <c r="H457">
        <v>8.138601800880442E-2</v>
      </c>
      <c r="I457">
        <v>0.11217634980412905</v>
      </c>
      <c r="J457">
        <v>0.95871596607690701</v>
      </c>
      <c r="L457">
        <v>3.0960524315406062</v>
      </c>
      <c r="M457">
        <v>0.90856791832835915</v>
      </c>
      <c r="N457">
        <v>0.84006833873003117</v>
      </c>
      <c r="P457">
        <v>3.5743585844256424E-12</v>
      </c>
      <c r="R457">
        <v>12.491015365653295</v>
      </c>
      <c r="S457">
        <v>12.611025430513319</v>
      </c>
      <c r="T457">
        <v>1</v>
      </c>
      <c r="U457">
        <v>1.6714400023299787</v>
      </c>
    </row>
    <row r="458" spans="1:21">
      <c r="A458">
        <v>0.88060707432328855</v>
      </c>
      <c r="B458">
        <v>-0.93451562153390921</v>
      </c>
      <c r="C458">
        <v>-0.25036827728889544</v>
      </c>
      <c r="D458">
        <v>0.10018712153878094</v>
      </c>
      <c r="E458">
        <v>-0.47642217161922323</v>
      </c>
      <c r="F458">
        <v>-0.80342572617041486</v>
      </c>
      <c r="G458">
        <v>0.60498791914379102</v>
      </c>
      <c r="H458">
        <v>1.0128300909845127</v>
      </c>
      <c r="I458">
        <v>0.1243875016751462</v>
      </c>
      <c r="J458">
        <v>0.13103832284444963</v>
      </c>
      <c r="L458">
        <v>3.0960525255069782</v>
      </c>
      <c r="M458">
        <v>0.90856785622725844</v>
      </c>
      <c r="N458">
        <v>0.84006843312015256</v>
      </c>
      <c r="P458">
        <v>3.4301605785545937E-12</v>
      </c>
      <c r="R458">
        <v>12.491015365653295</v>
      </c>
      <c r="S458">
        <v>12.611025430513319</v>
      </c>
      <c r="T458">
        <v>1</v>
      </c>
      <c r="U458">
        <v>1.6714400023299787</v>
      </c>
    </row>
    <row r="459" spans="1:21">
      <c r="A459">
        <v>0.94274191004069374</v>
      </c>
      <c r="B459">
        <v>-0.94494673220650005</v>
      </c>
      <c r="C459">
        <v>-0.16382084709440897</v>
      </c>
      <c r="D459">
        <v>0.66544804654954892</v>
      </c>
      <c r="E459">
        <v>-0.80942406505425635</v>
      </c>
      <c r="F459">
        <v>-0.44060996457604523</v>
      </c>
      <c r="G459">
        <v>0.85241755467461755</v>
      </c>
      <c r="H459">
        <v>0.91745539614911675</v>
      </c>
      <c r="I459">
        <v>0.92135004121308639</v>
      </c>
      <c r="J459">
        <v>0.89337076062933196</v>
      </c>
      <c r="L459">
        <v>3.0960526519658886</v>
      </c>
      <c r="M459">
        <v>0.90856784651499978</v>
      </c>
      <c r="N459">
        <v>0.84006845214703074</v>
      </c>
      <c r="P459">
        <v>3.3047566126567255E-12</v>
      </c>
      <c r="R459">
        <v>12.491015365653295</v>
      </c>
      <c r="S459">
        <v>12.611025430513319</v>
      </c>
      <c r="T459">
        <v>1</v>
      </c>
      <c r="U459">
        <v>1.6714400023299787</v>
      </c>
    </row>
    <row r="460" spans="1:21">
      <c r="A460">
        <v>0.91594410770268664</v>
      </c>
      <c r="B460">
        <v>-0.93118308584902698</v>
      </c>
      <c r="C460">
        <v>-0.23202750109533571</v>
      </c>
      <c r="D460">
        <v>0.31397093776354779</v>
      </c>
      <c r="E460">
        <v>-0.63174352209425666</v>
      </c>
      <c r="F460">
        <v>0.59581928877304768</v>
      </c>
      <c r="G460">
        <v>0.62140951457820026</v>
      </c>
      <c r="H460">
        <v>0.51299800574021059</v>
      </c>
      <c r="I460">
        <v>0.89416420496562943</v>
      </c>
      <c r="J460">
        <v>6.8680707367671914E-2</v>
      </c>
      <c r="L460">
        <v>3.0960524705385182</v>
      </c>
      <c r="M460">
        <v>0.90856791698901751</v>
      </c>
      <c r="N460">
        <v>0.8400684338305251</v>
      </c>
      <c r="P460">
        <v>3.6845161999906215E-12</v>
      </c>
      <c r="R460">
        <v>12.491015365653295</v>
      </c>
      <c r="S460">
        <v>12.611025430513319</v>
      </c>
      <c r="T460">
        <v>1</v>
      </c>
      <c r="U460">
        <v>1.6714400023299787</v>
      </c>
    </row>
    <row r="461" spans="1:21">
      <c r="A461">
        <v>1.0674804412153556</v>
      </c>
      <c r="B461">
        <v>-0.92853318715288691</v>
      </c>
      <c r="C461">
        <v>-3.681487781782164E-2</v>
      </c>
      <c r="D461">
        <v>0.12299751382278737</v>
      </c>
      <c r="E461">
        <v>-0.25304262092845586</v>
      </c>
      <c r="F461">
        <v>0.91058945908542566</v>
      </c>
      <c r="G461">
        <v>0.75569600238684786</v>
      </c>
      <c r="H461">
        <v>0.96494112102849616</v>
      </c>
      <c r="I461">
        <v>0.57628055913131682</v>
      </c>
      <c r="J461">
        <v>0.19464311940562962</v>
      </c>
      <c r="L461">
        <v>3.0960528845425985</v>
      </c>
      <c r="M461">
        <v>3.6317371523831055</v>
      </c>
      <c r="N461">
        <v>0.84006747769095813</v>
      </c>
      <c r="P461">
        <v>1.8201373840641507E-13</v>
      </c>
      <c r="R461">
        <v>4.0498565184144342</v>
      </c>
      <c r="S461">
        <v>4.0515953972785423</v>
      </c>
      <c r="T461">
        <v>1</v>
      </c>
      <c r="U461">
        <v>1.9210899607510143</v>
      </c>
    </row>
    <row r="462" spans="1:21">
      <c r="A462">
        <v>1.0609171883251376</v>
      </c>
      <c r="B462">
        <v>-0.94287725857713767</v>
      </c>
      <c r="C462">
        <v>-2.2971335047966671E-2</v>
      </c>
      <c r="D462">
        <v>-0.28237552354112166</v>
      </c>
      <c r="E462">
        <v>-0.16800004513795133</v>
      </c>
      <c r="F462">
        <v>0.41778445856698848</v>
      </c>
      <c r="G462">
        <v>0.7066804004782421</v>
      </c>
      <c r="H462">
        <v>0.10412601760665202</v>
      </c>
      <c r="I462">
        <v>0.70494928319201433</v>
      </c>
      <c r="J462">
        <v>0.81958418666672384</v>
      </c>
      <c r="L462">
        <v>3.096053612295901</v>
      </c>
      <c r="M462">
        <v>3.6317369114782587</v>
      </c>
      <c r="N462">
        <v>0.84006627867529038</v>
      </c>
      <c r="P462">
        <v>2.1437470324837719E-12</v>
      </c>
      <c r="R462">
        <v>4.0498565184144342</v>
      </c>
      <c r="S462">
        <v>4.0515953972785423</v>
      </c>
      <c r="T462">
        <v>1</v>
      </c>
      <c r="U462">
        <v>1.9210899607510143</v>
      </c>
    </row>
    <row r="463" spans="1:21">
      <c r="A463">
        <v>1.0667075469332024</v>
      </c>
      <c r="B463">
        <v>-0.94531649079735902</v>
      </c>
      <c r="C463">
        <v>-9.5078243705967319E-3</v>
      </c>
      <c r="D463">
        <v>0.1440274782234808</v>
      </c>
      <c r="E463">
        <v>0.5549016749552339</v>
      </c>
      <c r="F463">
        <v>-0.47778486349870081</v>
      </c>
      <c r="G463">
        <v>0.57838187957520626</v>
      </c>
      <c r="H463">
        <v>0.3051047585900678</v>
      </c>
      <c r="I463">
        <v>0.23640519092039378</v>
      </c>
      <c r="J463">
        <v>0.3141025215902265</v>
      </c>
      <c r="L463">
        <v>3.096053645269905</v>
      </c>
      <c r="M463">
        <v>3.6317369406046613</v>
      </c>
      <c r="N463">
        <v>0.84006623898736132</v>
      </c>
      <c r="P463">
        <v>2.2435320171916499E-12</v>
      </c>
      <c r="R463">
        <v>4.0498565184144342</v>
      </c>
      <c r="S463">
        <v>4.0515953972785423</v>
      </c>
      <c r="T463">
        <v>1</v>
      </c>
      <c r="U463">
        <v>1.9210899607510143</v>
      </c>
    </row>
    <row r="464" spans="1:21">
      <c r="A464">
        <v>1.0639686187152528</v>
      </c>
      <c r="B464">
        <v>-0.93575497087989212</v>
      </c>
      <c r="C464">
        <v>-9.3773606926364269E-3</v>
      </c>
      <c r="D464">
        <v>-0.61276994708006549</v>
      </c>
      <c r="E464">
        <v>-0.12428315200870317</v>
      </c>
      <c r="F464">
        <v>5.7949281541377407E-2</v>
      </c>
      <c r="G464">
        <v>6.6489494021989864E-2</v>
      </c>
      <c r="H464">
        <v>0.46743833839019644</v>
      </c>
      <c r="I464">
        <v>0.14856519246146085</v>
      </c>
      <c r="J464">
        <v>0.32421040290143832</v>
      </c>
      <c r="L464">
        <v>3.0960535792314374</v>
      </c>
      <c r="M464">
        <v>3.631736510319179</v>
      </c>
      <c r="N464">
        <v>0.84006747293799422</v>
      </c>
      <c r="P464">
        <v>1.2279798250891526E-12</v>
      </c>
      <c r="R464">
        <v>4.0498565184144342</v>
      </c>
      <c r="S464">
        <v>4.0515953972785423</v>
      </c>
      <c r="T464">
        <v>1</v>
      </c>
      <c r="U464">
        <v>1.9210899607510143</v>
      </c>
    </row>
    <row r="465" spans="1:21">
      <c r="A465">
        <v>1.0558504042070962</v>
      </c>
      <c r="B465">
        <v>-0.95040958050031243</v>
      </c>
      <c r="C465">
        <v>-2.4228182237274157E-3</v>
      </c>
      <c r="D465">
        <v>-1.9096058370385149E-2</v>
      </c>
      <c r="E465">
        <v>-0.39421131551802524</v>
      </c>
      <c r="F465">
        <v>-0.37147443554222764</v>
      </c>
      <c r="G465">
        <v>5.6253501072287063E-2</v>
      </c>
      <c r="H465">
        <v>0.10395289668696829</v>
      </c>
      <c r="I465">
        <v>0.18771201184250275</v>
      </c>
      <c r="J465">
        <v>0.84916830395427756</v>
      </c>
      <c r="L465">
        <v>3.0960544597205693</v>
      </c>
      <c r="M465">
        <v>3.631736186829261</v>
      </c>
      <c r="N465">
        <v>0.84006647452528804</v>
      </c>
      <c r="P465">
        <v>4.6652236406772575E-12</v>
      </c>
      <c r="R465">
        <v>4.0498565184144342</v>
      </c>
      <c r="S465">
        <v>4.0515953972785423</v>
      </c>
      <c r="T465">
        <v>1</v>
      </c>
      <c r="U465">
        <v>1.9210899607510143</v>
      </c>
    </row>
    <row r="466" spans="1:21">
      <c r="A466">
        <v>1.0642741143405221</v>
      </c>
      <c r="B466">
        <v>-0.93434715280170988</v>
      </c>
      <c r="C466">
        <v>-1.7622462562541276E-2</v>
      </c>
      <c r="D466">
        <v>-0.21710644493781797</v>
      </c>
      <c r="E466">
        <v>0.29461791386531172</v>
      </c>
      <c r="F466">
        <v>0.66209652397250807</v>
      </c>
      <c r="G466">
        <v>0.10051769542940045</v>
      </c>
      <c r="H466">
        <v>0.57221396219767395</v>
      </c>
      <c r="I466">
        <v>0.59392416504381951</v>
      </c>
      <c r="J466">
        <v>0.45139001031546483</v>
      </c>
      <c r="L466">
        <v>3.0960535536311293</v>
      </c>
      <c r="M466">
        <v>3.6317365146631424</v>
      </c>
      <c r="N466">
        <v>0.84006747214953825</v>
      </c>
      <c r="P466">
        <v>1.1959524027486236E-12</v>
      </c>
      <c r="R466">
        <v>4.0498565184144342</v>
      </c>
      <c r="S466">
        <v>4.0515953972785423</v>
      </c>
      <c r="T466">
        <v>1</v>
      </c>
      <c r="U466">
        <v>1.9210899607510143</v>
      </c>
    </row>
    <row r="467" spans="1:21">
      <c r="A467">
        <v>1.0605288970126869</v>
      </c>
      <c r="B467">
        <v>-0.93438715770208824</v>
      </c>
      <c r="C467">
        <v>-3.3239540917075823E-2</v>
      </c>
      <c r="D467">
        <v>0.33327816676395611</v>
      </c>
      <c r="E467">
        <v>-0.37357836667183114</v>
      </c>
      <c r="F467">
        <v>0.1233162496789241</v>
      </c>
      <c r="G467">
        <v>0.59030029611660273</v>
      </c>
      <c r="H467">
        <v>0.88958069360669567</v>
      </c>
      <c r="I467">
        <v>0.98926277344716984</v>
      </c>
      <c r="J467">
        <v>4.1206817065012266E-2</v>
      </c>
      <c r="L467">
        <v>3.096054394564316</v>
      </c>
      <c r="M467">
        <v>3.6317361830963661</v>
      </c>
      <c r="N467">
        <v>0.84006634662468238</v>
      </c>
      <c r="P467">
        <v>4.7859754789033138E-12</v>
      </c>
      <c r="R467">
        <v>4.0498565184144342</v>
      </c>
      <c r="S467">
        <v>4.0515953972785423</v>
      </c>
      <c r="T467">
        <v>1</v>
      </c>
      <c r="U467">
        <v>1.9210899607510143</v>
      </c>
    </row>
    <row r="468" spans="1:21">
      <c r="A468">
        <v>1.0552488855327917</v>
      </c>
      <c r="B468">
        <v>-0.94462745011340399</v>
      </c>
      <c r="C468">
        <v>-8.7952337819432059E-3</v>
      </c>
      <c r="D468">
        <v>0.17703502999869394</v>
      </c>
      <c r="E468">
        <v>-0.6802874157902572</v>
      </c>
      <c r="F468">
        <v>-0.16654371380297964</v>
      </c>
      <c r="G468">
        <v>0.13401429390017683</v>
      </c>
      <c r="H468">
        <v>0.64003669031952926</v>
      </c>
      <c r="I468">
        <v>0.45393536099936238</v>
      </c>
      <c r="J468">
        <v>0.77716170994689937</v>
      </c>
      <c r="L468">
        <v>3.096054118160477</v>
      </c>
      <c r="M468">
        <v>3.6317365375024595</v>
      </c>
      <c r="N468">
        <v>0.84006612184616458</v>
      </c>
      <c r="P468">
        <v>3.9106982220793441E-12</v>
      </c>
      <c r="R468">
        <v>4.0498565184144342</v>
      </c>
      <c r="S468">
        <v>4.0515953972785423</v>
      </c>
      <c r="T468">
        <v>1</v>
      </c>
      <c r="U468">
        <v>1.9210899607510143</v>
      </c>
    </row>
    <row r="469" spans="1:21">
      <c r="A469">
        <v>1.0560224108713991</v>
      </c>
      <c r="B469">
        <v>-0.94737372375259699</v>
      </c>
      <c r="C469">
        <v>-2.219748231432458E-3</v>
      </c>
      <c r="D469">
        <v>-0.18632693985524162</v>
      </c>
      <c r="E469">
        <v>0.12324962413866507</v>
      </c>
      <c r="F469">
        <v>-0.59659705497171311</v>
      </c>
      <c r="G469">
        <v>0.22879208709676627</v>
      </c>
      <c r="H469">
        <v>0.4078875668026295</v>
      </c>
      <c r="I469">
        <v>1.0077623292667204</v>
      </c>
      <c r="J469">
        <v>0.77924882805101492</v>
      </c>
      <c r="L469">
        <v>3.0960535713725337</v>
      </c>
      <c r="M469">
        <v>3.6317366084091254</v>
      </c>
      <c r="N469">
        <v>0.84006749697528249</v>
      </c>
      <c r="P469">
        <v>1.0321140158837225E-12</v>
      </c>
      <c r="R469">
        <v>4.0498565184144342</v>
      </c>
      <c r="S469">
        <v>4.0515953972785423</v>
      </c>
      <c r="T469">
        <v>1</v>
      </c>
      <c r="U469">
        <v>1.9210899607510143</v>
      </c>
    </row>
    <row r="470" spans="1:21">
      <c r="A470">
        <v>1.067781933221114</v>
      </c>
      <c r="B470">
        <v>-0.93877617303487793</v>
      </c>
      <c r="C470">
        <v>-1.3461725288347094E-2</v>
      </c>
      <c r="D470">
        <v>0.26214753389155004</v>
      </c>
      <c r="E470">
        <v>0.32918800583243685</v>
      </c>
      <c r="F470">
        <v>1.0880387457704872E-2</v>
      </c>
      <c r="G470">
        <v>0.69463967543312688</v>
      </c>
      <c r="H470">
        <v>0.90136769080163581</v>
      </c>
      <c r="I470">
        <v>0.39593638127542374</v>
      </c>
      <c r="J470">
        <v>0.47736076637274349</v>
      </c>
      <c r="L470">
        <v>3.0960541289506409</v>
      </c>
      <c r="M470">
        <v>3.6317365791504059</v>
      </c>
      <c r="N470">
        <v>0.84006610778331969</v>
      </c>
      <c r="P470">
        <v>3.8924485362772712E-12</v>
      </c>
      <c r="R470">
        <v>4.0498565184144342</v>
      </c>
      <c r="S470">
        <v>4.0515953972785423</v>
      </c>
      <c r="T470">
        <v>1</v>
      </c>
      <c r="U470">
        <v>1.9210899607510143</v>
      </c>
    </row>
    <row r="471" spans="1:21">
      <c r="A471">
        <v>1.0075415494677593</v>
      </c>
      <c r="B471">
        <v>-1.1393356875216221</v>
      </c>
      <c r="C471">
        <v>1.5335849848580787</v>
      </c>
      <c r="D471">
        <v>-0.92684623274614519</v>
      </c>
      <c r="E471">
        <v>0.27559523773044275</v>
      </c>
      <c r="F471">
        <v>-8.6807826379671785E-2</v>
      </c>
      <c r="G471">
        <v>1.0975622979691744</v>
      </c>
      <c r="H471">
        <v>0.75081284834252915</v>
      </c>
      <c r="I471">
        <v>0</v>
      </c>
      <c r="J471">
        <v>0.29199903325851723</v>
      </c>
      <c r="L471">
        <v>4.4627683797855884</v>
      </c>
      <c r="M471">
        <v>0.90856870216119989</v>
      </c>
      <c r="N471">
        <v>3.6317317226507089</v>
      </c>
      <c r="P471">
        <v>4.8489847773937259E-11</v>
      </c>
      <c r="R471">
        <v>73.679012294102208</v>
      </c>
      <c r="S471">
        <v>84.872649675684883</v>
      </c>
      <c r="T471">
        <v>1</v>
      </c>
      <c r="U471">
        <v>1.9140030096297485</v>
      </c>
    </row>
    <row r="472" spans="1:21">
      <c r="A472">
        <v>1.0062854154295979</v>
      </c>
      <c r="B472">
        <v>-1.1534927764353222</v>
      </c>
      <c r="C472">
        <v>1.7513828026367058</v>
      </c>
      <c r="D472">
        <v>0.20122225518314832</v>
      </c>
      <c r="E472">
        <v>9.3078876734107779E-2</v>
      </c>
      <c r="F472">
        <v>0.15394382597653206</v>
      </c>
      <c r="G472">
        <v>1.2535856185773051</v>
      </c>
      <c r="H472">
        <v>0.92526702315091469</v>
      </c>
      <c r="I472">
        <v>0.21882927245866798</v>
      </c>
      <c r="J472">
        <v>0.46886709805090704</v>
      </c>
      <c r="L472">
        <v>4.4627691579831827</v>
      </c>
      <c r="M472">
        <v>0.90856338599058339</v>
      </c>
      <c r="N472">
        <v>3.6317341637609317</v>
      </c>
      <c r="P472">
        <v>3.4903151748394871E-11</v>
      </c>
      <c r="R472">
        <v>73.679012294102208</v>
      </c>
      <c r="S472">
        <v>84.872649675684883</v>
      </c>
      <c r="T472">
        <v>1</v>
      </c>
      <c r="U472">
        <v>1.9140030096297485</v>
      </c>
    </row>
    <row r="473" spans="1:21">
      <c r="A473">
        <v>1.008322347805598</v>
      </c>
      <c r="B473">
        <v>-1.1301204534104605</v>
      </c>
      <c r="C473">
        <v>1.37931600973159</v>
      </c>
      <c r="D473">
        <v>-0.92243034444862981</v>
      </c>
      <c r="E473">
        <v>0.6161012566937667</v>
      </c>
      <c r="F473">
        <v>0.10290213884062686</v>
      </c>
      <c r="G473">
        <v>1.0746288708667213</v>
      </c>
      <c r="H473">
        <v>1.1487963614312877</v>
      </c>
      <c r="I473">
        <v>0</v>
      </c>
      <c r="J473">
        <v>0.54922338087166167</v>
      </c>
      <c r="L473">
        <v>4.4627701046245818</v>
      </c>
      <c r="M473">
        <v>0.90856448213036001</v>
      </c>
      <c r="N473">
        <v>3.6317333428039889</v>
      </c>
      <c r="P473">
        <v>4.3957479017894664E-11</v>
      </c>
      <c r="R473">
        <v>73.679012294102208</v>
      </c>
      <c r="S473">
        <v>84.872649675684883</v>
      </c>
      <c r="T473">
        <v>1</v>
      </c>
      <c r="U473">
        <v>1.9140030096297485</v>
      </c>
    </row>
    <row r="474" spans="1:21">
      <c r="A474">
        <v>1.0025547785048265</v>
      </c>
      <c r="B474">
        <v>-1.1526773538789865</v>
      </c>
      <c r="C474">
        <v>1.731120484420285</v>
      </c>
      <c r="D474">
        <v>-0.1044651031725639</v>
      </c>
      <c r="E474">
        <v>0.18922813460395471</v>
      </c>
      <c r="F474">
        <v>5.7741442565443155E-2</v>
      </c>
      <c r="G474">
        <v>1.0155336922882339</v>
      </c>
      <c r="H474">
        <v>0.92359780682943149</v>
      </c>
      <c r="I474">
        <v>0</v>
      </c>
      <c r="J474">
        <v>0.71884715440258995</v>
      </c>
      <c r="L474">
        <v>4.4627656189851175</v>
      </c>
      <c r="M474">
        <v>0.9085654998151329</v>
      </c>
      <c r="N474">
        <v>3.631737017435769</v>
      </c>
      <c r="P474">
        <v>1.0804594992865724E-12</v>
      </c>
      <c r="R474">
        <v>73.679012294102208</v>
      </c>
      <c r="S474">
        <v>84.872649675684883</v>
      </c>
      <c r="T474">
        <v>1</v>
      </c>
      <c r="U474">
        <v>1.9140030096297485</v>
      </c>
    </row>
    <row r="475" spans="1:21">
      <c r="A475">
        <v>1.010193235033551</v>
      </c>
      <c r="B475">
        <v>-1.1392462828562817</v>
      </c>
      <c r="C475">
        <v>1.5839962351230921</v>
      </c>
      <c r="D475">
        <v>0.10598534389714614</v>
      </c>
      <c r="E475">
        <v>8.2196200942523848E-2</v>
      </c>
      <c r="F475">
        <v>0.14197888084553503</v>
      </c>
      <c r="G475">
        <v>0.86531825063601364</v>
      </c>
      <c r="H475">
        <v>1.1579406613439787</v>
      </c>
      <c r="I475">
        <v>0</v>
      </c>
      <c r="J475">
        <v>0</v>
      </c>
      <c r="L475">
        <v>4.4627666835874944</v>
      </c>
      <c r="M475">
        <v>0.90856413595544383</v>
      </c>
      <c r="N475">
        <v>3.6317372480092822</v>
      </c>
      <c r="P475">
        <v>6.9092907421505394E-12</v>
      </c>
      <c r="R475">
        <v>73.679012294102208</v>
      </c>
      <c r="S475">
        <v>84.872649675684883</v>
      </c>
      <c r="T475">
        <v>1</v>
      </c>
      <c r="U475">
        <v>1.9140030096297485</v>
      </c>
    </row>
    <row r="476" spans="1:21">
      <c r="A476">
        <v>1.0069752428353893</v>
      </c>
      <c r="B476">
        <v>-1.1568843880302426</v>
      </c>
      <c r="C476">
        <v>1.8804739238738675</v>
      </c>
      <c r="D476">
        <v>7.1741383588933769E-2</v>
      </c>
      <c r="E476">
        <v>0.30094006120639361</v>
      </c>
      <c r="F476">
        <v>0.52180900799004715</v>
      </c>
      <c r="G476">
        <v>0.78902305886482726</v>
      </c>
      <c r="H476">
        <v>0.45510938917691174</v>
      </c>
      <c r="I476">
        <v>0.47434870654544836</v>
      </c>
      <c r="J476">
        <v>0.34128757637730739</v>
      </c>
      <c r="L476">
        <v>4.4627689114921587</v>
      </c>
      <c r="M476">
        <v>0.90856330446294709</v>
      </c>
      <c r="N476">
        <v>3.6317339950213618</v>
      </c>
      <c r="P476">
        <v>3.4713664632047909E-11</v>
      </c>
      <c r="R476">
        <v>73.679012294102208</v>
      </c>
      <c r="S476">
        <v>84.872649675684883</v>
      </c>
      <c r="T476">
        <v>1</v>
      </c>
      <c r="U476">
        <v>1.9140030096297485</v>
      </c>
    </row>
    <row r="477" spans="1:21">
      <c r="A477">
        <v>1.01012392770501</v>
      </c>
      <c r="B477">
        <v>-1.151496334312387</v>
      </c>
      <c r="C477">
        <v>1.8397454983039492</v>
      </c>
      <c r="D477">
        <v>0.3679918634683354</v>
      </c>
      <c r="E477">
        <v>0.14234066660138611</v>
      </c>
      <c r="F477">
        <v>0.68892015737639045</v>
      </c>
      <c r="G477">
        <v>0.66539110171802807</v>
      </c>
      <c r="H477">
        <v>0.6813194486304206</v>
      </c>
      <c r="I477">
        <v>0.44261398967765225</v>
      </c>
      <c r="J477">
        <v>0.1456261760486369</v>
      </c>
      <c r="L477">
        <v>4.4627687473037874</v>
      </c>
      <c r="M477">
        <v>0.90856328192177149</v>
      </c>
      <c r="N477">
        <v>3.6317338360867892</v>
      </c>
      <c r="P477">
        <v>3.4837522601734647E-11</v>
      </c>
      <c r="R477">
        <v>73.679012294102208</v>
      </c>
      <c r="S477">
        <v>84.872649675684883</v>
      </c>
      <c r="T477">
        <v>1</v>
      </c>
      <c r="U477">
        <v>1.9140030096297485</v>
      </c>
    </row>
    <row r="478" spans="1:21">
      <c r="A478">
        <v>1.0118780569194916</v>
      </c>
      <c r="B478">
        <v>-1.1313624727758496</v>
      </c>
      <c r="C478">
        <v>1.7289073243468736</v>
      </c>
      <c r="D478">
        <v>-0.67718726398833529</v>
      </c>
      <c r="E478">
        <v>-0.33949803991955785</v>
      </c>
      <c r="F478">
        <v>8.0380271471392373E-2</v>
      </c>
      <c r="G478">
        <v>0.29988110348754166</v>
      </c>
      <c r="H478">
        <v>1.1950814540828425</v>
      </c>
      <c r="I478">
        <v>0.50498754900467258</v>
      </c>
      <c r="J478">
        <v>0</v>
      </c>
      <c r="L478">
        <v>4.4627691783537413</v>
      </c>
      <c r="M478">
        <v>0.9085631672769765</v>
      </c>
      <c r="N478">
        <v>3.6317342133335044</v>
      </c>
      <c r="P478">
        <v>3.6078579948195902E-11</v>
      </c>
      <c r="R478">
        <v>73.679012294102208</v>
      </c>
      <c r="S478">
        <v>84.872649675684883</v>
      </c>
      <c r="T478">
        <v>1</v>
      </c>
      <c r="U478">
        <v>1.9140030096297485</v>
      </c>
    </row>
    <row r="479" spans="1:21">
      <c r="A479">
        <v>1.0146729066207316</v>
      </c>
      <c r="B479">
        <v>-1.1283798782414649</v>
      </c>
      <c r="C479">
        <v>1.6587716107677177</v>
      </c>
      <c r="D479">
        <v>-0.57605616363252476</v>
      </c>
      <c r="E479">
        <v>-0.22006312361119837</v>
      </c>
      <c r="F479">
        <v>0.70033742820139178</v>
      </c>
      <c r="G479">
        <v>0.2908390650474969</v>
      </c>
      <c r="H479">
        <v>1.1071652057222998</v>
      </c>
      <c r="I479">
        <v>0.45295695512025302</v>
      </c>
      <c r="J479">
        <v>0.15990065425200506</v>
      </c>
      <c r="L479">
        <v>4.4627688980861064</v>
      </c>
      <c r="M479">
        <v>0.90856335172181635</v>
      </c>
      <c r="N479">
        <v>3.6317340003480765</v>
      </c>
      <c r="P479">
        <v>3.429333965850644E-11</v>
      </c>
      <c r="R479">
        <v>73.679012294102208</v>
      </c>
      <c r="S479">
        <v>84.872649675684883</v>
      </c>
      <c r="T479">
        <v>1</v>
      </c>
      <c r="U479">
        <v>1.9140030096297485</v>
      </c>
    </row>
    <row r="480" spans="1:21">
      <c r="A480">
        <v>1.0052058117812435</v>
      </c>
      <c r="B480">
        <v>-1.1420735684574268</v>
      </c>
      <c r="C480">
        <v>1.8148894563133522</v>
      </c>
      <c r="D480">
        <v>-0.29403118693714281</v>
      </c>
      <c r="E480">
        <v>-3.3880210522751066E-2</v>
      </c>
      <c r="F480">
        <v>9.6191695566857804E-2</v>
      </c>
      <c r="G480">
        <v>0.22182178367740291</v>
      </c>
      <c r="H480">
        <v>1.2062688071632108</v>
      </c>
      <c r="I480">
        <v>0.34834541612583531</v>
      </c>
      <c r="J480">
        <v>0.46699725147191246</v>
      </c>
      <c r="L480">
        <v>4.4627687389446198</v>
      </c>
      <c r="M480">
        <v>0.90856331177112071</v>
      </c>
      <c r="N480">
        <v>3.631733847020516</v>
      </c>
      <c r="P480">
        <v>3.4517025353980598E-11</v>
      </c>
      <c r="R480">
        <v>73.679012294102208</v>
      </c>
      <c r="S480">
        <v>84.872649675684883</v>
      </c>
      <c r="T480">
        <v>1</v>
      </c>
      <c r="U480">
        <v>1.9140030096297485</v>
      </c>
    </row>
    <row r="481" spans="1:21">
      <c r="A481">
        <v>1.1007293851376958</v>
      </c>
      <c r="B481">
        <v>-1.0199518385382642</v>
      </c>
      <c r="C481">
        <v>-1.2257076051286779E-2</v>
      </c>
      <c r="D481">
        <v>4.4793591812854923E-2</v>
      </c>
      <c r="E481">
        <v>0.34342859317204799</v>
      </c>
      <c r="F481">
        <v>0.245591912918105</v>
      </c>
      <c r="G481">
        <v>0.75908537138126031</v>
      </c>
      <c r="H481">
        <v>5.3373460834076049E-2</v>
      </c>
      <c r="I481">
        <v>0.64434869458697441</v>
      </c>
      <c r="J481">
        <v>0.16322711759057945</v>
      </c>
      <c r="L481">
        <v>4.4627651378835127</v>
      </c>
      <c r="M481">
        <v>0.90856919525135849</v>
      </c>
      <c r="N481">
        <v>0.84006592400517222</v>
      </c>
      <c r="P481">
        <v>1.0613022055754528E-11</v>
      </c>
      <c r="R481">
        <v>5.148520595378665</v>
      </c>
      <c r="S481">
        <v>5.155149298810846</v>
      </c>
      <c r="T481">
        <v>1</v>
      </c>
      <c r="U481">
        <v>1.6688221802061765</v>
      </c>
    </row>
    <row r="482" spans="1:21">
      <c r="A482">
        <v>1.0980332112079252</v>
      </c>
      <c r="B482">
        <v>-1.0240138919613726</v>
      </c>
      <c r="C482">
        <v>1.0762347296024414E-2</v>
      </c>
      <c r="D482">
        <v>0.87987966141380114</v>
      </c>
      <c r="E482">
        <v>0.35895441652680227</v>
      </c>
      <c r="F482">
        <v>-0.1174244429123293</v>
      </c>
      <c r="G482">
        <v>0.81349737916244946</v>
      </c>
      <c r="H482">
        <v>0.5596711701500009</v>
      </c>
      <c r="I482">
        <v>0.528035277671422</v>
      </c>
      <c r="J482">
        <v>0.98375212164758086</v>
      </c>
      <c r="L482">
        <v>4.4627649256888189</v>
      </c>
      <c r="M482">
        <v>0.9085695733402227</v>
      </c>
      <c r="N482">
        <v>0.84006632580086882</v>
      </c>
      <c r="P482">
        <v>1.190005567689434E-11</v>
      </c>
      <c r="R482">
        <v>5.148520595378665</v>
      </c>
      <c r="S482">
        <v>5.155149298810846</v>
      </c>
      <c r="T482">
        <v>1</v>
      </c>
      <c r="U482">
        <v>1.6688221802061765</v>
      </c>
    </row>
    <row r="483" spans="1:21">
      <c r="A483">
        <v>1.0863067214275448</v>
      </c>
      <c r="B483">
        <v>-1.0308853649725394</v>
      </c>
      <c r="C483">
        <v>-1.3977043210692345E-2</v>
      </c>
      <c r="D483">
        <v>0.30037327491706439</v>
      </c>
      <c r="E483">
        <v>0.91737680943072553</v>
      </c>
      <c r="F483">
        <v>-0.66934506875813493</v>
      </c>
      <c r="G483">
        <v>0.6767568758552831</v>
      </c>
      <c r="H483">
        <v>0.44372390980764714</v>
      </c>
      <c r="I483">
        <v>9.5052823656381388E-2</v>
      </c>
      <c r="J483">
        <v>0.21642813975474548</v>
      </c>
      <c r="L483">
        <v>4.4627650186868157</v>
      </c>
      <c r="M483">
        <v>0.90856943011358704</v>
      </c>
      <c r="N483">
        <v>0.84006614762156528</v>
      </c>
      <c r="P483">
        <v>1.1393297909767794E-11</v>
      </c>
      <c r="R483">
        <v>5.148520595378665</v>
      </c>
      <c r="S483">
        <v>5.155149298810846</v>
      </c>
      <c r="T483">
        <v>1</v>
      </c>
      <c r="U483">
        <v>1.6688221802061765</v>
      </c>
    </row>
    <row r="484" spans="1:21">
      <c r="A484">
        <v>1.1025239380799789</v>
      </c>
      <c r="B484">
        <v>-1.0115462177078614</v>
      </c>
      <c r="C484">
        <v>2.0130666231525474E-2</v>
      </c>
      <c r="D484">
        <v>0.6410286084827892</v>
      </c>
      <c r="E484">
        <v>0.12837106270528401</v>
      </c>
      <c r="F484">
        <v>0.41643188388190805</v>
      </c>
      <c r="G484">
        <v>0.31653255665571378</v>
      </c>
      <c r="H484">
        <v>0.84054659881058336</v>
      </c>
      <c r="I484">
        <v>0.85649088472197199</v>
      </c>
      <c r="J484">
        <v>0.95570733860194668</v>
      </c>
      <c r="L484">
        <v>4.4627655421843908</v>
      </c>
      <c r="M484">
        <v>0.90856641073995192</v>
      </c>
      <c r="N484">
        <v>0.84006737321247882</v>
      </c>
      <c r="P484">
        <v>7.9952831644548286E-14</v>
      </c>
      <c r="R484">
        <v>5.148520595378665</v>
      </c>
      <c r="S484">
        <v>5.155149298810846</v>
      </c>
      <c r="T484">
        <v>1</v>
      </c>
      <c r="U484">
        <v>1.6688221802061765</v>
      </c>
    </row>
    <row r="485" spans="1:21">
      <c r="A485">
        <v>1.1011245608413645</v>
      </c>
      <c r="B485">
        <v>-1.0146185806107568</v>
      </c>
      <c r="C485">
        <v>1.6805992093077666E-2</v>
      </c>
      <c r="D485">
        <v>0.72337117719930977</v>
      </c>
      <c r="E485">
        <v>0.51585867493846349</v>
      </c>
      <c r="F485">
        <v>0.19581774603735563</v>
      </c>
      <c r="G485">
        <v>0.42922402178835539</v>
      </c>
      <c r="H485">
        <v>0.80394441813315898</v>
      </c>
      <c r="I485">
        <v>0.98032806637528458</v>
      </c>
      <c r="J485">
        <v>0.8664198743901661</v>
      </c>
      <c r="L485">
        <v>4.462764893669946</v>
      </c>
      <c r="M485">
        <v>0.90856950190679719</v>
      </c>
      <c r="N485">
        <v>0.84006624414821407</v>
      </c>
      <c r="P485">
        <v>1.1671820713227787E-11</v>
      </c>
      <c r="R485">
        <v>5.148520595378665</v>
      </c>
      <c r="S485">
        <v>5.155149298810846</v>
      </c>
      <c r="T485">
        <v>1</v>
      </c>
      <c r="U485">
        <v>1.6688221802061765</v>
      </c>
    </row>
    <row r="486" spans="1:21">
      <c r="A486">
        <v>1.1023364377140854</v>
      </c>
      <c r="B486">
        <v>-1.0090790230937881</v>
      </c>
      <c r="C486">
        <v>2.9594065424139497E-2</v>
      </c>
      <c r="D486">
        <v>0.24163618975691797</v>
      </c>
      <c r="E486">
        <v>-0.28791361264011084</v>
      </c>
      <c r="F486">
        <v>-0.30350150466265574</v>
      </c>
      <c r="G486">
        <v>5.1501874084109105E-2</v>
      </c>
      <c r="H486">
        <v>0.66551131961696353</v>
      </c>
      <c r="I486">
        <v>0.57404621093783892</v>
      </c>
      <c r="J486">
        <v>0.55406258015002297</v>
      </c>
      <c r="L486">
        <v>4.4627652719160755</v>
      </c>
      <c r="M486">
        <v>0.90856846851369466</v>
      </c>
      <c r="N486">
        <v>0.84006560688402498</v>
      </c>
      <c r="P486">
        <v>8.0996496916449131E-12</v>
      </c>
      <c r="R486">
        <v>5.148520595378665</v>
      </c>
      <c r="S486">
        <v>5.155149298810846</v>
      </c>
      <c r="T486">
        <v>1</v>
      </c>
      <c r="U486">
        <v>1.6688221802061765</v>
      </c>
    </row>
    <row r="487" spans="1:21">
      <c r="A487">
        <v>1.0932528758866953</v>
      </c>
      <c r="B487">
        <v>-1.024705615678607</v>
      </c>
      <c r="C487">
        <v>1.3115364076555934E-2</v>
      </c>
      <c r="D487">
        <v>0.46128139831291565</v>
      </c>
      <c r="E487">
        <v>0.67566647179553718</v>
      </c>
      <c r="F487">
        <v>-0.14147241142413419</v>
      </c>
      <c r="G487">
        <v>0.23313535465323471</v>
      </c>
      <c r="H487">
        <v>0.2551642730288492</v>
      </c>
      <c r="I487">
        <v>0.2192326703707613</v>
      </c>
      <c r="J487">
        <v>0.84635284560017043</v>
      </c>
      <c r="L487">
        <v>4.462764980530344</v>
      </c>
      <c r="M487">
        <v>0.90856938069971482</v>
      </c>
      <c r="N487">
        <v>0.84006609127530507</v>
      </c>
      <c r="P487">
        <v>1.1272547859169314E-11</v>
      </c>
      <c r="R487">
        <v>5.148520595378665</v>
      </c>
      <c r="S487">
        <v>5.155149298810846</v>
      </c>
      <c r="T487">
        <v>1</v>
      </c>
      <c r="U487">
        <v>1.6688221802061765</v>
      </c>
    </row>
    <row r="488" spans="1:21">
      <c r="A488">
        <v>1.0934223128110094</v>
      </c>
      <c r="B488">
        <v>-1.0215220486679017</v>
      </c>
      <c r="C488">
        <v>-1.2634014703701953E-2</v>
      </c>
      <c r="D488">
        <v>-0.71661665322583734</v>
      </c>
      <c r="E488">
        <v>0.29847873898659255</v>
      </c>
      <c r="F488">
        <v>-0.42653083590982155</v>
      </c>
      <c r="G488">
        <v>0.86146877930818533</v>
      </c>
      <c r="H488">
        <v>0.14123520655843538</v>
      </c>
      <c r="I488">
        <v>0.47501435760362976</v>
      </c>
      <c r="J488">
        <v>0.11752994530691376</v>
      </c>
      <c r="L488">
        <v>4.4627649929075277</v>
      </c>
      <c r="M488">
        <v>0.90856934225011299</v>
      </c>
      <c r="N488">
        <v>0.84006605804929413</v>
      </c>
      <c r="P488">
        <v>1.112941482493739E-11</v>
      </c>
      <c r="R488">
        <v>5.148520595378665</v>
      </c>
      <c r="S488">
        <v>5.155149298810846</v>
      </c>
      <c r="T488">
        <v>1</v>
      </c>
      <c r="U488">
        <v>1.6688221802061765</v>
      </c>
    </row>
    <row r="489" spans="1:21">
      <c r="A489">
        <v>1.0942084301319392</v>
      </c>
      <c r="B489">
        <v>-1.0242116329427935</v>
      </c>
      <c r="C489">
        <v>-2.5790667102969591E-2</v>
      </c>
      <c r="D489">
        <v>-0.18760415908940681</v>
      </c>
      <c r="E489">
        <v>0.39232089803331266</v>
      </c>
      <c r="F489">
        <v>0.46765240739043745</v>
      </c>
      <c r="G489">
        <v>0.84180617478115538</v>
      </c>
      <c r="H489">
        <v>0.11806384690327025</v>
      </c>
      <c r="I489">
        <v>0.31747745535491156</v>
      </c>
      <c r="J489">
        <v>0.26045858363418123</v>
      </c>
      <c r="L489">
        <v>4.4627650402626191</v>
      </c>
      <c r="M489">
        <v>0.90856937028618012</v>
      </c>
      <c r="N489">
        <v>0.84006608026247764</v>
      </c>
      <c r="P489">
        <v>1.1206150850968823E-11</v>
      </c>
      <c r="R489">
        <v>5.148520595378665</v>
      </c>
      <c r="S489">
        <v>5.155149298810846</v>
      </c>
      <c r="T489">
        <v>1</v>
      </c>
      <c r="U489">
        <v>1.6688221802061765</v>
      </c>
    </row>
    <row r="490" spans="1:21">
      <c r="A490">
        <v>1.0919013094127703</v>
      </c>
      <c r="B490">
        <v>-1.0190449684743148</v>
      </c>
      <c r="C490">
        <v>-3.9424595050259253E-3</v>
      </c>
      <c r="D490">
        <v>-0.80379190804367806</v>
      </c>
      <c r="E490">
        <v>-6.9542505009186031E-2</v>
      </c>
      <c r="F490">
        <v>-2.3468145101608828E-2</v>
      </c>
      <c r="G490">
        <v>0.36264125289902277</v>
      </c>
      <c r="H490">
        <v>0.12773148343492863</v>
      </c>
      <c r="I490">
        <v>3.28013041230545E-2</v>
      </c>
      <c r="J490">
        <v>0.39102201521581592</v>
      </c>
      <c r="L490">
        <v>4.4627656074248456</v>
      </c>
      <c r="M490">
        <v>0.90856734548990004</v>
      </c>
      <c r="N490">
        <v>0.84006582833367904</v>
      </c>
      <c r="P490">
        <v>3.9142334336005187E-12</v>
      </c>
      <c r="R490">
        <v>5.148520595378665</v>
      </c>
      <c r="S490">
        <v>5.155149298810846</v>
      </c>
      <c r="T490">
        <v>1</v>
      </c>
      <c r="U490">
        <v>1.6688221802061765</v>
      </c>
    </row>
    <row r="491" spans="1:21">
      <c r="A491">
        <v>0.98948518494797966</v>
      </c>
      <c r="B491">
        <v>-1.1168198025355658</v>
      </c>
      <c r="C491">
        <v>-0.17323409198684719</v>
      </c>
      <c r="D491">
        <v>-0.45863353008092772</v>
      </c>
      <c r="E491">
        <v>0.47185311373670763</v>
      </c>
      <c r="F491">
        <v>4.7662911371032658E-2</v>
      </c>
      <c r="G491">
        <v>0.43649969844162484</v>
      </c>
      <c r="H491">
        <v>0.11933564550819058</v>
      </c>
      <c r="I491">
        <v>0.19800582993713731</v>
      </c>
      <c r="J491">
        <v>0.47811901871583218</v>
      </c>
      <c r="L491">
        <v>4.4627696120056131</v>
      </c>
      <c r="M491">
        <v>3.6317318652981689</v>
      </c>
      <c r="N491">
        <v>0.84006565402687638</v>
      </c>
      <c r="P491">
        <v>5.3923510820413923E-11</v>
      </c>
      <c r="R491">
        <v>8.4915819675423769</v>
      </c>
      <c r="S491">
        <v>8.5031850746050246</v>
      </c>
      <c r="T491">
        <v>1</v>
      </c>
      <c r="U491">
        <v>1.9286664612553339</v>
      </c>
    </row>
    <row r="492" spans="1:21">
      <c r="A492">
        <v>0.98378822799432064</v>
      </c>
      <c r="B492">
        <v>-1.1270593472578403</v>
      </c>
      <c r="C492">
        <v>-0.17600154046075375</v>
      </c>
      <c r="D492">
        <v>0.26030414002459984</v>
      </c>
      <c r="E492">
        <v>-0.11611509447855692</v>
      </c>
      <c r="F492">
        <v>4.568198709961209E-2</v>
      </c>
      <c r="G492">
        <v>0.67432110062642736</v>
      </c>
      <c r="H492">
        <v>0.30699642652010156</v>
      </c>
      <c r="I492">
        <v>8.2663062979756036E-2</v>
      </c>
      <c r="J492">
        <v>0.97005918885568732</v>
      </c>
      <c r="L492">
        <v>4.4627695700107353</v>
      </c>
      <c r="M492">
        <v>3.6317318717475211</v>
      </c>
      <c r="N492">
        <v>0.84006559104709955</v>
      </c>
      <c r="P492">
        <v>5.3728998186053278E-11</v>
      </c>
      <c r="R492">
        <v>8.4915819675423769</v>
      </c>
      <c r="S492">
        <v>8.5031850746050246</v>
      </c>
      <c r="T492">
        <v>1</v>
      </c>
      <c r="U492">
        <v>1.9286664612553339</v>
      </c>
    </row>
    <row r="493" spans="1:21">
      <c r="A493">
        <v>0.97104097370319831</v>
      </c>
      <c r="B493">
        <v>-1.1292999582195475</v>
      </c>
      <c r="C493">
        <v>-0.18484994066724936</v>
      </c>
      <c r="D493">
        <v>-1.4354068079402425E-2</v>
      </c>
      <c r="E493">
        <v>-0.80147574352235984</v>
      </c>
      <c r="F493">
        <v>-1.7491566476340655E-3</v>
      </c>
      <c r="G493">
        <v>0.30082771225883342</v>
      </c>
      <c r="H493">
        <v>0.79178808028891845</v>
      </c>
      <c r="I493">
        <v>0.85939746712943466</v>
      </c>
      <c r="J493">
        <v>0.97058177426089542</v>
      </c>
      <c r="L493">
        <v>4.4627694122689583</v>
      </c>
      <c r="M493">
        <v>3.631732337746886</v>
      </c>
      <c r="N493">
        <v>0.84006503088795548</v>
      </c>
      <c r="P493">
        <v>4.9836795109427462E-11</v>
      </c>
      <c r="R493">
        <v>8.4915819675423769</v>
      </c>
      <c r="S493">
        <v>8.5031850746050246</v>
      </c>
      <c r="T493">
        <v>1</v>
      </c>
      <c r="U493">
        <v>1.9286664612553339</v>
      </c>
    </row>
    <row r="494" spans="1:21">
      <c r="A494">
        <v>0.99280780074520092</v>
      </c>
      <c r="B494">
        <v>-1.1107861712442251</v>
      </c>
      <c r="C494">
        <v>-0.1737506126174875</v>
      </c>
      <c r="D494">
        <v>0.25856751834386116</v>
      </c>
      <c r="E494">
        <v>0.91499035451591737</v>
      </c>
      <c r="F494">
        <v>0.24244464493642195</v>
      </c>
      <c r="G494">
        <v>0.62026530081227038</v>
      </c>
      <c r="H494">
        <v>0.98042703542472354</v>
      </c>
      <c r="I494">
        <v>0.67379514663364493</v>
      </c>
      <c r="J494">
        <v>0.50334060162616123</v>
      </c>
      <c r="L494">
        <v>4.4627695804976257</v>
      </c>
      <c r="M494">
        <v>3.6317318021266694</v>
      </c>
      <c r="N494">
        <v>0.84006571419943221</v>
      </c>
      <c r="P494">
        <v>5.4150183423967698E-11</v>
      </c>
      <c r="R494">
        <v>8.4915819675423769</v>
      </c>
      <c r="S494">
        <v>8.5031850746050246</v>
      </c>
      <c r="T494">
        <v>1</v>
      </c>
      <c r="U494">
        <v>1.9286664612553339</v>
      </c>
    </row>
    <row r="495" spans="1:21">
      <c r="A495">
        <v>0.99277094591254877</v>
      </c>
      <c r="B495">
        <v>-1.106431799641705</v>
      </c>
      <c r="C495">
        <v>-0.16240471628662531</v>
      </c>
      <c r="D495">
        <v>-0.60290338966094847</v>
      </c>
      <c r="E495">
        <v>0.31058135124139424</v>
      </c>
      <c r="F495">
        <v>0.15587719909891909</v>
      </c>
      <c r="G495">
        <v>0.48853810862820141</v>
      </c>
      <c r="H495">
        <v>0.76348521055631735</v>
      </c>
      <c r="I495">
        <v>0.30421227535485978</v>
      </c>
      <c r="J495">
        <v>0.70669867508294815</v>
      </c>
      <c r="L495">
        <v>4.4627677625807287</v>
      </c>
      <c r="M495">
        <v>3.6317342064590896</v>
      </c>
      <c r="N495">
        <v>0.84006375709221426</v>
      </c>
      <c r="P495">
        <v>3.1103449489682407E-11</v>
      </c>
      <c r="R495">
        <v>8.4915819675423769</v>
      </c>
      <c r="S495">
        <v>8.5031850746050246</v>
      </c>
      <c r="T495">
        <v>1</v>
      </c>
      <c r="U495">
        <v>1.9286664612553339</v>
      </c>
    </row>
    <row r="496" spans="1:21">
      <c r="A496">
        <v>0.99130657791705412</v>
      </c>
      <c r="B496">
        <v>-1.1121349346822418</v>
      </c>
      <c r="C496">
        <v>-0.18536923050824208</v>
      </c>
      <c r="D496">
        <v>-0.75262486554910235</v>
      </c>
      <c r="E496">
        <v>-1.6007569726829533E-2</v>
      </c>
      <c r="F496">
        <v>0.46176303214624176</v>
      </c>
      <c r="G496">
        <v>0.73783773081945625</v>
      </c>
      <c r="H496">
        <v>0.38086076848206024</v>
      </c>
      <c r="I496">
        <v>4.2355678691572418E-2</v>
      </c>
      <c r="J496">
        <v>0.41280240100966481</v>
      </c>
      <c r="L496">
        <v>4.4627694378102998</v>
      </c>
      <c r="M496">
        <v>3.6317320395897621</v>
      </c>
      <c r="N496">
        <v>0.84006528163185368</v>
      </c>
      <c r="P496">
        <v>5.2039351637665685E-11</v>
      </c>
      <c r="R496">
        <v>8.4915819675423769</v>
      </c>
      <c r="S496">
        <v>8.5031850746050246</v>
      </c>
      <c r="T496">
        <v>1</v>
      </c>
      <c r="U496">
        <v>1.9286664612553339</v>
      </c>
    </row>
    <row r="497" spans="1:21">
      <c r="A497">
        <v>0.98494259294182296</v>
      </c>
      <c r="B497">
        <v>-1.1276860770582133</v>
      </c>
      <c r="C497">
        <v>-0.18756359986552365</v>
      </c>
      <c r="D497">
        <v>0.18875285204757125</v>
      </c>
      <c r="E497">
        <v>-9.6527970961116667E-3</v>
      </c>
      <c r="F497">
        <v>0.31840149672289614</v>
      </c>
      <c r="G497">
        <v>0.84697256878142346</v>
      </c>
      <c r="H497">
        <v>0.18822364804164834</v>
      </c>
      <c r="I497">
        <v>0.10557552822394262</v>
      </c>
      <c r="J497">
        <v>0.82374935835951779</v>
      </c>
      <c r="L497">
        <v>4.4627650229492355</v>
      </c>
      <c r="M497">
        <v>3.6317352818435649</v>
      </c>
      <c r="N497">
        <v>0.84006843879969673</v>
      </c>
      <c r="P497">
        <v>5.9099817267765719E-12</v>
      </c>
      <c r="R497">
        <v>8.4915819675423769</v>
      </c>
      <c r="S497">
        <v>8.5031850746050246</v>
      </c>
      <c r="T497">
        <v>1</v>
      </c>
      <c r="U497">
        <v>1.9286664612553339</v>
      </c>
    </row>
    <row r="498" spans="1:21">
      <c r="A498">
        <v>0.98777395483734143</v>
      </c>
      <c r="B498">
        <v>-1.12318354418749</v>
      </c>
      <c r="C498">
        <v>-0.17720885809765557</v>
      </c>
      <c r="D498">
        <v>7.2480242987504315E-2</v>
      </c>
      <c r="E498">
        <v>0.23429515819638846</v>
      </c>
      <c r="F498">
        <v>0.15255670679297467</v>
      </c>
      <c r="G498">
        <v>0.95734150724075884</v>
      </c>
      <c r="H498">
        <v>0.37996908898423282</v>
      </c>
      <c r="I498">
        <v>0.32668780334188863</v>
      </c>
      <c r="J498">
        <v>0.97753605005774946</v>
      </c>
      <c r="L498">
        <v>4.4627693153576358</v>
      </c>
      <c r="M498">
        <v>3.6317323621469688</v>
      </c>
      <c r="N498">
        <v>0.84006487600134272</v>
      </c>
      <c r="P498">
        <v>4.9591422628923101E-11</v>
      </c>
      <c r="R498">
        <v>8.4915819675423769</v>
      </c>
      <c r="S498">
        <v>8.5031850746050246</v>
      </c>
      <c r="T498">
        <v>1</v>
      </c>
      <c r="U498">
        <v>1.9286664612553339</v>
      </c>
    </row>
    <row r="499" spans="1:21">
      <c r="A499">
        <v>0.98312833283026457</v>
      </c>
      <c r="B499">
        <v>-1.1190098606904999</v>
      </c>
      <c r="C499">
        <v>-0.15276206319394889</v>
      </c>
      <c r="D499">
        <v>0.4565004136593801</v>
      </c>
      <c r="E499">
        <v>0.18197687193941356</v>
      </c>
      <c r="F499">
        <v>-0.81617343015716948</v>
      </c>
      <c r="G499">
        <v>0.1183953079897115</v>
      </c>
      <c r="H499">
        <v>0.91964870037866553</v>
      </c>
      <c r="I499">
        <v>0.494506967675924</v>
      </c>
      <c r="J499">
        <v>0.70400861002555115</v>
      </c>
      <c r="L499">
        <v>4.4627697045553782</v>
      </c>
      <c r="M499">
        <v>3.6317317282641381</v>
      </c>
      <c r="N499">
        <v>0.8400660456644492</v>
      </c>
      <c r="P499">
        <v>5.4991793166618348E-11</v>
      </c>
      <c r="R499">
        <v>8.4915819675423769</v>
      </c>
      <c r="S499">
        <v>8.5031850746050246</v>
      </c>
      <c r="T499">
        <v>1</v>
      </c>
      <c r="U499">
        <v>1.9286664612553339</v>
      </c>
    </row>
    <row r="500" spans="1:21">
      <c r="A500">
        <v>0.98723807540383346</v>
      </c>
      <c r="B500">
        <v>-1.1105760820222208</v>
      </c>
      <c r="C500">
        <v>-0.16749159984936779</v>
      </c>
      <c r="D500">
        <v>-0.31047188047851337</v>
      </c>
      <c r="E500">
        <v>7.3038084663422542E-2</v>
      </c>
      <c r="F500">
        <v>-0.30580752304172421</v>
      </c>
      <c r="G500">
        <v>0.15113400345262618</v>
      </c>
      <c r="H500">
        <v>0.82088488913549851</v>
      </c>
      <c r="I500">
        <v>0.31390506155162989</v>
      </c>
      <c r="J500">
        <v>0.24252752715712711</v>
      </c>
      <c r="L500">
        <v>4.4627691523090238</v>
      </c>
      <c r="M500">
        <v>3.6317324224796965</v>
      </c>
      <c r="N500">
        <v>0.8400647784647497</v>
      </c>
      <c r="P500">
        <v>4.8216221863315596E-11</v>
      </c>
      <c r="R500">
        <v>8.4915819675423769</v>
      </c>
      <c r="S500">
        <v>8.5031850746050246</v>
      </c>
      <c r="T500">
        <v>1</v>
      </c>
      <c r="U500">
        <v>1.9286664612553339</v>
      </c>
    </row>
    <row r="501" spans="1:21">
      <c r="A501">
        <v>1.0363998451795744</v>
      </c>
      <c r="B501">
        <v>-0.99883508718773029</v>
      </c>
      <c r="C501">
        <v>-9.3213574299805133E-2</v>
      </c>
      <c r="D501">
        <v>4.8834489807699361E-2</v>
      </c>
      <c r="E501">
        <v>-0.40009204290051409</v>
      </c>
      <c r="F501">
        <v>0.4927055856083456</v>
      </c>
      <c r="G501">
        <v>0.51614549517442732</v>
      </c>
      <c r="H501">
        <v>3.6903674321954946E-2</v>
      </c>
      <c r="I501">
        <v>0.216569979739269</v>
      </c>
      <c r="J501">
        <v>2.9515355611518933E-2</v>
      </c>
      <c r="L501">
        <v>0.90856784827398351</v>
      </c>
      <c r="M501">
        <v>3.6317366834651033</v>
      </c>
      <c r="N501">
        <v>0.84006639499013191</v>
      </c>
      <c r="P501">
        <v>4.1658805103810144E-12</v>
      </c>
      <c r="R501">
        <v>4.1592918598828774</v>
      </c>
      <c r="S501">
        <v>4.1630934361703984</v>
      </c>
      <c r="T501">
        <v>1</v>
      </c>
      <c r="U501">
        <v>1.9246196453951878</v>
      </c>
    </row>
    <row r="502" spans="1:21">
      <c r="A502">
        <v>1.0411693913868296</v>
      </c>
      <c r="B502">
        <v>-0.9848682367002547</v>
      </c>
      <c r="C502">
        <v>-4.6913782428635427E-2</v>
      </c>
      <c r="D502">
        <v>-3.4130814199896928E-2</v>
      </c>
      <c r="E502">
        <v>-0.26809486685345474</v>
      </c>
      <c r="F502">
        <v>0.21224327212954661</v>
      </c>
      <c r="G502">
        <v>0.24206103739647142</v>
      </c>
      <c r="H502">
        <v>0.89500539026924841</v>
      </c>
      <c r="I502">
        <v>0.36696690742119809</v>
      </c>
      <c r="J502">
        <v>0.92463652648663408</v>
      </c>
      <c r="L502">
        <v>0.90856797258672839</v>
      </c>
      <c r="M502">
        <v>3.6317366137931102</v>
      </c>
      <c r="N502">
        <v>0.84006648846355136</v>
      </c>
      <c r="P502">
        <v>4.4717875772803953E-12</v>
      </c>
      <c r="R502">
        <v>4.1592918598828774</v>
      </c>
      <c r="S502">
        <v>4.1630934361703984</v>
      </c>
      <c r="T502">
        <v>1</v>
      </c>
      <c r="U502">
        <v>1.9246196453951878</v>
      </c>
    </row>
    <row r="503" spans="1:21">
      <c r="A503">
        <v>1.0397281299333156</v>
      </c>
      <c r="B503">
        <v>-0.99465368750485406</v>
      </c>
      <c r="C503">
        <v>-6.3418004274433393E-2</v>
      </c>
      <c r="D503">
        <v>-0.59675740073424455</v>
      </c>
      <c r="E503">
        <v>0.33766663097514543</v>
      </c>
      <c r="F503">
        <v>-0.14258038236014298</v>
      </c>
      <c r="G503">
        <v>0.49613700579446446</v>
      </c>
      <c r="H503">
        <v>3.1586073754451327E-2</v>
      </c>
      <c r="I503">
        <v>0.71640702634475673</v>
      </c>
      <c r="J503">
        <v>0.44391052924665048</v>
      </c>
      <c r="L503">
        <v>0.90856808262336541</v>
      </c>
      <c r="M503">
        <v>3.6317365663776764</v>
      </c>
      <c r="N503">
        <v>0.8400665840934336</v>
      </c>
      <c r="P503">
        <v>4.7396664784750335E-12</v>
      </c>
      <c r="R503">
        <v>4.1592918598828774</v>
      </c>
      <c r="S503">
        <v>4.1630934361703984</v>
      </c>
      <c r="T503">
        <v>1</v>
      </c>
      <c r="U503">
        <v>1.9246196453951878</v>
      </c>
    </row>
    <row r="504" spans="1:21">
      <c r="A504">
        <v>1.0390077738376593</v>
      </c>
      <c r="B504">
        <v>-1.0042789169619906</v>
      </c>
      <c r="C504">
        <v>-7.4719673646116078E-2</v>
      </c>
      <c r="D504">
        <v>-8.6219041267086474E-2</v>
      </c>
      <c r="E504">
        <v>-0.2149932016915807</v>
      </c>
      <c r="F504">
        <v>-0.16907574557716681</v>
      </c>
      <c r="G504">
        <v>0.90726491362921557</v>
      </c>
      <c r="H504">
        <v>4.5367867660207561E-2</v>
      </c>
      <c r="I504">
        <v>6.4029496839022246E-2</v>
      </c>
      <c r="J504">
        <v>0.481764699226643</v>
      </c>
      <c r="L504">
        <v>0.90856806648131272</v>
      </c>
      <c r="M504">
        <v>3.6317365707287195</v>
      </c>
      <c r="N504">
        <v>0.84006656130921376</v>
      </c>
      <c r="P504">
        <v>4.7189563259262212E-12</v>
      </c>
      <c r="R504">
        <v>4.1592918598828774</v>
      </c>
      <c r="S504">
        <v>4.1630934361703984</v>
      </c>
      <c r="T504">
        <v>1</v>
      </c>
      <c r="U504">
        <v>1.9246196453951878</v>
      </c>
    </row>
    <row r="505" spans="1:21">
      <c r="A505">
        <v>1.0491050169605769</v>
      </c>
      <c r="B505">
        <v>-0.9827321741430548</v>
      </c>
      <c r="C505">
        <v>-5.8579287201724874E-2</v>
      </c>
      <c r="D505">
        <v>-0.17530274027009216</v>
      </c>
      <c r="E505">
        <v>0.57528254029918913</v>
      </c>
      <c r="F505">
        <v>0.68598886627530364</v>
      </c>
      <c r="G505">
        <v>0.21697370193384832</v>
      </c>
      <c r="H505">
        <v>0.97879180770108332</v>
      </c>
      <c r="I505">
        <v>2.1104047261947957E-2</v>
      </c>
      <c r="J505">
        <v>0.39822555410287525</v>
      </c>
      <c r="L505">
        <v>0.90856706525911224</v>
      </c>
      <c r="M505">
        <v>3.6317366847602401</v>
      </c>
      <c r="N505">
        <v>0.84006641326950204</v>
      </c>
      <c r="P505">
        <v>2.4013819347835206E-12</v>
      </c>
      <c r="R505">
        <v>4.1592918598828774</v>
      </c>
      <c r="S505">
        <v>4.1630934361703984</v>
      </c>
      <c r="T505">
        <v>1</v>
      </c>
      <c r="U505">
        <v>1.9246196453951878</v>
      </c>
    </row>
    <row r="506" spans="1:21">
      <c r="A506">
        <v>1.0371969397088114</v>
      </c>
      <c r="B506">
        <v>-0.99567681807947717</v>
      </c>
      <c r="C506">
        <v>-6.7055367423390175E-2</v>
      </c>
      <c r="D506">
        <v>0.65539767499500345</v>
      </c>
      <c r="E506">
        <v>-0.27265877003922318</v>
      </c>
      <c r="F506">
        <v>-0.42036272794548996</v>
      </c>
      <c r="G506">
        <v>0.32290688027404379</v>
      </c>
      <c r="H506">
        <v>0.62818876743738061</v>
      </c>
      <c r="I506">
        <v>0.29297188921965989</v>
      </c>
      <c r="J506">
        <v>0.10815496080827454</v>
      </c>
      <c r="L506">
        <v>0.90856775681165636</v>
      </c>
      <c r="M506">
        <v>3.6317366730906468</v>
      </c>
      <c r="N506">
        <v>0.84006635998104939</v>
      </c>
      <c r="P506">
        <v>3.9984970009669554E-12</v>
      </c>
      <c r="R506">
        <v>4.1592918598828774</v>
      </c>
      <c r="S506">
        <v>4.1630934361703984</v>
      </c>
      <c r="T506">
        <v>1</v>
      </c>
      <c r="U506">
        <v>1.9246196453951878</v>
      </c>
    </row>
    <row r="507" spans="1:21">
      <c r="A507">
        <v>1.0439866198041301</v>
      </c>
      <c r="B507">
        <v>-0.98712675208971334</v>
      </c>
      <c r="C507">
        <v>-6.5854095620457118E-2</v>
      </c>
      <c r="D507">
        <v>-0.59188904596016423</v>
      </c>
      <c r="E507">
        <v>0.23549334591677021</v>
      </c>
      <c r="F507">
        <v>-3.5031777388775713E-2</v>
      </c>
      <c r="G507">
        <v>0.47030299567883943</v>
      </c>
      <c r="H507">
        <v>0.50786197622062057</v>
      </c>
      <c r="I507">
        <v>0.43261406287816395</v>
      </c>
      <c r="J507">
        <v>0.10549730085653355</v>
      </c>
      <c r="L507">
        <v>0.90856780304882401</v>
      </c>
      <c r="M507">
        <v>3.6317366430749027</v>
      </c>
      <c r="N507">
        <v>0.84006638300686809</v>
      </c>
      <c r="P507">
        <v>4.1287047935129846E-12</v>
      </c>
      <c r="R507">
        <v>4.1592918598828774</v>
      </c>
      <c r="S507">
        <v>4.1630934361703984</v>
      </c>
      <c r="T507">
        <v>1</v>
      </c>
      <c r="U507">
        <v>1.9246196453951878</v>
      </c>
    </row>
    <row r="508" spans="1:21">
      <c r="A508">
        <v>1.0392685454194064</v>
      </c>
      <c r="B508">
        <v>-1.0049263997226141</v>
      </c>
      <c r="C508">
        <v>-6.7882559397760472E-2</v>
      </c>
      <c r="D508">
        <v>0.93355620611325019</v>
      </c>
      <c r="E508">
        <v>1.1159506868188557E-2</v>
      </c>
      <c r="F508">
        <v>0.27429069420916591</v>
      </c>
      <c r="G508">
        <v>0.81210001097496842</v>
      </c>
      <c r="H508">
        <v>0.66080576998254081</v>
      </c>
      <c r="I508">
        <v>0.11391092198329052</v>
      </c>
      <c r="J508">
        <v>0.98205228047721027</v>
      </c>
      <c r="L508">
        <v>0.9085678406323604</v>
      </c>
      <c r="M508">
        <v>3.6317366449821518</v>
      </c>
      <c r="N508">
        <v>0.84006639384091708</v>
      </c>
      <c r="P508">
        <v>4.2110574418601823E-12</v>
      </c>
      <c r="R508">
        <v>4.1592918598828774</v>
      </c>
      <c r="S508">
        <v>4.1630934361703984</v>
      </c>
      <c r="T508">
        <v>1</v>
      </c>
      <c r="U508">
        <v>1.9246196453951878</v>
      </c>
    </row>
    <row r="509" spans="1:21">
      <c r="A509">
        <v>1.0424032819053457</v>
      </c>
      <c r="B509">
        <v>-0.98812022765409013</v>
      </c>
      <c r="C509">
        <v>-7.9736365370116261E-2</v>
      </c>
      <c r="D509">
        <v>-0.20894333479276214</v>
      </c>
      <c r="E509">
        <v>0.50176137600068771</v>
      </c>
      <c r="F509">
        <v>0.60598240317823637</v>
      </c>
      <c r="G509">
        <v>0.58633047803846794</v>
      </c>
      <c r="H509">
        <v>0.69593193938722553</v>
      </c>
      <c r="I509">
        <v>0.9352188247472264</v>
      </c>
      <c r="J509">
        <v>0.23687281139443886</v>
      </c>
      <c r="L509">
        <v>0.90856798141153672</v>
      </c>
      <c r="M509">
        <v>3.6317365903351138</v>
      </c>
      <c r="N509">
        <v>0.84006649822233803</v>
      </c>
      <c r="P509">
        <v>4.5231687818201055E-12</v>
      </c>
      <c r="R509">
        <v>4.1592918598828774</v>
      </c>
      <c r="S509">
        <v>4.1630934361703984</v>
      </c>
      <c r="T509">
        <v>1</v>
      </c>
      <c r="U509">
        <v>1.9246196453951878</v>
      </c>
    </row>
    <row r="510" spans="1:21">
      <c r="A510">
        <v>1.0404148381149463</v>
      </c>
      <c r="B510">
        <v>-0.9831963895350172</v>
      </c>
      <c r="C510">
        <v>-5.0744014180222008E-2</v>
      </c>
      <c r="D510">
        <v>6.9111217957032265E-3</v>
      </c>
      <c r="E510">
        <v>5.4987082594559381E-2</v>
      </c>
      <c r="F510">
        <v>-0.41793907378693695</v>
      </c>
      <c r="G510">
        <v>0.21224233885651397</v>
      </c>
      <c r="H510">
        <v>0.96635329599448538</v>
      </c>
      <c r="I510">
        <v>0.85086339812329814</v>
      </c>
      <c r="J510">
        <v>0.31393630295907554</v>
      </c>
      <c r="L510">
        <v>0.90856803877951786</v>
      </c>
      <c r="M510">
        <v>3.6317365739862097</v>
      </c>
      <c r="N510">
        <v>0.84006655375000605</v>
      </c>
      <c r="P510">
        <v>4.6333809616443422E-12</v>
      </c>
      <c r="R510">
        <v>4.1592918598828774</v>
      </c>
      <c r="S510">
        <v>4.1630934361703984</v>
      </c>
      <c r="T510">
        <v>1</v>
      </c>
      <c r="U510">
        <v>1.9246196453951878</v>
      </c>
    </row>
    <row r="511" spans="1:21">
      <c r="A511">
        <v>0.11471998208486232</v>
      </c>
      <c r="B511">
        <v>-1.2132854389527534</v>
      </c>
      <c r="C511">
        <v>0.97699918713572742</v>
      </c>
      <c r="D511">
        <v>0.58006299408908979</v>
      </c>
      <c r="E511">
        <v>0.78927941186025719</v>
      </c>
      <c r="F511">
        <v>-0.27202725532713773</v>
      </c>
      <c r="G511">
        <v>0.6892068728507883</v>
      </c>
      <c r="H511">
        <v>0.67072624380451118</v>
      </c>
      <c r="I511">
        <v>0.46849345354815075</v>
      </c>
      <c r="J511">
        <v>0.61068736644765542</v>
      </c>
      <c r="L511">
        <v>2.8040440232449151</v>
      </c>
      <c r="M511">
        <v>3.720772367712446</v>
      </c>
      <c r="N511">
        <v>2.3695482223771491</v>
      </c>
      <c r="P511">
        <v>6.1733567119581579E-12</v>
      </c>
      <c r="R511">
        <v>5.8408590968447793</v>
      </c>
      <c r="S511">
        <v>5.8454524208722907</v>
      </c>
      <c r="T511">
        <v>1</v>
      </c>
      <c r="U511">
        <v>1.905430587968947</v>
      </c>
    </row>
    <row r="512" spans="1:21">
      <c r="A512">
        <v>0.10795502594251355</v>
      </c>
      <c r="B512">
        <v>-1.2062051014449975</v>
      </c>
      <c r="C512">
        <v>0.99549399784527037</v>
      </c>
      <c r="D512">
        <v>0.13162883029695754</v>
      </c>
      <c r="E512">
        <v>0.14493383054826961</v>
      </c>
      <c r="F512">
        <v>0.23962244434197305</v>
      </c>
      <c r="G512">
        <v>0.18833755781089201</v>
      </c>
      <c r="H512">
        <v>0.72150563480048702</v>
      </c>
      <c r="I512">
        <v>8.4634040204374303E-2</v>
      </c>
      <c r="J512">
        <v>2.6911840126000782E-2</v>
      </c>
      <c r="L512">
        <v>2.8040442660826193</v>
      </c>
      <c r="M512">
        <v>3.7207723772946362</v>
      </c>
      <c r="N512">
        <v>2.3695480924840249</v>
      </c>
      <c r="P512">
        <v>6.8652154525578601E-12</v>
      </c>
      <c r="R512">
        <v>5.8408590968447793</v>
      </c>
      <c r="S512">
        <v>5.8454524208722907</v>
      </c>
      <c r="T512">
        <v>1</v>
      </c>
      <c r="U512">
        <v>1.905430587968947</v>
      </c>
    </row>
    <row r="513" spans="1:21">
      <c r="A513">
        <v>0.11668377111037678</v>
      </c>
      <c r="B513">
        <v>-1.2055927264092876</v>
      </c>
      <c r="C513">
        <v>0.98410962373949884</v>
      </c>
      <c r="D513">
        <v>-0.16442891841840018</v>
      </c>
      <c r="E513">
        <v>0.40337057730779607</v>
      </c>
      <c r="F513">
        <v>0.39511248675314209</v>
      </c>
      <c r="G513">
        <v>0.10407235774380463</v>
      </c>
      <c r="H513">
        <v>0.46158453019271939</v>
      </c>
      <c r="I513">
        <v>0.1883328543189067</v>
      </c>
      <c r="J513">
        <v>0.96686136126665012</v>
      </c>
      <c r="L513">
        <v>2.8040440524055956</v>
      </c>
      <c r="M513">
        <v>3.7207725732240648</v>
      </c>
      <c r="N513">
        <v>2.3695476977350673</v>
      </c>
      <c r="P513">
        <v>6.2001567387761731E-12</v>
      </c>
      <c r="R513">
        <v>5.8408590968447793</v>
      </c>
      <c r="S513">
        <v>5.8454524208722907</v>
      </c>
      <c r="T513">
        <v>1</v>
      </c>
      <c r="U513">
        <v>1.905430587968947</v>
      </c>
    </row>
    <row r="514" spans="1:21">
      <c r="A514">
        <v>0.11309505153817312</v>
      </c>
      <c r="B514">
        <v>-1.2081565968421706</v>
      </c>
      <c r="C514">
        <v>0.97323175241599635</v>
      </c>
      <c r="D514">
        <v>0.50154799994188792</v>
      </c>
      <c r="E514">
        <v>0.36533418318138172</v>
      </c>
      <c r="F514">
        <v>-0.56542923683579371</v>
      </c>
      <c r="G514">
        <v>0.10799869619351857</v>
      </c>
      <c r="H514">
        <v>0.61732334415670287</v>
      </c>
      <c r="I514">
        <v>0.40159428775867451</v>
      </c>
      <c r="J514">
        <v>0.24743378503465444</v>
      </c>
      <c r="L514">
        <v>2.804044195129042</v>
      </c>
      <c r="M514">
        <v>3.7207719289874288</v>
      </c>
      <c r="N514">
        <v>2.3695487343133093</v>
      </c>
      <c r="P514">
        <v>6.9149760637951312E-12</v>
      </c>
      <c r="R514">
        <v>5.8408590968447793</v>
      </c>
      <c r="S514">
        <v>5.8454524208722907</v>
      </c>
      <c r="T514">
        <v>1</v>
      </c>
      <c r="U514">
        <v>1.905430587968947</v>
      </c>
    </row>
    <row r="515" spans="1:21">
      <c r="A515">
        <v>9.9364182910928606E-2</v>
      </c>
      <c r="B515">
        <v>-1.2087251727021182</v>
      </c>
      <c r="C515">
        <v>0.97795813838078838</v>
      </c>
      <c r="D515">
        <v>0.21876683457516433</v>
      </c>
      <c r="E515">
        <v>-4.4410916085397358E-2</v>
      </c>
      <c r="F515">
        <v>3.7631480955197839E-2</v>
      </c>
      <c r="G515">
        <v>0.58767217099195379</v>
      </c>
      <c r="H515">
        <v>0.84256116824196026</v>
      </c>
      <c r="I515">
        <v>0.99790952795576726</v>
      </c>
      <c r="J515">
        <v>6.8207943454410905E-2</v>
      </c>
      <c r="L515">
        <v>2.8040440585366819</v>
      </c>
      <c r="M515">
        <v>3.7207724924457568</v>
      </c>
      <c r="N515">
        <v>2.3695479657428011</v>
      </c>
      <c r="P515">
        <v>6.2588813276401029E-12</v>
      </c>
      <c r="R515">
        <v>5.8408590968447793</v>
      </c>
      <c r="S515">
        <v>5.8454524208722907</v>
      </c>
      <c r="T515">
        <v>1</v>
      </c>
      <c r="U515">
        <v>1.905430587968947</v>
      </c>
    </row>
    <row r="516" spans="1:21">
      <c r="A516">
        <v>0.10807801952414957</v>
      </c>
      <c r="B516">
        <v>-1.2069393389899206</v>
      </c>
      <c r="C516">
        <v>0.97016547052915647</v>
      </c>
      <c r="D516">
        <v>0.12432824286759091</v>
      </c>
      <c r="E516">
        <v>0.39735205153705733</v>
      </c>
      <c r="F516">
        <v>-6.3728457346667863E-2</v>
      </c>
      <c r="G516">
        <v>0.25192951819050347</v>
      </c>
      <c r="H516">
        <v>0.62248146363728118</v>
      </c>
      <c r="I516">
        <v>1.0090016322091448</v>
      </c>
      <c r="J516">
        <v>0.58088462320442402</v>
      </c>
      <c r="L516">
        <v>2.8040442188588566</v>
      </c>
      <c r="M516">
        <v>3.7207718670927865</v>
      </c>
      <c r="N516">
        <v>2.3695487788762497</v>
      </c>
      <c r="P516">
        <v>7.0106617985665374E-12</v>
      </c>
      <c r="R516">
        <v>5.8408590968447793</v>
      </c>
      <c r="S516">
        <v>5.8454524208722907</v>
      </c>
      <c r="T516">
        <v>1</v>
      </c>
      <c r="U516">
        <v>1.905430587968947</v>
      </c>
    </row>
    <row r="517" spans="1:21">
      <c r="A517">
        <v>0.11304642033395952</v>
      </c>
      <c r="B517">
        <v>-1.2123057829768731</v>
      </c>
      <c r="C517">
        <v>0.97900799992087906</v>
      </c>
      <c r="D517">
        <v>-0.31013962217699481</v>
      </c>
      <c r="E517">
        <v>0.16279506876822675</v>
      </c>
      <c r="F517">
        <v>0.20468473009730914</v>
      </c>
      <c r="G517">
        <v>0.63293328921649894</v>
      </c>
      <c r="H517">
        <v>0.11971670724275199</v>
      </c>
      <c r="I517">
        <v>0.12637817387569841</v>
      </c>
      <c r="J517">
        <v>0.78439879072694385</v>
      </c>
      <c r="L517">
        <v>2.804044130573645</v>
      </c>
      <c r="M517">
        <v>3.7207725634432229</v>
      </c>
      <c r="N517">
        <v>2.3695477881475133</v>
      </c>
      <c r="P517">
        <v>6.5346158534330575E-12</v>
      </c>
      <c r="R517">
        <v>5.8408590968447793</v>
      </c>
      <c r="S517">
        <v>5.8454524208722907</v>
      </c>
      <c r="T517">
        <v>1</v>
      </c>
      <c r="U517">
        <v>1.905430587968947</v>
      </c>
    </row>
    <row r="518" spans="1:21">
      <c r="A518">
        <v>0.10719354005703854</v>
      </c>
      <c r="B518">
        <v>-1.211865156347852</v>
      </c>
      <c r="C518">
        <v>0.96805121995574184</v>
      </c>
      <c r="D518">
        <v>5.6975731967760533E-2</v>
      </c>
      <c r="E518">
        <v>-3.8853772445053211E-2</v>
      </c>
      <c r="F518">
        <v>-0.42510091173946196</v>
      </c>
      <c r="G518">
        <v>0.5599682823407125</v>
      </c>
      <c r="H518">
        <v>0.32617307814314861</v>
      </c>
      <c r="I518">
        <v>0.58779204416286324</v>
      </c>
      <c r="J518">
        <v>0.28727509974964532</v>
      </c>
      <c r="L518">
        <v>2.8040442240871486</v>
      </c>
      <c r="M518">
        <v>3.7207720551577914</v>
      </c>
      <c r="N518">
        <v>2.3695486281197304</v>
      </c>
      <c r="P518">
        <v>7.0089160511081229E-12</v>
      </c>
      <c r="R518">
        <v>5.8408590968447793</v>
      </c>
      <c r="S518">
        <v>5.8454524208722907</v>
      </c>
      <c r="T518">
        <v>1</v>
      </c>
      <c r="U518">
        <v>1.905430587968947</v>
      </c>
    </row>
    <row r="519" spans="1:21">
      <c r="A519">
        <v>0.10862927598297727</v>
      </c>
      <c r="B519">
        <v>-1.2135460776023963</v>
      </c>
      <c r="C519">
        <v>0.97825221404955376</v>
      </c>
      <c r="D519">
        <v>-4.8793174547556155E-2</v>
      </c>
      <c r="E519">
        <v>0.17076369305165659</v>
      </c>
      <c r="F519">
        <v>0.40058709551933319</v>
      </c>
      <c r="G519">
        <v>0.45484674582800166</v>
      </c>
      <c r="H519">
        <v>0</v>
      </c>
      <c r="I519">
        <v>7.0713714805654096E-2</v>
      </c>
      <c r="J519">
        <v>0.41667965107869831</v>
      </c>
      <c r="L519">
        <v>2.8040428018093229</v>
      </c>
      <c r="M519">
        <v>3.7207702786655994</v>
      </c>
      <c r="N519">
        <v>2.3695475049399004</v>
      </c>
      <c r="P519">
        <v>6.5257872375590724E-13</v>
      </c>
      <c r="R519">
        <v>5.8408590968447793</v>
      </c>
      <c r="S519">
        <v>5.8454524208722907</v>
      </c>
      <c r="T519">
        <v>1</v>
      </c>
      <c r="U519">
        <v>1.905430587968947</v>
      </c>
    </row>
    <row r="520" spans="1:21">
      <c r="A520">
        <v>0.10597113200585424</v>
      </c>
      <c r="B520">
        <v>-1.2139727139951209</v>
      </c>
      <c r="C520">
        <v>0.94896707364327892</v>
      </c>
      <c r="D520">
        <v>0.47396531312777851</v>
      </c>
      <c r="E520">
        <v>0.349846924830647</v>
      </c>
      <c r="F520">
        <v>-0.33448987708501277</v>
      </c>
      <c r="G520">
        <v>0.28754072157277538</v>
      </c>
      <c r="H520">
        <v>7.3286619174917286E-2</v>
      </c>
      <c r="I520">
        <v>1.0247314383599933</v>
      </c>
      <c r="J520">
        <v>0.43602863239526979</v>
      </c>
      <c r="L520">
        <v>2.8040442778704024</v>
      </c>
      <c r="M520">
        <v>3.7207721629532542</v>
      </c>
      <c r="N520">
        <v>2.369548516307149</v>
      </c>
      <c r="P520">
        <v>7.1942061881644338E-12</v>
      </c>
      <c r="R520">
        <v>5.8408590968447793</v>
      </c>
      <c r="S520">
        <v>5.8454524208722907</v>
      </c>
      <c r="T520">
        <v>1</v>
      </c>
      <c r="U520">
        <v>1.905430587968947</v>
      </c>
    </row>
    <row r="521" spans="1:21">
      <c r="A521">
        <v>-0.48579521338101239</v>
      </c>
      <c r="B521">
        <v>-1.2309516610926501</v>
      </c>
      <c r="C521">
        <v>1.803834599602264</v>
      </c>
      <c r="D521">
        <v>-0.40834364387839628</v>
      </c>
      <c r="E521">
        <v>0.10315569840447113</v>
      </c>
      <c r="F521">
        <v>0.69779861582391967</v>
      </c>
      <c r="G521">
        <v>0.35272050574564123</v>
      </c>
      <c r="H521">
        <v>0.87304959351518241</v>
      </c>
      <c r="I521">
        <v>0.25795668399018068</v>
      </c>
      <c r="J521">
        <v>0.36239736872440015</v>
      </c>
      <c r="L521">
        <v>2.8040436025661899</v>
      </c>
      <c r="M521">
        <v>3.7207690550394772</v>
      </c>
      <c r="N521">
        <v>2.2134467746914495</v>
      </c>
      <c r="P521">
        <v>7.7483878285527906E-12</v>
      </c>
      <c r="R521">
        <v>26.830345051733651</v>
      </c>
      <c r="S521">
        <v>27.264608409535779</v>
      </c>
      <c r="T521">
        <v>1</v>
      </c>
      <c r="U521">
        <v>2.2581884973955049</v>
      </c>
    </row>
    <row r="522" spans="1:21">
      <c r="A522">
        <v>-0.48741259379405993</v>
      </c>
      <c r="B522">
        <v>-1.2413763328915921</v>
      </c>
      <c r="C522">
        <v>1.7709389875742456</v>
      </c>
      <c r="D522">
        <v>0.17277227629711628</v>
      </c>
      <c r="E522">
        <v>-1.0846836561223799E-2</v>
      </c>
      <c r="F522">
        <v>-0.21726652582140002</v>
      </c>
      <c r="G522">
        <v>0.54822416024035392</v>
      </c>
      <c r="H522">
        <v>0.23060012627563276</v>
      </c>
      <c r="I522">
        <v>0.35622524697821056</v>
      </c>
      <c r="J522">
        <v>0.53120288581151565</v>
      </c>
      <c r="L522">
        <v>2.8040435579492566</v>
      </c>
      <c r="M522">
        <v>3.7207690804136599</v>
      </c>
      <c r="N522">
        <v>2.213446677056595</v>
      </c>
      <c r="P522">
        <v>7.2265331108332816E-12</v>
      </c>
      <c r="R522">
        <v>26.830345051733651</v>
      </c>
      <c r="S522">
        <v>27.264608409535779</v>
      </c>
      <c r="T522">
        <v>1</v>
      </c>
      <c r="U522">
        <v>2.2581884973955049</v>
      </c>
    </row>
    <row r="523" spans="1:21">
      <c r="A523">
        <v>-0.45519384519447309</v>
      </c>
      <c r="B523">
        <v>-1.2366847897506632</v>
      </c>
      <c r="C523">
        <v>1.7287204212747735</v>
      </c>
      <c r="D523">
        <v>0.51312746887033833</v>
      </c>
      <c r="E523">
        <v>-0.29547686273741874</v>
      </c>
      <c r="F523">
        <v>0.20220831189014996</v>
      </c>
      <c r="G523">
        <v>0.46498377596474944</v>
      </c>
      <c r="H523">
        <v>0.73475113781849277</v>
      </c>
      <c r="I523">
        <v>0.3936329518644695</v>
      </c>
      <c r="J523">
        <v>0.1704213358790872</v>
      </c>
      <c r="L523">
        <v>2.8040436001743596</v>
      </c>
      <c r="M523">
        <v>3.7207692069749312</v>
      </c>
      <c r="N523">
        <v>2.2134468375720178</v>
      </c>
      <c r="P523">
        <v>7.4304652484252008E-12</v>
      </c>
      <c r="R523">
        <v>26.830345051733651</v>
      </c>
      <c r="S523">
        <v>27.264608409535779</v>
      </c>
      <c r="T523">
        <v>1</v>
      </c>
      <c r="U523">
        <v>2.2581884973955049</v>
      </c>
    </row>
    <row r="524" spans="1:21">
      <c r="A524">
        <v>-0.51290372026209596</v>
      </c>
      <c r="B524">
        <v>-1.2359496951797198</v>
      </c>
      <c r="C524">
        <v>1.8354020453501716</v>
      </c>
      <c r="D524">
        <v>-0.19577400144388715</v>
      </c>
      <c r="E524">
        <v>0.28687140269024575</v>
      </c>
      <c r="F524">
        <v>-0.36053669669990396</v>
      </c>
      <c r="G524">
        <v>0.35448078483809869</v>
      </c>
      <c r="H524">
        <v>0.60208693570123728</v>
      </c>
      <c r="I524">
        <v>0.140640527767428</v>
      </c>
      <c r="J524">
        <v>1.9496785091487469E-2</v>
      </c>
      <c r="L524">
        <v>2.8040435707259497</v>
      </c>
      <c r="M524">
        <v>3.7207690399064806</v>
      </c>
      <c r="N524">
        <v>2.2134466996250706</v>
      </c>
      <c r="P524">
        <v>7.4762171180318267E-12</v>
      </c>
      <c r="R524">
        <v>26.830345051733651</v>
      </c>
      <c r="S524">
        <v>27.264608409535779</v>
      </c>
      <c r="T524">
        <v>1</v>
      </c>
      <c r="U524">
        <v>2.2581884973955049</v>
      </c>
    </row>
    <row r="525" spans="1:21">
      <c r="A525">
        <v>-0.44043500505154282</v>
      </c>
      <c r="B525">
        <v>-1.2321757814020733</v>
      </c>
      <c r="C525">
        <v>1.7059245313125078</v>
      </c>
      <c r="D525">
        <v>-0.16489365030879763</v>
      </c>
      <c r="E525">
        <v>-6.3848213197996218E-2</v>
      </c>
      <c r="F525">
        <v>0.14084565823929424</v>
      </c>
      <c r="G525">
        <v>0.61910738500150331</v>
      </c>
      <c r="H525">
        <v>0.81934226579113767</v>
      </c>
      <c r="I525">
        <v>1.1760109817707669</v>
      </c>
      <c r="J525">
        <v>0.36087401400611141</v>
      </c>
      <c r="L525">
        <v>2.8040441062320269</v>
      </c>
      <c r="M525">
        <v>3.720768320172537</v>
      </c>
      <c r="N525">
        <v>2.2134459254741476</v>
      </c>
      <c r="P525">
        <v>1.0394526383775732E-11</v>
      </c>
      <c r="R525">
        <v>26.830345051733651</v>
      </c>
      <c r="S525">
        <v>27.264608409535779</v>
      </c>
      <c r="T525">
        <v>1</v>
      </c>
      <c r="U525">
        <v>2.2581884973955049</v>
      </c>
    </row>
    <row r="526" spans="1:21">
      <c r="A526">
        <v>-0.48749210962156558</v>
      </c>
      <c r="B526">
        <v>-1.2405876631645212</v>
      </c>
      <c r="C526">
        <v>1.7543176549128174</v>
      </c>
      <c r="D526">
        <v>4.8994183083391422E-2</v>
      </c>
      <c r="E526">
        <v>0.32408782903337707</v>
      </c>
      <c r="F526">
        <v>-0.46200872128812243</v>
      </c>
      <c r="G526">
        <v>0.35414938081028641</v>
      </c>
      <c r="H526">
        <v>0</v>
      </c>
      <c r="I526">
        <v>1.0035079420259496</v>
      </c>
      <c r="J526">
        <v>0.87404827850278211</v>
      </c>
      <c r="L526">
        <v>2.8040453912453684</v>
      </c>
      <c r="M526">
        <v>3.7207708423685126</v>
      </c>
      <c r="N526">
        <v>2.2134431442918592</v>
      </c>
      <c r="P526">
        <v>1.3407080551106902E-11</v>
      </c>
      <c r="R526">
        <v>26.830345051733651</v>
      </c>
      <c r="S526">
        <v>27.264608409535779</v>
      </c>
      <c r="T526">
        <v>1</v>
      </c>
      <c r="U526">
        <v>2.2581884973955049</v>
      </c>
    </row>
    <row r="527" spans="1:21">
      <c r="A527">
        <v>-0.43508080627218298</v>
      </c>
      <c r="B527">
        <v>-1.2365788750564797</v>
      </c>
      <c r="C527">
        <v>1.6662495513903031</v>
      </c>
      <c r="D527">
        <v>7.6192410704889413E-2</v>
      </c>
      <c r="E527">
        <v>-0.7697685423359022</v>
      </c>
      <c r="F527">
        <v>-0.68312433593805899</v>
      </c>
      <c r="G527">
        <v>0.21037434873304209</v>
      </c>
      <c r="H527">
        <v>0</v>
      </c>
      <c r="I527">
        <v>0.86288178529659632</v>
      </c>
      <c r="J527">
        <v>1.3776193430691122E-2</v>
      </c>
      <c r="L527">
        <v>2.8040431578383016</v>
      </c>
      <c r="M527">
        <v>3.7207705492693628</v>
      </c>
      <c r="N527">
        <v>2.2134456572111527</v>
      </c>
      <c r="P527">
        <v>1.1398250648734497E-12</v>
      </c>
      <c r="R527">
        <v>26.830345051733651</v>
      </c>
      <c r="S527">
        <v>27.264608409535779</v>
      </c>
      <c r="T527">
        <v>1</v>
      </c>
      <c r="U527">
        <v>2.2581884973955049</v>
      </c>
    </row>
    <row r="528" spans="1:21">
      <c r="A528">
        <v>-0.5235131652300461</v>
      </c>
      <c r="B528">
        <v>-1.2347173956952999</v>
      </c>
      <c r="C528">
        <v>1.8430442414165429</v>
      </c>
      <c r="D528">
        <v>-0.26152913448711534</v>
      </c>
      <c r="E528">
        <v>0.37501876249187804</v>
      </c>
      <c r="F528">
        <v>-0.19545076836036807</v>
      </c>
      <c r="G528">
        <v>0.21362421826489608</v>
      </c>
      <c r="H528">
        <v>0.59276811073667135</v>
      </c>
      <c r="I528">
        <v>0.46002813452715136</v>
      </c>
      <c r="J528">
        <v>0.71174250211895762</v>
      </c>
      <c r="L528">
        <v>2.8040434318483825</v>
      </c>
      <c r="M528">
        <v>3.7207690645065976</v>
      </c>
      <c r="N528">
        <v>2.2134466003199407</v>
      </c>
      <c r="P528">
        <v>6.7464064946410887E-12</v>
      </c>
      <c r="R528">
        <v>26.830345051733651</v>
      </c>
      <c r="S528">
        <v>27.264608409535779</v>
      </c>
      <c r="T528">
        <v>1</v>
      </c>
      <c r="U528">
        <v>2.2581884973955049</v>
      </c>
    </row>
    <row r="529" spans="1:21">
      <c r="A529">
        <v>-0.49889593907010821</v>
      </c>
      <c r="B529">
        <v>-1.2377943280004964</v>
      </c>
      <c r="C529">
        <v>1.7997540654759876</v>
      </c>
      <c r="D529">
        <v>5.3337721315931334E-2</v>
      </c>
      <c r="E529">
        <v>0.37168945574069862</v>
      </c>
      <c r="F529">
        <v>9.2655345523790317E-2</v>
      </c>
      <c r="G529">
        <v>0.1122393564358771</v>
      </c>
      <c r="H529">
        <v>0.2245269704645638</v>
      </c>
      <c r="I529">
        <v>0.23573646995641837</v>
      </c>
      <c r="J529">
        <v>0.30843134117756288</v>
      </c>
      <c r="L529">
        <v>2.8040435632022267</v>
      </c>
      <c r="M529">
        <v>3.7207691579908113</v>
      </c>
      <c r="N529">
        <v>2.2134467629478389</v>
      </c>
      <c r="P529">
        <v>7.2470097229062072E-12</v>
      </c>
      <c r="R529">
        <v>26.830345051733651</v>
      </c>
      <c r="S529">
        <v>27.264608409535779</v>
      </c>
      <c r="T529">
        <v>1</v>
      </c>
      <c r="U529">
        <v>2.2581884973955049</v>
      </c>
    </row>
    <row r="530" spans="1:21">
      <c r="A530">
        <v>-0.45076949372582376</v>
      </c>
      <c r="B530">
        <v>-1.2377533691136235</v>
      </c>
      <c r="C530">
        <v>1.7196852250208814</v>
      </c>
      <c r="D530">
        <v>-0.21125386158061407</v>
      </c>
      <c r="E530">
        <v>0.27414309518466412</v>
      </c>
      <c r="F530">
        <v>0.39053003615847598</v>
      </c>
      <c r="G530">
        <v>0.85450380342994969</v>
      </c>
      <c r="H530">
        <v>0.45569721399219876</v>
      </c>
      <c r="I530">
        <v>1.0774996998827577</v>
      </c>
      <c r="J530">
        <v>0.75340105606122432</v>
      </c>
      <c r="L530">
        <v>2.8040434859804391</v>
      </c>
      <c r="M530">
        <v>3.720769113269907</v>
      </c>
      <c r="N530">
        <v>2.2134466977647516</v>
      </c>
      <c r="P530">
        <v>7.0001138882699452E-12</v>
      </c>
      <c r="R530">
        <v>26.830345051733651</v>
      </c>
      <c r="S530">
        <v>27.264608409535779</v>
      </c>
      <c r="T530">
        <v>1</v>
      </c>
      <c r="U530">
        <v>2.2581884973955049</v>
      </c>
    </row>
    <row r="531" spans="1:21">
      <c r="A531">
        <v>0.1785902933226767</v>
      </c>
      <c r="B531">
        <v>-1.2007686587629396</v>
      </c>
      <c r="C531">
        <v>0.90162629864780353</v>
      </c>
      <c r="D531">
        <v>-0.13679550301607998</v>
      </c>
      <c r="E531">
        <v>0.15918580456187625</v>
      </c>
      <c r="F531">
        <v>-0.53555432858615315</v>
      </c>
      <c r="G531">
        <v>0.3282836337469528</v>
      </c>
      <c r="H531">
        <v>0.90216855470510915</v>
      </c>
      <c r="I531">
        <v>0.40438391475853558</v>
      </c>
      <c r="J531">
        <v>0.47449283069036979</v>
      </c>
      <c r="L531">
        <v>2.8040433259610289</v>
      </c>
      <c r="M531">
        <v>3.7207720446730832</v>
      </c>
      <c r="N531">
        <v>0.83452601451135011</v>
      </c>
      <c r="P531">
        <v>2.4900450625545251E-12</v>
      </c>
      <c r="R531">
        <v>4.3628626309739627</v>
      </c>
      <c r="S531">
        <v>4.3649803826438793</v>
      </c>
      <c r="T531">
        <v>1</v>
      </c>
      <c r="U531">
        <v>2.2784918105433563</v>
      </c>
    </row>
    <row r="532" spans="1:21">
      <c r="A532">
        <v>0.15564921471835511</v>
      </c>
      <c r="B532">
        <v>-1.2041145275683443</v>
      </c>
      <c r="C532">
        <v>0.89460832259264211</v>
      </c>
      <c r="D532">
        <v>-0.14105081601593966</v>
      </c>
      <c r="E532">
        <v>-0.55365248660888011</v>
      </c>
      <c r="F532">
        <v>0.34295310591286582</v>
      </c>
      <c r="G532">
        <v>0.45160015060054837</v>
      </c>
      <c r="H532">
        <v>0.65834863066271676</v>
      </c>
      <c r="I532">
        <v>0.98369026115751779</v>
      </c>
      <c r="J532">
        <v>0.28845405586442041</v>
      </c>
      <c r="L532">
        <v>2.8040437762110892</v>
      </c>
      <c r="M532">
        <v>3.7207716334617178</v>
      </c>
      <c r="N532">
        <v>0.83452664488231088</v>
      </c>
      <c r="P532">
        <v>3.4417393246370194E-12</v>
      </c>
      <c r="R532">
        <v>4.3628626309739627</v>
      </c>
      <c r="S532">
        <v>4.3649803826438793</v>
      </c>
      <c r="T532">
        <v>1</v>
      </c>
      <c r="U532">
        <v>2.2784918105433563</v>
      </c>
    </row>
    <row r="533" spans="1:21">
      <c r="A533">
        <v>0.16898157399047645</v>
      </c>
      <c r="B533">
        <v>-1.2083506886890192</v>
      </c>
      <c r="C533">
        <v>0.89409278799921343</v>
      </c>
      <c r="D533">
        <v>0.22565348068053739</v>
      </c>
      <c r="E533">
        <v>0.28315488827370494</v>
      </c>
      <c r="F533">
        <v>-0.27993087101763381</v>
      </c>
      <c r="G533">
        <v>0.73049096557226589</v>
      </c>
      <c r="H533">
        <v>0.69605286611583028</v>
      </c>
      <c r="I533">
        <v>0.73026921545199264</v>
      </c>
      <c r="J533">
        <v>0.85999560874233705</v>
      </c>
      <c r="L533">
        <v>2.8040434359898621</v>
      </c>
      <c r="M533">
        <v>3.7207719321708672</v>
      </c>
      <c r="N533">
        <v>0.83452640787052113</v>
      </c>
      <c r="P533">
        <v>2.7734978125403398E-12</v>
      </c>
      <c r="R533">
        <v>4.3628626309739627</v>
      </c>
      <c r="S533">
        <v>4.3649803826438793</v>
      </c>
      <c r="T533">
        <v>1</v>
      </c>
      <c r="U533">
        <v>2.2784918105433563</v>
      </c>
    </row>
    <row r="534" spans="1:21">
      <c r="A534">
        <v>0.1571367302279309</v>
      </c>
      <c r="B534">
        <v>-1.2105080975279818</v>
      </c>
      <c r="C534">
        <v>0.89335441547418348</v>
      </c>
      <c r="D534">
        <v>0.13429560194800758</v>
      </c>
      <c r="E534">
        <v>0.11283190236347904</v>
      </c>
      <c r="F534">
        <v>0.240968076637017</v>
      </c>
      <c r="G534">
        <v>0.3157601328478376</v>
      </c>
      <c r="H534">
        <v>2.0168641666287648E-2</v>
      </c>
      <c r="I534">
        <v>0.59508157985899757</v>
      </c>
      <c r="J534">
        <v>6.6950856171072604E-2</v>
      </c>
      <c r="L534">
        <v>2.8040434764113518</v>
      </c>
      <c r="M534">
        <v>3.7207720903714678</v>
      </c>
      <c r="N534">
        <v>0.83452548390093928</v>
      </c>
      <c r="P534">
        <v>3.0188820419086515E-12</v>
      </c>
      <c r="R534">
        <v>4.3628626309739627</v>
      </c>
      <c r="S534">
        <v>4.3649803826438793</v>
      </c>
      <c r="T534">
        <v>1</v>
      </c>
      <c r="U534">
        <v>2.2784918105433563</v>
      </c>
    </row>
    <row r="535" spans="1:21">
      <c r="A535">
        <v>0.16315997346701097</v>
      </c>
      <c r="B535">
        <v>-1.211081349961022</v>
      </c>
      <c r="C535">
        <v>0.87680616597855954</v>
      </c>
      <c r="D535">
        <v>0.69502478230483378</v>
      </c>
      <c r="E535">
        <v>-0.58897551869904885</v>
      </c>
      <c r="F535">
        <v>-0.1751225004385889</v>
      </c>
      <c r="G535">
        <v>0.31329417037374591</v>
      </c>
      <c r="H535">
        <v>0.28586058589685365</v>
      </c>
      <c r="I535">
        <v>0.3042841728902736</v>
      </c>
      <c r="J535">
        <v>0.83772616698425284</v>
      </c>
      <c r="L535">
        <v>2.8040436166873688</v>
      </c>
      <c r="M535">
        <v>3.7207717992546714</v>
      </c>
      <c r="N535">
        <v>0.83452542907502425</v>
      </c>
      <c r="P535">
        <v>2.7788392147082215E-12</v>
      </c>
      <c r="R535">
        <v>4.3628626309739627</v>
      </c>
      <c r="S535">
        <v>4.3649803826438793</v>
      </c>
      <c r="T535">
        <v>1</v>
      </c>
      <c r="U535">
        <v>2.2784918105433563</v>
      </c>
    </row>
    <row r="536" spans="1:21">
      <c r="A536">
        <v>0.17332374329955322</v>
      </c>
      <c r="B536">
        <v>-1.2044916550130818</v>
      </c>
      <c r="C536">
        <v>0.90743819692748984</v>
      </c>
      <c r="D536">
        <v>-0.57825370040049318</v>
      </c>
      <c r="E536">
        <v>0.32507472794026948</v>
      </c>
      <c r="F536">
        <v>0.33217280654423958</v>
      </c>
      <c r="G536">
        <v>0.24834042662938849</v>
      </c>
      <c r="H536">
        <v>0.14216615055889184</v>
      </c>
      <c r="I536">
        <v>0.11515103167555446</v>
      </c>
      <c r="J536">
        <v>0.51338737310983418</v>
      </c>
      <c r="L536">
        <v>2.8040433276812577</v>
      </c>
      <c r="M536">
        <v>3.7207720378119382</v>
      </c>
      <c r="N536">
        <v>0.83452567766454222</v>
      </c>
      <c r="P536">
        <v>2.467261602051514E-12</v>
      </c>
      <c r="R536">
        <v>4.3628626309739627</v>
      </c>
      <c r="S536">
        <v>4.3649803826438793</v>
      </c>
      <c r="T536">
        <v>1</v>
      </c>
      <c r="U536">
        <v>2.2784918105433563</v>
      </c>
    </row>
    <row r="537" spans="1:21">
      <c r="A537">
        <v>0.16161386923725637</v>
      </c>
      <c r="B537">
        <v>-1.2040636022213731</v>
      </c>
      <c r="C537">
        <v>0.88804558951769119</v>
      </c>
      <c r="D537">
        <v>0.45190444061200735</v>
      </c>
      <c r="E537">
        <v>-0.14724744956082655</v>
      </c>
      <c r="F537">
        <v>6.8387901855576042E-2</v>
      </c>
      <c r="G537">
        <v>0.1586208348999672</v>
      </c>
      <c r="H537">
        <v>0.76967620128263559</v>
      </c>
      <c r="I537">
        <v>0.91757944892518606</v>
      </c>
      <c r="J537">
        <v>0.34668321587567902</v>
      </c>
      <c r="L537">
        <v>2.8040433490931229</v>
      </c>
      <c r="M537">
        <v>3.7207719918266267</v>
      </c>
      <c r="N537">
        <v>0.83452554676497082</v>
      </c>
      <c r="P537">
        <v>2.4629353400723154E-12</v>
      </c>
      <c r="R537">
        <v>4.3628626309739627</v>
      </c>
      <c r="S537">
        <v>4.3649803826438793</v>
      </c>
      <c r="T537">
        <v>1</v>
      </c>
      <c r="U537">
        <v>2.2784918105433563</v>
      </c>
    </row>
    <row r="538" spans="1:21">
      <c r="A538">
        <v>0.16440957050050561</v>
      </c>
      <c r="B538">
        <v>-1.2057925698191181</v>
      </c>
      <c r="C538">
        <v>0.90226270127701147</v>
      </c>
      <c r="D538">
        <v>-0.46669441713570292</v>
      </c>
      <c r="E538">
        <v>0.5565628520564565</v>
      </c>
      <c r="F538">
        <v>0.5200631581739209</v>
      </c>
      <c r="G538">
        <v>0.40259412295481917</v>
      </c>
      <c r="H538">
        <v>0.21815211903402526</v>
      </c>
      <c r="I538">
        <v>0.84471737097913957</v>
      </c>
      <c r="J538">
        <v>0.55103498267258189</v>
      </c>
      <c r="L538">
        <v>2.804043304779448</v>
      </c>
      <c r="M538">
        <v>3.7207720131514423</v>
      </c>
      <c r="N538">
        <v>0.83452601987420005</v>
      </c>
      <c r="P538">
        <v>2.3753393464435183E-12</v>
      </c>
      <c r="R538">
        <v>4.3628626309739627</v>
      </c>
      <c r="S538">
        <v>4.3649803826438793</v>
      </c>
      <c r="T538">
        <v>1</v>
      </c>
      <c r="U538">
        <v>2.2784918105433563</v>
      </c>
    </row>
    <row r="539" spans="1:21">
      <c r="A539">
        <v>0.16803814152450317</v>
      </c>
      <c r="B539">
        <v>-1.1997616008489267</v>
      </c>
      <c r="C539">
        <v>0.90874786406830321</v>
      </c>
      <c r="D539">
        <v>-0.19821458044359844</v>
      </c>
      <c r="E539">
        <v>-6.9836580745351595E-2</v>
      </c>
      <c r="F539">
        <v>0.49845567452117384</v>
      </c>
      <c r="G539">
        <v>0.25580057049867733</v>
      </c>
      <c r="H539">
        <v>0.93419869326900296</v>
      </c>
      <c r="I539">
        <v>0.56696823551963815</v>
      </c>
      <c r="J539">
        <v>0.36004808827042095</v>
      </c>
      <c r="L539">
        <v>2.8040440218535356</v>
      </c>
      <c r="M539">
        <v>3.7207714633912201</v>
      </c>
      <c r="N539">
        <v>0.83452626088850812</v>
      </c>
      <c r="P539">
        <v>3.5164196032298429E-12</v>
      </c>
      <c r="R539">
        <v>4.3628626309739627</v>
      </c>
      <c r="S539">
        <v>4.3649803826438793</v>
      </c>
      <c r="T539">
        <v>1</v>
      </c>
      <c r="U539">
        <v>2.2784918105433563</v>
      </c>
    </row>
    <row r="540" spans="1:21">
      <c r="A540">
        <v>0.1822091738864437</v>
      </c>
      <c r="B540">
        <v>-1.1989446179552468</v>
      </c>
      <c r="C540">
        <v>0.89617090004365918</v>
      </c>
      <c r="D540">
        <v>-0.50062188192705948</v>
      </c>
      <c r="E540">
        <v>0.46211914007916738</v>
      </c>
      <c r="F540">
        <v>-0.77321410907531118</v>
      </c>
      <c r="G540">
        <v>3.2855313231236173E-2</v>
      </c>
      <c r="H540">
        <v>0.55169735257456409</v>
      </c>
      <c r="I540">
        <v>0.53004110791434922</v>
      </c>
      <c r="J540">
        <v>0.39211505841848643</v>
      </c>
      <c r="L540">
        <v>2.8040433469382595</v>
      </c>
      <c r="M540">
        <v>3.7207720338657215</v>
      </c>
      <c r="N540">
        <v>0.83452614464548647</v>
      </c>
      <c r="P540">
        <v>2.5727830977103132E-12</v>
      </c>
      <c r="R540">
        <v>4.3628626309739627</v>
      </c>
      <c r="S540">
        <v>4.3649803826438793</v>
      </c>
      <c r="T540">
        <v>1</v>
      </c>
      <c r="U540">
        <v>2.2784918105433563</v>
      </c>
    </row>
    <row r="541" spans="1:21">
      <c r="A541">
        <v>2.0887502049763203E-2</v>
      </c>
      <c r="B541">
        <v>-1.2035035402492917</v>
      </c>
      <c r="C541">
        <v>0.8170310944687027</v>
      </c>
      <c r="D541">
        <v>0.16732849949961603</v>
      </c>
      <c r="E541">
        <v>-0.26522874060491819</v>
      </c>
      <c r="F541">
        <v>-0.32831835132163839</v>
      </c>
      <c r="G541">
        <v>0.56212056014821965</v>
      </c>
      <c r="H541">
        <v>0.9715555278583683</v>
      </c>
      <c r="I541">
        <v>9.0534099136990148E-2</v>
      </c>
      <c r="J541">
        <v>0.22201358144720204</v>
      </c>
      <c r="L541">
        <v>2.804043446251113</v>
      </c>
      <c r="M541">
        <v>2.369548078124061</v>
      </c>
      <c r="N541">
        <v>2.2134458157123635</v>
      </c>
      <c r="P541">
        <v>2.4935308701130366E-12</v>
      </c>
      <c r="R541">
        <v>4.1529536305295807</v>
      </c>
      <c r="S541">
        <v>4.155062022143496</v>
      </c>
      <c r="T541">
        <v>1</v>
      </c>
      <c r="U541">
        <v>2.2602480115697396</v>
      </c>
    </row>
    <row r="542" spans="1:21">
      <c r="A542">
        <v>2.395609332119018E-2</v>
      </c>
      <c r="B542">
        <v>-1.2059225897458556</v>
      </c>
      <c r="C542">
        <v>0.83913520595624969</v>
      </c>
      <c r="D542">
        <v>-0.78079708428611916</v>
      </c>
      <c r="E542">
        <v>0.47155061880826771</v>
      </c>
      <c r="F542">
        <v>0.78982396992166259</v>
      </c>
      <c r="G542">
        <v>0.95889087960396802</v>
      </c>
      <c r="H542">
        <v>0.49138409909086289</v>
      </c>
      <c r="I542">
        <v>0.3210706625601929</v>
      </c>
      <c r="J542">
        <v>0.29341459840120526</v>
      </c>
      <c r="L542">
        <v>2.8040435427114785</v>
      </c>
      <c r="M542">
        <v>2.3695478357085138</v>
      </c>
      <c r="N542">
        <v>2.2134459334552563</v>
      </c>
      <c r="P542">
        <v>2.5667650474573017E-12</v>
      </c>
      <c r="R542">
        <v>4.1529536305295807</v>
      </c>
      <c r="S542">
        <v>4.155062022143496</v>
      </c>
      <c r="T542">
        <v>1</v>
      </c>
      <c r="U542">
        <v>2.2602480115697396</v>
      </c>
    </row>
    <row r="543" spans="1:21">
      <c r="A543">
        <v>2.2262432576548547E-2</v>
      </c>
      <c r="B543">
        <v>-1.2041901067995775</v>
      </c>
      <c r="C543">
        <v>0.82591407689911733</v>
      </c>
      <c r="D543">
        <v>-0.52586590766575936</v>
      </c>
      <c r="E543">
        <v>0.3538851739849303</v>
      </c>
      <c r="F543">
        <v>0.56410847212315529</v>
      </c>
      <c r="G543">
        <v>0.65016077284852203</v>
      </c>
      <c r="H543">
        <v>0.52750999286952571</v>
      </c>
      <c r="I543">
        <v>0.36254151708945914</v>
      </c>
      <c r="J543">
        <v>0.57999420997380025</v>
      </c>
      <c r="L543">
        <v>2.8040435766518881</v>
      </c>
      <c r="M543">
        <v>2.3695478094872273</v>
      </c>
      <c r="N543">
        <v>2.2134458137756723</v>
      </c>
      <c r="P543">
        <v>2.4387717195223861E-12</v>
      </c>
      <c r="R543">
        <v>4.1529536305295807</v>
      </c>
      <c r="S543">
        <v>4.155062022143496</v>
      </c>
      <c r="T543">
        <v>1</v>
      </c>
      <c r="U543">
        <v>2.2602480115697396</v>
      </c>
    </row>
    <row r="544" spans="1:21">
      <c r="A544">
        <v>1.8362229513200344E-2</v>
      </c>
      <c r="B544">
        <v>-1.2087884113327831</v>
      </c>
      <c r="C544">
        <v>0.81992348417375371</v>
      </c>
      <c r="D544">
        <v>0.40667334925902587</v>
      </c>
      <c r="E544">
        <v>0.2218860059112589</v>
      </c>
      <c r="F544">
        <v>0.25394940933637983</v>
      </c>
      <c r="G544">
        <v>0.89100348464881962</v>
      </c>
      <c r="H544">
        <v>0.88335866786561457</v>
      </c>
      <c r="I544">
        <v>0.11167149538022568</v>
      </c>
      <c r="J544">
        <v>0.84346108150962551</v>
      </c>
      <c r="L544">
        <v>2.8040434592493044</v>
      </c>
      <c r="M544">
        <v>2.3695479653238931</v>
      </c>
      <c r="N544">
        <v>2.2134459108963696</v>
      </c>
      <c r="P544">
        <v>2.4956906907184215E-12</v>
      </c>
      <c r="R544">
        <v>4.1529536305295807</v>
      </c>
      <c r="S544">
        <v>4.155062022143496</v>
      </c>
      <c r="T544">
        <v>1</v>
      </c>
      <c r="U544">
        <v>2.2602480115697396</v>
      </c>
    </row>
    <row r="545" spans="1:21">
      <c r="A545">
        <v>2.0525925843500933E-2</v>
      </c>
      <c r="B545">
        <v>-1.2091434849515772</v>
      </c>
      <c r="C545">
        <v>0.80599797674074836</v>
      </c>
      <c r="D545">
        <v>-0.35130764709567563</v>
      </c>
      <c r="E545">
        <v>0.43846945779848634</v>
      </c>
      <c r="F545">
        <v>8.038362096527818E-2</v>
      </c>
      <c r="G545">
        <v>0.63437462120904131</v>
      </c>
      <c r="H545">
        <v>3.8678702678301966E-2</v>
      </c>
      <c r="I545">
        <v>0.5379702156693591</v>
      </c>
      <c r="J545">
        <v>0.75669454934840696</v>
      </c>
      <c r="L545">
        <v>2.8040435464074926</v>
      </c>
      <c r="M545">
        <v>2.3695478916817043</v>
      </c>
      <c r="N545">
        <v>2.2134458658367469</v>
      </c>
      <c r="P545">
        <v>2.5362591722231093E-12</v>
      </c>
      <c r="R545">
        <v>4.1529536305295807</v>
      </c>
      <c r="S545">
        <v>4.155062022143496</v>
      </c>
      <c r="T545">
        <v>1</v>
      </c>
      <c r="U545">
        <v>2.2602480115697396</v>
      </c>
    </row>
    <row r="546" spans="1:21">
      <c r="A546">
        <v>1.384165268681572E-2</v>
      </c>
      <c r="B546">
        <v>-1.2057929009018331</v>
      </c>
      <c r="C546">
        <v>0.80821256936516273</v>
      </c>
      <c r="D546">
        <v>-0.12994723154761945</v>
      </c>
      <c r="E546">
        <v>0.39564290801269336</v>
      </c>
      <c r="F546">
        <v>-0.87237946837567482</v>
      </c>
      <c r="G546">
        <v>0.4491951559880672</v>
      </c>
      <c r="H546">
        <v>0.39466328384829197</v>
      </c>
      <c r="I546">
        <v>9.5690845954150075E-2</v>
      </c>
      <c r="J546">
        <v>0.42130166463894947</v>
      </c>
      <c r="L546">
        <v>2.8040434720827681</v>
      </c>
      <c r="M546">
        <v>2.3695482346880721</v>
      </c>
      <c r="N546">
        <v>2.2134455784737406</v>
      </c>
      <c r="P546">
        <v>2.5536999892886487E-12</v>
      </c>
      <c r="R546">
        <v>4.1529536305295807</v>
      </c>
      <c r="S546">
        <v>4.155062022143496</v>
      </c>
      <c r="T546">
        <v>1</v>
      </c>
      <c r="U546">
        <v>2.2602480115697396</v>
      </c>
    </row>
    <row r="547" spans="1:21">
      <c r="A547">
        <v>2.6953714570639272E-2</v>
      </c>
      <c r="B547">
        <v>-1.2090007827316245</v>
      </c>
      <c r="C547">
        <v>0.80161911394656093</v>
      </c>
      <c r="D547">
        <v>0.98929034035214536</v>
      </c>
      <c r="E547">
        <v>8.0265700836667425E-2</v>
      </c>
      <c r="F547">
        <v>0.70368476666553281</v>
      </c>
      <c r="G547">
        <v>0.59484346574906388</v>
      </c>
      <c r="H547">
        <v>0.91864604908811665</v>
      </c>
      <c r="I547">
        <v>0.7955611524064935</v>
      </c>
      <c r="J547">
        <v>0.90855014924291344</v>
      </c>
      <c r="L547">
        <v>2.8040436517268761</v>
      </c>
      <c r="M547">
        <v>2.3695480362661101</v>
      </c>
      <c r="N547">
        <v>2.2134459059495795</v>
      </c>
      <c r="P547">
        <v>3.0768032780486031E-12</v>
      </c>
      <c r="R547">
        <v>4.1529536305295807</v>
      </c>
      <c r="S547">
        <v>4.155062022143496</v>
      </c>
      <c r="T547">
        <v>1</v>
      </c>
      <c r="U547">
        <v>2.2602480115697396</v>
      </c>
    </row>
    <row r="548" spans="1:21">
      <c r="A548">
        <v>1.8160100699843085E-2</v>
      </c>
      <c r="B548">
        <v>-1.2049814768627305</v>
      </c>
      <c r="C548">
        <v>0.79134695992824777</v>
      </c>
      <c r="D548">
        <v>0.23658435129215927</v>
      </c>
      <c r="E548">
        <v>0.7653389349801244</v>
      </c>
      <c r="F548">
        <v>-0.56355894606397849</v>
      </c>
      <c r="G548">
        <v>4.9753384127953201E-2</v>
      </c>
      <c r="H548">
        <v>0.30445337252107746</v>
      </c>
      <c r="I548">
        <v>0.79320773313437642</v>
      </c>
      <c r="J548">
        <v>0.63113384989642896</v>
      </c>
      <c r="L548">
        <v>2.8040435029392379</v>
      </c>
      <c r="M548">
        <v>2.3695482791348557</v>
      </c>
      <c r="N548">
        <v>2.2134455946947349</v>
      </c>
      <c r="P548">
        <v>2.7314381720998212E-12</v>
      </c>
      <c r="R548">
        <v>4.1529536305295807</v>
      </c>
      <c r="S548">
        <v>4.155062022143496</v>
      </c>
      <c r="T548">
        <v>1</v>
      </c>
      <c r="U548">
        <v>2.2602480115697396</v>
      </c>
    </row>
    <row r="549" spans="1:21">
      <c r="A549">
        <v>2.8791186578378317E-2</v>
      </c>
      <c r="B549">
        <v>-1.2078550192389503</v>
      </c>
      <c r="C549">
        <v>0.80389062923726462</v>
      </c>
      <c r="D549">
        <v>-0.25247219543749577</v>
      </c>
      <c r="E549">
        <v>-0.19304388918949525</v>
      </c>
      <c r="F549">
        <v>6.8136113237389273E-2</v>
      </c>
      <c r="G549">
        <v>0.80688358785225267</v>
      </c>
      <c r="H549">
        <v>0.39316378480175029</v>
      </c>
      <c r="I549">
        <v>0.93287618585666732</v>
      </c>
      <c r="J549">
        <v>0.41555181801494667</v>
      </c>
      <c r="L549">
        <v>2.8040434833557897</v>
      </c>
      <c r="M549">
        <v>2.3695482128886947</v>
      </c>
      <c r="N549">
        <v>2.2134455633282859</v>
      </c>
      <c r="P549">
        <v>2.5240741203284019E-12</v>
      </c>
      <c r="R549">
        <v>4.1529536305295807</v>
      </c>
      <c r="S549">
        <v>4.155062022143496</v>
      </c>
      <c r="T549">
        <v>1</v>
      </c>
      <c r="U549">
        <v>2.2602480115697396</v>
      </c>
    </row>
    <row r="550" spans="1:21">
      <c r="A550">
        <v>2.3356323918397866E-2</v>
      </c>
      <c r="B550">
        <v>-1.2044823566077032</v>
      </c>
      <c r="C550">
        <v>0.80846530606128975</v>
      </c>
      <c r="D550">
        <v>0.25374979152142774</v>
      </c>
      <c r="E550">
        <v>-0.78858253483501561</v>
      </c>
      <c r="F550">
        <v>-4.4429943625801979E-2</v>
      </c>
      <c r="G550">
        <v>0.59006251011995325</v>
      </c>
      <c r="H550">
        <v>0.92310369164604578</v>
      </c>
      <c r="I550">
        <v>0.10070833197649115</v>
      </c>
      <c r="J550">
        <v>0.59931225921604969</v>
      </c>
      <c r="L550">
        <v>2.8040434263411069</v>
      </c>
      <c r="M550">
        <v>2.369548129946919</v>
      </c>
      <c r="N550">
        <v>2.2134457346305725</v>
      </c>
      <c r="P550">
        <v>2.4271986526325144E-12</v>
      </c>
      <c r="R550">
        <v>4.1529536305295807</v>
      </c>
      <c r="S550">
        <v>4.155062022143496</v>
      </c>
      <c r="T550">
        <v>1</v>
      </c>
      <c r="U550">
        <v>2.2602480115697396</v>
      </c>
    </row>
    <row r="551" spans="1:21">
      <c r="A551">
        <v>-8.0816000458647452E-2</v>
      </c>
      <c r="B551">
        <v>-1.209095117096803</v>
      </c>
      <c r="C551">
        <v>0.57163217968697533</v>
      </c>
      <c r="D551">
        <v>0.6170297295836572</v>
      </c>
      <c r="E551">
        <v>-2.9771027405151994E-2</v>
      </c>
      <c r="F551">
        <v>7.5721303470891912E-2</v>
      </c>
      <c r="G551">
        <v>0.70974972039013251</v>
      </c>
      <c r="H551">
        <v>0.21440561101526001</v>
      </c>
      <c r="I551">
        <v>0.92824451647773054</v>
      </c>
      <c r="J551">
        <v>0.81719853665351705</v>
      </c>
      <c r="L551">
        <v>2.8040420896834628</v>
      </c>
      <c r="M551">
        <v>2.3695478716028462</v>
      </c>
      <c r="N551">
        <v>0.83452536730886973</v>
      </c>
      <c r="P551">
        <v>6.3484547367852119E-13</v>
      </c>
      <c r="R551">
        <v>17.192251347660161</v>
      </c>
      <c r="S551">
        <v>17.378066776989606</v>
      </c>
      <c r="T551">
        <v>1</v>
      </c>
      <c r="U551">
        <v>2.2806971450886437</v>
      </c>
    </row>
    <row r="552" spans="1:21">
      <c r="A552">
        <v>-0.15019624680418278</v>
      </c>
      <c r="B552">
        <v>-1.1981047887575762</v>
      </c>
      <c r="C552">
        <v>0.47870352738983651</v>
      </c>
      <c r="D552">
        <v>0.56826635288633109</v>
      </c>
      <c r="E552">
        <v>0.82555122689465332</v>
      </c>
      <c r="F552">
        <v>-0.27064582924272684</v>
      </c>
      <c r="G552">
        <v>0.22115555601120693</v>
      </c>
      <c r="H552">
        <v>0.72374557531351769</v>
      </c>
      <c r="I552">
        <v>0.2689618585798248</v>
      </c>
      <c r="J552">
        <v>0.11282326009172762</v>
      </c>
      <c r="L552">
        <v>2.8040420816158487</v>
      </c>
      <c r="M552">
        <v>2.3695476705356024</v>
      </c>
      <c r="N552">
        <v>0.83452521787801504</v>
      </c>
      <c r="P552">
        <v>5.9305695857035023E-13</v>
      </c>
      <c r="R552">
        <v>17.192251347660161</v>
      </c>
      <c r="S552">
        <v>17.378066776989606</v>
      </c>
      <c r="T552">
        <v>1</v>
      </c>
      <c r="U552">
        <v>2.2806971450886437</v>
      </c>
    </row>
    <row r="553" spans="1:21">
      <c r="A553">
        <v>-0.1342165430257915</v>
      </c>
      <c r="B553">
        <v>-1.1914305026209908</v>
      </c>
      <c r="C553">
        <v>0.5003006410452755</v>
      </c>
      <c r="D553">
        <v>-2.9770013311882632E-2</v>
      </c>
      <c r="E553">
        <v>0.36688443080081862</v>
      </c>
      <c r="F553">
        <v>0.19522257663021636</v>
      </c>
      <c r="G553">
        <v>2.9356743989851747E-2</v>
      </c>
      <c r="H553">
        <v>0.90102847652126483</v>
      </c>
      <c r="I553">
        <v>0.59916985631122266</v>
      </c>
      <c r="J553">
        <v>0.38871034735347149</v>
      </c>
      <c r="L553">
        <v>2.8040421179128092</v>
      </c>
      <c r="M553">
        <v>2.3695475423564538</v>
      </c>
      <c r="N553">
        <v>0.83452510810535752</v>
      </c>
      <c r="P553">
        <v>6.3605117268644588E-13</v>
      </c>
      <c r="R553">
        <v>17.192251347660161</v>
      </c>
      <c r="S553">
        <v>17.378066776989606</v>
      </c>
      <c r="T553">
        <v>1</v>
      </c>
      <c r="U553">
        <v>2.2806971450886437</v>
      </c>
    </row>
    <row r="554" spans="1:21">
      <c r="A554">
        <v>-0.1707211837092748</v>
      </c>
      <c r="B554">
        <v>-1.1919776048315303</v>
      </c>
      <c r="C554">
        <v>0.45216539808385592</v>
      </c>
      <c r="D554">
        <v>-0.1732367062947103</v>
      </c>
      <c r="E554">
        <v>0.47048285837495052</v>
      </c>
      <c r="F554">
        <v>7.5938085439624062E-2</v>
      </c>
      <c r="G554">
        <v>0.29335373352232835</v>
      </c>
      <c r="H554">
        <v>0.89350460160029754</v>
      </c>
      <c r="I554">
        <v>3.6879823511082904E-2</v>
      </c>
      <c r="J554">
        <v>0.60612429678660018</v>
      </c>
      <c r="L554">
        <v>2.8040420737314622</v>
      </c>
      <c r="M554">
        <v>2.369547721641394</v>
      </c>
      <c r="N554">
        <v>0.83452519617792797</v>
      </c>
      <c r="P554">
        <v>6.6836444148265274E-13</v>
      </c>
      <c r="R554">
        <v>17.192251347660161</v>
      </c>
      <c r="S554">
        <v>17.378066776989606</v>
      </c>
      <c r="T554">
        <v>1</v>
      </c>
      <c r="U554">
        <v>2.2806971450886437</v>
      </c>
    </row>
    <row r="555" spans="1:21">
      <c r="A555">
        <v>-8.0873742296339562E-2</v>
      </c>
      <c r="B555">
        <v>-1.200246889927729</v>
      </c>
      <c r="C555">
        <v>0.59068222391654113</v>
      </c>
      <c r="D555">
        <v>-0.28614297066689093</v>
      </c>
      <c r="E555">
        <v>-0.56766855994071719</v>
      </c>
      <c r="F555">
        <v>0.12495940812068118</v>
      </c>
      <c r="G555">
        <v>0.90625294473985307</v>
      </c>
      <c r="H555">
        <v>0.79476410761472205</v>
      </c>
      <c r="I555">
        <v>0.79994613568132478</v>
      </c>
      <c r="J555">
        <v>0.34492770218538732</v>
      </c>
      <c r="L555">
        <v>2.8040420653088511</v>
      </c>
      <c r="M555">
        <v>2.3695477468123047</v>
      </c>
      <c r="N555">
        <v>0.83452517906046342</v>
      </c>
      <c r="P555">
        <v>7.1821015465949285E-13</v>
      </c>
      <c r="R555">
        <v>17.192251347660161</v>
      </c>
      <c r="S555">
        <v>17.378066776989606</v>
      </c>
      <c r="T555">
        <v>1</v>
      </c>
      <c r="U555">
        <v>2.2806971450886437</v>
      </c>
    </row>
    <row r="556" spans="1:21">
      <c r="A556">
        <v>-0.16192487864421143</v>
      </c>
      <c r="B556">
        <v>-1.189761440006001</v>
      </c>
      <c r="C556">
        <v>0.44877282964754212</v>
      </c>
      <c r="D556">
        <v>-0.34907044193780251</v>
      </c>
      <c r="E556">
        <v>-0.28217964946489638</v>
      </c>
      <c r="F556">
        <v>-0.19980117646427817</v>
      </c>
      <c r="G556">
        <v>4.2572973816595798E-2</v>
      </c>
      <c r="H556">
        <v>0.75691803397350299</v>
      </c>
      <c r="I556">
        <v>9.7254480675763283E-2</v>
      </c>
      <c r="J556">
        <v>0.78028807639408204</v>
      </c>
      <c r="L556">
        <v>2.8040420843070724</v>
      </c>
      <c r="M556">
        <v>2.3695476775757407</v>
      </c>
      <c r="N556">
        <v>0.83452524106563464</v>
      </c>
      <c r="P556">
        <v>5.69848088702746E-13</v>
      </c>
      <c r="R556">
        <v>17.192251347660161</v>
      </c>
      <c r="S556">
        <v>17.378066776989606</v>
      </c>
      <c r="T556">
        <v>1</v>
      </c>
      <c r="U556">
        <v>2.2806971450886437</v>
      </c>
    </row>
    <row r="557" spans="1:21">
      <c r="A557">
        <v>-0.12383487693291086</v>
      </c>
      <c r="B557">
        <v>-1.2060530376294478</v>
      </c>
      <c r="C557">
        <v>0.52111114184677487</v>
      </c>
      <c r="D557">
        <v>-6.2619209729859141E-4</v>
      </c>
      <c r="E557">
        <v>2.0526455973489989E-2</v>
      </c>
      <c r="F557">
        <v>-0.15706952727888013</v>
      </c>
      <c r="G557">
        <v>0.75369470537207439</v>
      </c>
      <c r="H557">
        <v>6.394775065200288E-2</v>
      </c>
      <c r="I557">
        <v>4.646594819927926E-2</v>
      </c>
      <c r="J557">
        <v>0.40692030784323763</v>
      </c>
      <c r="L557">
        <v>2.8040421002698404</v>
      </c>
      <c r="M557">
        <v>2.3695478949405566</v>
      </c>
      <c r="N557">
        <v>0.83452540496123739</v>
      </c>
      <c r="P557">
        <v>6.2618820090592054E-13</v>
      </c>
      <c r="R557">
        <v>17.192251347660161</v>
      </c>
      <c r="S557">
        <v>17.378066776989606</v>
      </c>
      <c r="T557">
        <v>1</v>
      </c>
      <c r="U557">
        <v>2.2806971450886437</v>
      </c>
    </row>
    <row r="558" spans="1:21">
      <c r="A558">
        <v>-8.235290573628111E-2</v>
      </c>
      <c r="B558">
        <v>-1.2105289091836244</v>
      </c>
      <c r="C558">
        <v>0.5835697306546187</v>
      </c>
      <c r="D558">
        <v>0.3740138881908438</v>
      </c>
      <c r="E558">
        <v>0.40702282471077444</v>
      </c>
      <c r="F558">
        <v>0.18093969556352041</v>
      </c>
      <c r="G558">
        <v>0.86963012185015942</v>
      </c>
      <c r="H558">
        <v>7.8788190052920093E-2</v>
      </c>
      <c r="I558">
        <v>0.82356324814156245</v>
      </c>
      <c r="J558">
        <v>0.42846563923458936</v>
      </c>
      <c r="L558">
        <v>2.8040420801000843</v>
      </c>
      <c r="M558">
        <v>2.369547879132714</v>
      </c>
      <c r="N558">
        <v>0.83452533915171334</v>
      </c>
      <c r="P558">
        <v>6.7514743504304633E-13</v>
      </c>
      <c r="R558">
        <v>17.192251347660161</v>
      </c>
      <c r="S558">
        <v>17.378066776989606</v>
      </c>
      <c r="T558">
        <v>1</v>
      </c>
      <c r="U558">
        <v>2.2806971450886437</v>
      </c>
    </row>
    <row r="559" spans="1:21">
      <c r="A559">
        <v>-9.1713560913339751E-2</v>
      </c>
      <c r="B559">
        <v>-1.2045153551610663</v>
      </c>
      <c r="C559">
        <v>0.56826873080634344</v>
      </c>
      <c r="D559">
        <v>-1.5186668102903514E-2</v>
      </c>
      <c r="E559">
        <v>-0.12370968454841486</v>
      </c>
      <c r="F559">
        <v>0.21625499069319484</v>
      </c>
      <c r="G559">
        <v>0.85783678835660515</v>
      </c>
      <c r="H559">
        <v>0.41921666657149953</v>
      </c>
      <c r="I559">
        <v>0.74665153659838068</v>
      </c>
      <c r="J559">
        <v>0.6870507332184258</v>
      </c>
      <c r="L559">
        <v>2.8040420787705598</v>
      </c>
      <c r="M559">
        <v>2.3695477727057903</v>
      </c>
      <c r="N559">
        <v>0.83452529435505951</v>
      </c>
      <c r="P559">
        <v>6.0101345666723371E-13</v>
      </c>
      <c r="R559">
        <v>17.192251347660161</v>
      </c>
      <c r="S559">
        <v>17.378066776989606</v>
      </c>
      <c r="T559">
        <v>1</v>
      </c>
      <c r="U559">
        <v>2.2806971450886437</v>
      </c>
    </row>
    <row r="560" spans="1:21">
      <c r="A560">
        <v>-0.10622787339589562</v>
      </c>
      <c r="B560">
        <v>-1.1981703860300947</v>
      </c>
      <c r="C560">
        <v>0.54240349879894711</v>
      </c>
      <c r="D560">
        <v>-0.62278439125058083</v>
      </c>
      <c r="E560">
        <v>-9.2574060336385502E-2</v>
      </c>
      <c r="F560">
        <v>-0.12694944726497806</v>
      </c>
      <c r="G560">
        <v>0.67352102715716111</v>
      </c>
      <c r="H560">
        <v>0.45815396793593027</v>
      </c>
      <c r="I560">
        <v>0.90323527374417256</v>
      </c>
      <c r="J560">
        <v>0.55461513495321757</v>
      </c>
      <c r="L560">
        <v>2.8040421151743762</v>
      </c>
      <c r="M560">
        <v>2.3695475295208266</v>
      </c>
      <c r="N560">
        <v>0.8345251528849158</v>
      </c>
      <c r="P560">
        <v>5.6718313313723478E-13</v>
      </c>
      <c r="R560">
        <v>17.192251347660161</v>
      </c>
      <c r="S560">
        <v>17.378066776989606</v>
      </c>
      <c r="T560">
        <v>1</v>
      </c>
      <c r="U560">
        <v>2.2806971450886437</v>
      </c>
    </row>
    <row r="561" spans="1:21">
      <c r="A561">
        <v>5.5017772024089959E-2</v>
      </c>
      <c r="B561">
        <v>-1.2004726973489721</v>
      </c>
      <c r="C561">
        <v>0.75663303870069099</v>
      </c>
      <c r="D561">
        <v>-0.50847027626638097</v>
      </c>
      <c r="E561">
        <v>-7.013380169015275E-2</v>
      </c>
      <c r="F561">
        <v>0.5818008208710973</v>
      </c>
      <c r="G561">
        <v>0.58784595052947397</v>
      </c>
      <c r="H561">
        <v>0.64375710449266188</v>
      </c>
      <c r="I561">
        <v>0.35433929520315449</v>
      </c>
      <c r="J561">
        <v>0.998495499951223</v>
      </c>
      <c r="L561">
        <v>2.8040431692077266</v>
      </c>
      <c r="M561">
        <v>2.2134454829660379</v>
      </c>
      <c r="N561">
        <v>0.83452615960692045</v>
      </c>
      <c r="P561">
        <v>1.0082729224172525E-12</v>
      </c>
      <c r="R561">
        <v>2.924045855301256</v>
      </c>
      <c r="S561">
        <v>2.9250187817951137</v>
      </c>
      <c r="T561">
        <v>1</v>
      </c>
      <c r="U561">
        <v>2.4867277481797307</v>
      </c>
    </row>
    <row r="562" spans="1:21">
      <c r="A562">
        <v>5.1932080384918353E-2</v>
      </c>
      <c r="B562">
        <v>-1.1956914833812142</v>
      </c>
      <c r="C562">
        <v>0.74916645472240528</v>
      </c>
      <c r="D562">
        <v>-0.47400499674888474</v>
      </c>
      <c r="E562">
        <v>-6.3253897917338209E-2</v>
      </c>
      <c r="F562">
        <v>0.38718392139499258</v>
      </c>
      <c r="G562">
        <v>6.0970537268676399E-2</v>
      </c>
      <c r="H562">
        <v>0.67235110651145613</v>
      </c>
      <c r="I562">
        <v>0.697123225607999</v>
      </c>
      <c r="J562">
        <v>0.38032163019807458</v>
      </c>
      <c r="L562">
        <v>2.8040431084824107</v>
      </c>
      <c r="M562">
        <v>2.2134455205725074</v>
      </c>
      <c r="N562">
        <v>0.83452612623627287</v>
      </c>
      <c r="P562">
        <v>9.1529397972229021E-13</v>
      </c>
      <c r="R562">
        <v>2.924045855301256</v>
      </c>
      <c r="S562">
        <v>2.9250187817951137</v>
      </c>
      <c r="T562">
        <v>1</v>
      </c>
      <c r="U562">
        <v>2.4867277481797307</v>
      </c>
    </row>
    <row r="563" spans="1:21">
      <c r="A563">
        <v>5.1007272925105519E-2</v>
      </c>
      <c r="B563">
        <v>-1.2044117662946874</v>
      </c>
      <c r="C563">
        <v>0.74589112139971836</v>
      </c>
      <c r="D563">
        <v>0.25127571271931204</v>
      </c>
      <c r="E563">
        <v>0.13544778797862606</v>
      </c>
      <c r="F563">
        <v>-0.21005305894636489</v>
      </c>
      <c r="G563">
        <v>0.36638093755181494</v>
      </c>
      <c r="H563">
        <v>0.503338873806077</v>
      </c>
      <c r="I563">
        <v>0.78567951694897209</v>
      </c>
      <c r="J563">
        <v>0.16706588738029832</v>
      </c>
      <c r="L563">
        <v>2.8040432303737375</v>
      </c>
      <c r="M563">
        <v>2.2134452107091036</v>
      </c>
      <c r="N563">
        <v>0.83452592754789168</v>
      </c>
      <c r="P563">
        <v>8.8813441694368493E-13</v>
      </c>
      <c r="R563">
        <v>2.924045855301256</v>
      </c>
      <c r="S563">
        <v>2.9250187817951137</v>
      </c>
      <c r="T563">
        <v>1</v>
      </c>
      <c r="U563">
        <v>2.4867277481797307</v>
      </c>
    </row>
    <row r="564" spans="1:21">
      <c r="A564">
        <v>6.4591996606624166E-2</v>
      </c>
      <c r="B564">
        <v>-1.1995694383108235</v>
      </c>
      <c r="C564">
        <v>0.73652136289135373</v>
      </c>
      <c r="D564">
        <v>-3.4510598844009414E-2</v>
      </c>
      <c r="E564">
        <v>0.72781559948396135</v>
      </c>
      <c r="F564">
        <v>-0.77344979773072864</v>
      </c>
      <c r="G564">
        <v>0.24964472618179584</v>
      </c>
      <c r="H564">
        <v>0.67942733306495429</v>
      </c>
      <c r="I564">
        <v>0.77067600824684446</v>
      </c>
      <c r="J564">
        <v>0.87594294210035617</v>
      </c>
      <c r="L564">
        <v>2.8040429739055117</v>
      </c>
      <c r="M564">
        <v>2.2134454708990541</v>
      </c>
      <c r="N564">
        <v>0.83452609544859979</v>
      </c>
      <c r="P564">
        <v>6.5945192303469135E-13</v>
      </c>
      <c r="R564">
        <v>2.924045855301256</v>
      </c>
      <c r="S564">
        <v>2.9250187817951137</v>
      </c>
      <c r="T564">
        <v>1</v>
      </c>
      <c r="U564">
        <v>2.4867277481797307</v>
      </c>
    </row>
    <row r="565" spans="1:21">
      <c r="A565">
        <v>5.4505165589173524E-2</v>
      </c>
      <c r="B565">
        <v>-1.2026235859281984</v>
      </c>
      <c r="C565">
        <v>0.7432532934489765</v>
      </c>
      <c r="D565">
        <v>0.74949736507012321</v>
      </c>
      <c r="E565">
        <v>2.6205938363141418E-2</v>
      </c>
      <c r="F565">
        <v>-0.13085757289146221</v>
      </c>
      <c r="G565">
        <v>0.21384752900868167</v>
      </c>
      <c r="H565">
        <v>0.88474535212646166</v>
      </c>
      <c r="I565">
        <v>0.43954849947047991</v>
      </c>
      <c r="J565">
        <v>0.42243323662600141</v>
      </c>
      <c r="L565">
        <v>2.8040431042140193</v>
      </c>
      <c r="M565">
        <v>2.2134455984329873</v>
      </c>
      <c r="N565">
        <v>0.83452607565354531</v>
      </c>
      <c r="P565">
        <v>9.5188272431782089E-13</v>
      </c>
      <c r="R565">
        <v>2.924045855301256</v>
      </c>
      <c r="S565">
        <v>2.9250187817951137</v>
      </c>
      <c r="T565">
        <v>1</v>
      </c>
      <c r="U565">
        <v>2.4867277481797307</v>
      </c>
    </row>
    <row r="566" spans="1:21">
      <c r="A566">
        <v>5.9930911369182147E-2</v>
      </c>
      <c r="B566">
        <v>-1.2024602941685489</v>
      </c>
      <c r="C566">
        <v>0.74047626193419269</v>
      </c>
      <c r="D566">
        <v>-0.3039552688756309</v>
      </c>
      <c r="E566">
        <v>0.58364444501974266</v>
      </c>
      <c r="F566">
        <v>-0.34121549514970612</v>
      </c>
      <c r="G566">
        <v>0.34305604231202858</v>
      </c>
      <c r="H566">
        <v>0.28517137190234193</v>
      </c>
      <c r="I566">
        <v>0.76452595292940817</v>
      </c>
      <c r="J566">
        <v>0.86983518457315634</v>
      </c>
      <c r="L566">
        <v>2.8040431133033792</v>
      </c>
      <c r="M566">
        <v>2.2134455356360045</v>
      </c>
      <c r="N566">
        <v>0.8345261172610754</v>
      </c>
      <c r="P566">
        <v>9.3065379019903969E-13</v>
      </c>
      <c r="R566">
        <v>2.924045855301256</v>
      </c>
      <c r="S566">
        <v>2.9250187817951137</v>
      </c>
      <c r="T566">
        <v>1</v>
      </c>
      <c r="U566">
        <v>2.4867277481797307</v>
      </c>
    </row>
    <row r="567" spans="1:21">
      <c r="A567">
        <v>5.7877996134938332E-2</v>
      </c>
      <c r="B567">
        <v>-1.1979930076825962</v>
      </c>
      <c r="C567">
        <v>0.7445057456755857</v>
      </c>
      <c r="D567">
        <v>-0.54803153507766367</v>
      </c>
      <c r="E567">
        <v>0.34438512335876947</v>
      </c>
      <c r="F567">
        <v>-8.5524626501458798E-2</v>
      </c>
      <c r="G567">
        <v>0.28639230199445065</v>
      </c>
      <c r="H567">
        <v>0.5632079664003774</v>
      </c>
      <c r="I567">
        <v>0.84163154404107532</v>
      </c>
      <c r="J567">
        <v>0.78765460598730219</v>
      </c>
      <c r="L567">
        <v>2.8040431531853964</v>
      </c>
      <c r="M567">
        <v>2.2134452858223872</v>
      </c>
      <c r="N567">
        <v>0.83452576665705369</v>
      </c>
      <c r="P567">
        <v>7.6666483405041022E-13</v>
      </c>
      <c r="R567">
        <v>2.924045855301256</v>
      </c>
      <c r="S567">
        <v>2.9250187817951137</v>
      </c>
      <c r="T567">
        <v>1</v>
      </c>
      <c r="U567">
        <v>2.4867277481797307</v>
      </c>
    </row>
    <row r="568" spans="1:21">
      <c r="A568">
        <v>4.7850055939845364E-2</v>
      </c>
      <c r="B568">
        <v>-1.2104908721934116</v>
      </c>
      <c r="C568">
        <v>0.75016149804934684</v>
      </c>
      <c r="D568">
        <v>0.28239355530761151</v>
      </c>
      <c r="E568">
        <v>-4.8560058906825437E-2</v>
      </c>
      <c r="F568">
        <v>0.39075189304625779</v>
      </c>
      <c r="G568">
        <v>0.93624410974688754</v>
      </c>
      <c r="H568">
        <v>0.41733058256678185</v>
      </c>
      <c r="I568">
        <v>0.93504226858843575</v>
      </c>
      <c r="J568">
        <v>0.9588588619288213</v>
      </c>
      <c r="L568">
        <v>2.8040429657878136</v>
      </c>
      <c r="M568">
        <v>2.2134456282117831</v>
      </c>
      <c r="N568">
        <v>0.83452590159535467</v>
      </c>
      <c r="P568">
        <v>7.2352043732239475E-13</v>
      </c>
      <c r="R568">
        <v>2.924045855301256</v>
      </c>
      <c r="S568">
        <v>2.9250187817951137</v>
      </c>
      <c r="T568">
        <v>1</v>
      </c>
      <c r="U568">
        <v>2.4867277481797307</v>
      </c>
    </row>
    <row r="569" spans="1:21">
      <c r="A569">
        <v>5.0416441611165909E-2</v>
      </c>
      <c r="B569">
        <v>-1.2060653160276156</v>
      </c>
      <c r="C569">
        <v>0.73746344688618948</v>
      </c>
      <c r="D569">
        <v>0.69725345308279318</v>
      </c>
      <c r="E569">
        <v>-0.69217413159569119</v>
      </c>
      <c r="F569">
        <v>2.5744245591142169E-2</v>
      </c>
      <c r="G569">
        <v>0.51233421365488463</v>
      </c>
      <c r="H569">
        <v>0.74399360156293326</v>
      </c>
      <c r="I569">
        <v>0.50130222621208842</v>
      </c>
      <c r="J569">
        <v>0.91529702641846356</v>
      </c>
      <c r="L569">
        <v>2.80404328228158</v>
      </c>
      <c r="M569">
        <v>2.2134452800852538</v>
      </c>
      <c r="N569">
        <v>0.83452616456428219</v>
      </c>
      <c r="P569">
        <v>1.1089318218602317E-12</v>
      </c>
      <c r="R569">
        <v>2.924045855301256</v>
      </c>
      <c r="S569">
        <v>2.9250187817951137</v>
      </c>
      <c r="T569">
        <v>1</v>
      </c>
      <c r="U569">
        <v>2.4867277481797307</v>
      </c>
    </row>
    <row r="570" spans="1:21">
      <c r="A570">
        <v>5.3067495818900086E-2</v>
      </c>
      <c r="B570">
        <v>-1.2028293835737447</v>
      </c>
      <c r="C570">
        <v>0.74205810648808357</v>
      </c>
      <c r="D570">
        <v>0.27715385112065982</v>
      </c>
      <c r="E570">
        <v>-0.71912443336952581</v>
      </c>
      <c r="F570">
        <v>-0.14863731915726242</v>
      </c>
      <c r="G570">
        <v>0.34925978910695749</v>
      </c>
      <c r="H570">
        <v>0.66323282583033671</v>
      </c>
      <c r="I570">
        <v>8.9137050035193094E-2</v>
      </c>
      <c r="J570">
        <v>0.54275490184439679</v>
      </c>
      <c r="L570">
        <v>2.8040432365685763</v>
      </c>
      <c r="M570">
        <v>2.2134454226985447</v>
      </c>
      <c r="N570">
        <v>0.83452619966660868</v>
      </c>
      <c r="P570">
        <v>1.1160541183196464E-12</v>
      </c>
      <c r="R570">
        <v>2.924045855301256</v>
      </c>
      <c r="S570">
        <v>2.9250187817951137</v>
      </c>
      <c r="T570">
        <v>1</v>
      </c>
      <c r="U570">
        <v>2.4867277481797307</v>
      </c>
    </row>
    <row r="571" spans="1:21">
      <c r="A571">
        <v>4.9523423723293471E-2</v>
      </c>
      <c r="B571">
        <v>-1.4266311206619151</v>
      </c>
      <c r="C571">
        <v>0.35029103687522917</v>
      </c>
      <c r="D571">
        <v>0.18644173323249663</v>
      </c>
      <c r="E571">
        <v>-0.23492467034598966</v>
      </c>
      <c r="F571">
        <v>-4.0563059865897769E-2</v>
      </c>
      <c r="G571">
        <v>0.68099839672418483</v>
      </c>
      <c r="H571">
        <v>7.2891279863021546E-2</v>
      </c>
      <c r="I571">
        <v>0.18695325314726943</v>
      </c>
      <c r="J571">
        <v>0.71983569651665513</v>
      </c>
      <c r="L571">
        <v>3.7207778119302399</v>
      </c>
      <c r="M571">
        <v>2.369550075943279</v>
      </c>
      <c r="N571">
        <v>2.2134419004938968</v>
      </c>
      <c r="P571">
        <v>6.6525122396836723E-11</v>
      </c>
      <c r="R571">
        <v>12.052974511161958</v>
      </c>
      <c r="S571">
        <v>12.100449578887144</v>
      </c>
      <c r="T571">
        <v>1</v>
      </c>
      <c r="U571">
        <v>2.250718198303483</v>
      </c>
    </row>
    <row r="572" spans="1:21">
      <c r="A572">
        <v>4.9947362338607387E-2</v>
      </c>
      <c r="B572">
        <v>-1.3936914604605453</v>
      </c>
      <c r="C572">
        <v>0.4292777887071012</v>
      </c>
      <c r="D572">
        <v>-4.3150503520480721E-3</v>
      </c>
      <c r="E572">
        <v>0.58467859055684257</v>
      </c>
      <c r="F572">
        <v>0.91757933913793854</v>
      </c>
      <c r="G572">
        <v>0.19758659780984417</v>
      </c>
      <c r="H572">
        <v>0.51387199897761249</v>
      </c>
      <c r="I572">
        <v>0.28827615457456301</v>
      </c>
      <c r="J572">
        <v>0.11029176084182737</v>
      </c>
      <c r="L572">
        <v>3.7207772231137626</v>
      </c>
      <c r="M572">
        <v>2.369550510269324</v>
      </c>
      <c r="N572">
        <v>2.213442413551447</v>
      </c>
      <c r="P572">
        <v>5.8297141839144286E-11</v>
      </c>
      <c r="R572">
        <v>12.052974511161958</v>
      </c>
      <c r="S572">
        <v>12.100449578887144</v>
      </c>
      <c r="T572">
        <v>1</v>
      </c>
      <c r="U572">
        <v>2.250718198303483</v>
      </c>
    </row>
    <row r="573" spans="1:21">
      <c r="A573">
        <v>4.8923606047421124E-2</v>
      </c>
      <c r="B573">
        <v>-1.4007632749691319</v>
      </c>
      <c r="C573">
        <v>0.39967070700717128</v>
      </c>
      <c r="D573">
        <v>-0.39394802050156885</v>
      </c>
      <c r="E573">
        <v>5.5716716980691562E-2</v>
      </c>
      <c r="F573">
        <v>0.66406239683250234</v>
      </c>
      <c r="G573">
        <v>0.35006648578172145</v>
      </c>
      <c r="H573">
        <v>0.61620998184282949</v>
      </c>
      <c r="I573">
        <v>0.38801568678065745</v>
      </c>
      <c r="J573">
        <v>0.90819761289207945</v>
      </c>
      <c r="L573">
        <v>3.7207773286412049</v>
      </c>
      <c r="M573">
        <v>2.3695504319708389</v>
      </c>
      <c r="N573">
        <v>2.2134423015030373</v>
      </c>
      <c r="P573">
        <v>5.9763660890867369E-11</v>
      </c>
      <c r="R573">
        <v>12.052974511161958</v>
      </c>
      <c r="S573">
        <v>12.100449578887144</v>
      </c>
      <c r="T573">
        <v>1</v>
      </c>
      <c r="U573">
        <v>2.250718198303483</v>
      </c>
    </row>
    <row r="574" spans="1:21">
      <c r="A574">
        <v>4.7718006119281224E-2</v>
      </c>
      <c r="B574">
        <v>-1.4304253517017878</v>
      </c>
      <c r="C574">
        <v>0.32760259422739507</v>
      </c>
      <c r="D574">
        <v>7.3624588946850034E-2</v>
      </c>
      <c r="E574">
        <v>-0.19120677161291866</v>
      </c>
      <c r="F574">
        <v>-0.47134814407600056</v>
      </c>
      <c r="G574">
        <v>0.41429234608358217</v>
      </c>
      <c r="H574">
        <v>0.14761650215995742</v>
      </c>
      <c r="I574">
        <v>0.26234796458983589</v>
      </c>
      <c r="J574">
        <v>0.85288498027131898</v>
      </c>
      <c r="L574">
        <v>3.7207777184602633</v>
      </c>
      <c r="M574">
        <v>2.369550147793968</v>
      </c>
      <c r="N574">
        <v>2.2134418617476483</v>
      </c>
      <c r="P574">
        <v>6.5894283971287794E-11</v>
      </c>
      <c r="R574">
        <v>12.052974511161958</v>
      </c>
      <c r="S574">
        <v>12.100449578887144</v>
      </c>
      <c r="T574">
        <v>1</v>
      </c>
      <c r="U574">
        <v>2.250718198303483</v>
      </c>
    </row>
    <row r="575" spans="1:21">
      <c r="A575">
        <v>4.7109067766931315E-2</v>
      </c>
      <c r="B575">
        <v>-1.4023856558694827</v>
      </c>
      <c r="C575">
        <v>0.3935294153572465</v>
      </c>
      <c r="D575">
        <v>-0.54102687782959302</v>
      </c>
      <c r="E575">
        <v>-0.19949520265558038</v>
      </c>
      <c r="F575">
        <v>-0.47133382593610496</v>
      </c>
      <c r="G575">
        <v>0.65429327242074564</v>
      </c>
      <c r="H575">
        <v>0.89699247030474705</v>
      </c>
      <c r="I575">
        <v>0.45181702210965125</v>
      </c>
      <c r="J575">
        <v>0.55067301750412334</v>
      </c>
      <c r="L575">
        <v>3.7207772240589465</v>
      </c>
      <c r="M575">
        <v>2.3695505078957271</v>
      </c>
      <c r="N575">
        <v>2.2134423432430919</v>
      </c>
      <c r="P575">
        <v>5.867713624963746E-11</v>
      </c>
      <c r="R575">
        <v>12.052974511161958</v>
      </c>
      <c r="S575">
        <v>12.100449578887144</v>
      </c>
      <c r="T575">
        <v>1</v>
      </c>
      <c r="U575">
        <v>2.250718198303483</v>
      </c>
    </row>
    <row r="576" spans="1:21">
      <c r="A576">
        <v>4.6636279153867255E-2</v>
      </c>
      <c r="B576">
        <v>-1.4213066960852963</v>
      </c>
      <c r="C576">
        <v>0.34635720871539843</v>
      </c>
      <c r="D576">
        <v>-0.32065037475630787</v>
      </c>
      <c r="E576">
        <v>-0.32708935431337</v>
      </c>
      <c r="F576">
        <v>-0.73971408957788798</v>
      </c>
      <c r="G576">
        <v>0.4360029665696244</v>
      </c>
      <c r="H576">
        <v>0.33781302433888433</v>
      </c>
      <c r="I576">
        <v>0.2074332993911929</v>
      </c>
      <c r="J576">
        <v>0.63550405862902382</v>
      </c>
      <c r="L576">
        <v>3.7207774825108517</v>
      </c>
      <c r="M576">
        <v>2.3695503411762227</v>
      </c>
      <c r="N576">
        <v>2.2134421340350361</v>
      </c>
      <c r="P576">
        <v>6.21767220470652E-11</v>
      </c>
      <c r="R576">
        <v>12.052974511161958</v>
      </c>
      <c r="S576">
        <v>12.100449578887144</v>
      </c>
      <c r="T576">
        <v>1</v>
      </c>
      <c r="U576">
        <v>2.250718198303483</v>
      </c>
    </row>
    <row r="577" spans="1:21">
      <c r="A577">
        <v>4.7351443689168424E-2</v>
      </c>
      <c r="B577">
        <v>-1.4032055843884661</v>
      </c>
      <c r="C577">
        <v>0.37064062928501268</v>
      </c>
      <c r="D577">
        <v>-0.70583701567265977</v>
      </c>
      <c r="E577">
        <v>-0.32520120255649887</v>
      </c>
      <c r="F577">
        <v>-0.11311630920717333</v>
      </c>
      <c r="G577">
        <v>0</v>
      </c>
      <c r="H577">
        <v>0.81364597064425515</v>
      </c>
      <c r="I577">
        <v>0.39650251613184351</v>
      </c>
      <c r="J577">
        <v>0.9885905188004378</v>
      </c>
      <c r="L577">
        <v>3.720777934219222</v>
      </c>
      <c r="M577">
        <v>2.369549824795198</v>
      </c>
      <c r="N577">
        <v>2.2134418322466627</v>
      </c>
      <c r="P577">
        <v>6.7330055979850173E-11</v>
      </c>
      <c r="R577">
        <v>12.052974511161958</v>
      </c>
      <c r="S577">
        <v>12.100449578887144</v>
      </c>
      <c r="T577">
        <v>1</v>
      </c>
      <c r="U577">
        <v>2.250718198303483</v>
      </c>
    </row>
    <row r="578" spans="1:21">
      <c r="A578">
        <v>5.7695209366667659E-2</v>
      </c>
      <c r="B578">
        <v>-1.4136338835725162</v>
      </c>
      <c r="C578">
        <v>0.37432922408782077</v>
      </c>
      <c r="D578">
        <v>9.6042426718179183E-2</v>
      </c>
      <c r="E578">
        <v>-0.57037790071845351</v>
      </c>
      <c r="F578">
        <v>-0.23803239163311751</v>
      </c>
      <c r="G578">
        <v>0.88526866266876336</v>
      </c>
      <c r="H578">
        <v>0.43875506227115413</v>
      </c>
      <c r="I578">
        <v>0.84922239629832197</v>
      </c>
      <c r="J578">
        <v>4.2311940936088442E-2</v>
      </c>
      <c r="L578">
        <v>3.7207776637098835</v>
      </c>
      <c r="M578">
        <v>2.3695501635255369</v>
      </c>
      <c r="N578">
        <v>2.21344235547646</v>
      </c>
      <c r="P578">
        <v>6.2278769231893323E-11</v>
      </c>
      <c r="R578">
        <v>12.052974511161958</v>
      </c>
      <c r="S578">
        <v>12.100449578887144</v>
      </c>
      <c r="T578">
        <v>1</v>
      </c>
      <c r="U578">
        <v>2.250718198303483</v>
      </c>
    </row>
    <row r="579" spans="1:21">
      <c r="A579">
        <v>5.0037764441989332E-2</v>
      </c>
      <c r="B579">
        <v>-1.4165310329214054</v>
      </c>
      <c r="C579">
        <v>0.37194710433718536</v>
      </c>
      <c r="D579">
        <v>0.5745007415627339</v>
      </c>
      <c r="E579">
        <v>-0.38104822004678535</v>
      </c>
      <c r="F579">
        <v>0.35118692693053877</v>
      </c>
      <c r="G579">
        <v>0.50977572282038675</v>
      </c>
      <c r="H579">
        <v>0.54161157803863869</v>
      </c>
      <c r="I579">
        <v>2.9570444325491066E-2</v>
      </c>
      <c r="J579">
        <v>0.67416307389359409</v>
      </c>
      <c r="L579">
        <v>3.720776997704041</v>
      </c>
      <c r="M579">
        <v>2.36955065791707</v>
      </c>
      <c r="N579">
        <v>2.2134426775095499</v>
      </c>
      <c r="P579">
        <v>5.5110602385869412E-11</v>
      </c>
      <c r="R579">
        <v>12.052974511161958</v>
      </c>
      <c r="S579">
        <v>12.100449578887144</v>
      </c>
      <c r="T579">
        <v>1</v>
      </c>
      <c r="U579">
        <v>2.250718198303483</v>
      </c>
    </row>
    <row r="580" spans="1:21">
      <c r="A580">
        <v>4.9423735576913347E-2</v>
      </c>
      <c r="B580">
        <v>-1.4174099883720184</v>
      </c>
      <c r="C580">
        <v>0.33848602425293339</v>
      </c>
      <c r="D580">
        <v>-0.28633286175054296</v>
      </c>
      <c r="E580">
        <v>-7.6448090155476295E-2</v>
      </c>
      <c r="F580">
        <v>-0.78792418459503633</v>
      </c>
      <c r="G580">
        <v>4.5645434014212644E-2</v>
      </c>
      <c r="H580">
        <v>0.53407836393684627</v>
      </c>
      <c r="I580">
        <v>0.68973312835831246</v>
      </c>
      <c r="J580">
        <v>0.51509981627682289</v>
      </c>
      <c r="L580">
        <v>3.7207773645763589</v>
      </c>
      <c r="M580">
        <v>2.3695503997098202</v>
      </c>
      <c r="N580">
        <v>2.2134422337457904</v>
      </c>
      <c r="P580">
        <v>6.041057167691501E-11</v>
      </c>
      <c r="R580">
        <v>12.052974511161958</v>
      </c>
      <c r="S580">
        <v>12.100449578887144</v>
      </c>
      <c r="T580">
        <v>1</v>
      </c>
      <c r="U580">
        <v>2.250718198303483</v>
      </c>
    </row>
    <row r="581" spans="1:21">
      <c r="A581">
        <v>8.9142276274923382E-2</v>
      </c>
      <c r="B581">
        <v>-1.2829335345864956</v>
      </c>
      <c r="C581">
        <v>0.7665243063846191</v>
      </c>
      <c r="D581">
        <v>0.31286382152810399</v>
      </c>
      <c r="E581">
        <v>0.40481134635536614</v>
      </c>
      <c r="F581">
        <v>-6.6093483978008252E-2</v>
      </c>
      <c r="G581">
        <v>0.72714228044365325</v>
      </c>
      <c r="H581">
        <v>0.57513727957916072</v>
      </c>
      <c r="I581">
        <v>0.86287178775446549</v>
      </c>
      <c r="J581">
        <v>0.89462423197832897</v>
      </c>
      <c r="L581">
        <v>3.7207730281667364</v>
      </c>
      <c r="M581">
        <v>2.3695491399912427</v>
      </c>
      <c r="N581">
        <v>0.83452562575059086</v>
      </c>
      <c r="P581">
        <v>8.2799528149382143E-12</v>
      </c>
      <c r="R581">
        <v>6.7097872866034241</v>
      </c>
      <c r="S581">
        <v>6.7197741867997447</v>
      </c>
      <c r="T581">
        <v>1</v>
      </c>
      <c r="U581">
        <v>2.2709367053089302</v>
      </c>
    </row>
    <row r="582" spans="1:21">
      <c r="A582">
        <v>9.2176648572708353E-2</v>
      </c>
      <c r="B582">
        <v>-1.2834289362828593</v>
      </c>
      <c r="C582">
        <v>0.75678995119474124</v>
      </c>
      <c r="D582">
        <v>0.10025669185638744</v>
      </c>
      <c r="E582">
        <v>0.66446213136896692</v>
      </c>
      <c r="F582">
        <v>-0.45016832961705283</v>
      </c>
      <c r="G582">
        <v>0.19225432021134078</v>
      </c>
      <c r="H582">
        <v>6.3797412320017358E-2</v>
      </c>
      <c r="I582">
        <v>0.98398004034921904</v>
      </c>
      <c r="J582">
        <v>0.49701192759911295</v>
      </c>
      <c r="L582">
        <v>3.7207733551731828</v>
      </c>
      <c r="M582">
        <v>2.3695493999469148</v>
      </c>
      <c r="N582">
        <v>0.83452514700327418</v>
      </c>
      <c r="P582">
        <v>1.1275985428613759E-11</v>
      </c>
      <c r="R582">
        <v>6.7097872866034241</v>
      </c>
      <c r="S582">
        <v>6.7197741867997447</v>
      </c>
      <c r="T582">
        <v>1</v>
      </c>
      <c r="U582">
        <v>2.2709367053089302</v>
      </c>
    </row>
    <row r="583" spans="1:21">
      <c r="A583">
        <v>7.9521209432633508E-2</v>
      </c>
      <c r="B583">
        <v>-1.2816000752861754</v>
      </c>
      <c r="C583">
        <v>0.74019287357194008</v>
      </c>
      <c r="D583">
        <v>-0.47922724539671591</v>
      </c>
      <c r="E583">
        <v>0.43261162804569209</v>
      </c>
      <c r="F583">
        <v>3.8878653291627194E-2</v>
      </c>
      <c r="G583">
        <v>6.4034454089826262E-3</v>
      </c>
      <c r="H583">
        <v>0.81468539681367591</v>
      </c>
      <c r="I583">
        <v>0.4927881083300007</v>
      </c>
      <c r="J583">
        <v>0.74270879650491217</v>
      </c>
      <c r="L583">
        <v>3.7207733019276148</v>
      </c>
      <c r="M583">
        <v>2.369549994712064</v>
      </c>
      <c r="N583">
        <v>0.83452488300589478</v>
      </c>
      <c r="P583">
        <v>1.4345234937617812E-11</v>
      </c>
      <c r="R583">
        <v>6.7097872866034241</v>
      </c>
      <c r="S583">
        <v>6.7197741867997447</v>
      </c>
      <c r="T583">
        <v>1</v>
      </c>
      <c r="U583">
        <v>2.2709367053089302</v>
      </c>
    </row>
    <row r="584" spans="1:21">
      <c r="A584">
        <v>7.8870297461451008E-2</v>
      </c>
      <c r="B584">
        <v>-1.2817408350032249</v>
      </c>
      <c r="C584">
        <v>0.75166834007246486</v>
      </c>
      <c r="D584">
        <v>-0.82863381201745778</v>
      </c>
      <c r="E584">
        <v>0.47168054326975145</v>
      </c>
      <c r="F584">
        <v>0.11120967986625457</v>
      </c>
      <c r="G584">
        <v>0.33627772000431205</v>
      </c>
      <c r="H584">
        <v>0.5416122963446276</v>
      </c>
      <c r="I584">
        <v>0.43526286472665487</v>
      </c>
      <c r="J584">
        <v>0.64097475793289649</v>
      </c>
      <c r="L584">
        <v>3.7207736712234083</v>
      </c>
      <c r="M584">
        <v>2.3695488065297874</v>
      </c>
      <c r="N584">
        <v>0.83452443316330838</v>
      </c>
      <c r="P584">
        <v>1.2249246783445739E-11</v>
      </c>
      <c r="R584">
        <v>6.7097872866034241</v>
      </c>
      <c r="S584">
        <v>6.7197741867997447</v>
      </c>
      <c r="T584">
        <v>1</v>
      </c>
      <c r="U584">
        <v>2.2709367053089302</v>
      </c>
    </row>
    <row r="585" spans="1:21">
      <c r="A585">
        <v>9.0283223662384393E-2</v>
      </c>
      <c r="B585">
        <v>-1.2840229003541039</v>
      </c>
      <c r="C585">
        <v>0.75299827783094275</v>
      </c>
      <c r="D585">
        <v>0.28349681019503525</v>
      </c>
      <c r="E585">
        <v>-0.49299347907573249</v>
      </c>
      <c r="F585">
        <v>-0.70562764072676154</v>
      </c>
      <c r="G585">
        <v>9.2936642122992311E-2</v>
      </c>
      <c r="H585">
        <v>0.23811827489334192</v>
      </c>
      <c r="I585">
        <v>7.1270616890085139E-2</v>
      </c>
      <c r="J585">
        <v>0.18185893136100328</v>
      </c>
      <c r="L585">
        <v>3.7207732423922155</v>
      </c>
      <c r="M585">
        <v>2.369549523682497</v>
      </c>
      <c r="N585">
        <v>0.83452528168708073</v>
      </c>
      <c r="P585">
        <v>1.1105225431227777E-11</v>
      </c>
      <c r="R585">
        <v>6.7097872866034241</v>
      </c>
      <c r="S585">
        <v>6.7197741867997447</v>
      </c>
      <c r="T585">
        <v>1</v>
      </c>
      <c r="U585">
        <v>2.2709367053089302</v>
      </c>
    </row>
    <row r="586" spans="1:21">
      <c r="A586">
        <v>7.8361371526478568E-2</v>
      </c>
      <c r="B586">
        <v>-1.2886656717564358</v>
      </c>
      <c r="C586">
        <v>0.75010530825525457</v>
      </c>
      <c r="D586">
        <v>0.14103976509220387</v>
      </c>
      <c r="E586">
        <v>0.64813000477630522</v>
      </c>
      <c r="F586">
        <v>-0.23473028084104869</v>
      </c>
      <c r="G586">
        <v>0.80671812301758539</v>
      </c>
      <c r="H586">
        <v>0.94248630278263112</v>
      </c>
      <c r="I586">
        <v>0.51906043174177752</v>
      </c>
      <c r="J586">
        <v>0.84950622879624216</v>
      </c>
      <c r="L586">
        <v>3.7207733720976046</v>
      </c>
      <c r="M586">
        <v>2.3695491968068256</v>
      </c>
      <c r="N586">
        <v>0.83452517372793322</v>
      </c>
      <c r="P586">
        <v>1.0496057253905053E-11</v>
      </c>
      <c r="R586">
        <v>6.7097872866034241</v>
      </c>
      <c r="S586">
        <v>6.7197741867997447</v>
      </c>
      <c r="T586">
        <v>1</v>
      </c>
      <c r="U586">
        <v>2.2709367053089302</v>
      </c>
    </row>
    <row r="587" spans="1:21">
      <c r="A587">
        <v>8.6389522200078062E-2</v>
      </c>
      <c r="B587">
        <v>-1.2858519158635227</v>
      </c>
      <c r="C587">
        <v>0.76000051234018939</v>
      </c>
      <c r="D587">
        <v>0.65867016533240996</v>
      </c>
      <c r="E587">
        <v>-0.21606549951302595</v>
      </c>
      <c r="F587">
        <v>-0.52435736048390968</v>
      </c>
      <c r="G587">
        <v>0.89612757783298591</v>
      </c>
      <c r="H587">
        <v>0.97685782405276267</v>
      </c>
      <c r="I587">
        <v>0.42146091127287788</v>
      </c>
      <c r="J587">
        <v>0.77215520020904882</v>
      </c>
      <c r="L587">
        <v>3.7207735065582042</v>
      </c>
      <c r="M587">
        <v>2.3695494160124477</v>
      </c>
      <c r="N587">
        <v>0.83452486026358419</v>
      </c>
      <c r="P587">
        <v>1.2597704868263696E-11</v>
      </c>
      <c r="R587">
        <v>6.7097872866034241</v>
      </c>
      <c r="S587">
        <v>6.7197741867997447</v>
      </c>
      <c r="T587">
        <v>1</v>
      </c>
      <c r="U587">
        <v>2.2709367053089302</v>
      </c>
    </row>
    <row r="588" spans="1:21">
      <c r="A588">
        <v>9.2945875897169433E-2</v>
      </c>
      <c r="B588">
        <v>-1.2814009072877508</v>
      </c>
      <c r="C588">
        <v>0.76362089187063587</v>
      </c>
      <c r="D588">
        <v>0.45609417992368151</v>
      </c>
      <c r="E588">
        <v>-0.38177322371315853</v>
      </c>
      <c r="F588">
        <v>-7.7152718840066248E-2</v>
      </c>
      <c r="G588">
        <v>0.34769180046340076</v>
      </c>
      <c r="H588">
        <v>0.40237084464121597</v>
      </c>
      <c r="I588">
        <v>0.41367175363602665</v>
      </c>
      <c r="J588">
        <v>0.80149845750663551</v>
      </c>
      <c r="L588">
        <v>3.7207733683384796</v>
      </c>
      <c r="M588">
        <v>2.369549506031043</v>
      </c>
      <c r="N588">
        <v>0.83452508645597367</v>
      </c>
      <c r="P588">
        <v>1.1893958740127908E-11</v>
      </c>
      <c r="R588">
        <v>6.7097872866034241</v>
      </c>
      <c r="S588">
        <v>6.7197741867997447</v>
      </c>
      <c r="T588">
        <v>1</v>
      </c>
      <c r="U588">
        <v>2.2709367053089302</v>
      </c>
    </row>
    <row r="589" spans="1:21">
      <c r="A589">
        <v>8.3604448955707303E-2</v>
      </c>
      <c r="B589">
        <v>-1.2794715381017376</v>
      </c>
      <c r="C589">
        <v>0.76690629800569132</v>
      </c>
      <c r="D589">
        <v>-0.41873930552096766</v>
      </c>
      <c r="E589">
        <v>0.30230098536729721</v>
      </c>
      <c r="F589">
        <v>-0.21662111591277861</v>
      </c>
      <c r="G589">
        <v>0.40325515995645733</v>
      </c>
      <c r="H589">
        <v>0.41607713097680921</v>
      </c>
      <c r="I589">
        <v>0.38541457452807004</v>
      </c>
      <c r="J589">
        <v>2.5676444263750275E-2</v>
      </c>
      <c r="L589">
        <v>3.7207736223581889</v>
      </c>
      <c r="M589">
        <v>2.3695491761035816</v>
      </c>
      <c r="N589">
        <v>0.83452461228339148</v>
      </c>
      <c r="P589">
        <v>1.2789144198630532E-11</v>
      </c>
      <c r="R589">
        <v>6.7097872866034241</v>
      </c>
      <c r="S589">
        <v>6.7197741867997447</v>
      </c>
      <c r="T589">
        <v>1</v>
      </c>
      <c r="U589">
        <v>2.2709367053089302</v>
      </c>
    </row>
    <row r="590" spans="1:21">
      <c r="A590">
        <v>9.0970011714359963E-2</v>
      </c>
      <c r="B590">
        <v>-1.2833542114270338</v>
      </c>
      <c r="C590">
        <v>0.75855270631020466</v>
      </c>
      <c r="D590">
        <v>-2.3849424853130748E-2</v>
      </c>
      <c r="E590">
        <v>-0.47794599011764055</v>
      </c>
      <c r="F590">
        <v>0.15001842254449863</v>
      </c>
      <c r="G590">
        <v>0.21778391648834763</v>
      </c>
      <c r="H590">
        <v>1.4918389246849011E-2</v>
      </c>
      <c r="I590">
        <v>0.12168572694279872</v>
      </c>
      <c r="J590">
        <v>0.93359779663122955</v>
      </c>
      <c r="L590">
        <v>3.7207734980810492</v>
      </c>
      <c r="M590">
        <v>2.3695497761117825</v>
      </c>
      <c r="N590">
        <v>0.83452464729572018</v>
      </c>
      <c r="P590">
        <v>1.469534687617411E-11</v>
      </c>
      <c r="R590">
        <v>6.7097872866034241</v>
      </c>
      <c r="S590">
        <v>6.7197741867997447</v>
      </c>
      <c r="T590">
        <v>1</v>
      </c>
      <c r="U590">
        <v>2.2709367053089302</v>
      </c>
    </row>
    <row r="591" spans="1:21">
      <c r="A591">
        <v>-2.5407435055412632E-2</v>
      </c>
      <c r="B591">
        <v>-1.3830442000454808</v>
      </c>
      <c r="C591">
        <v>0.59392121059579317</v>
      </c>
      <c r="D591">
        <v>-0.53586851657047285</v>
      </c>
      <c r="E591">
        <v>-0.31593418157279279</v>
      </c>
      <c r="F591">
        <v>0.2070041871291888</v>
      </c>
      <c r="G591">
        <v>0.92986620117681573</v>
      </c>
      <c r="H591">
        <v>0.35742728787130229</v>
      </c>
      <c r="I591">
        <v>0.21793884846010669</v>
      </c>
      <c r="J591">
        <v>0.79340461356073744</v>
      </c>
      <c r="L591">
        <v>3.7207731535515656</v>
      </c>
      <c r="M591">
        <v>2.2134452273667224</v>
      </c>
      <c r="N591">
        <v>0.83452756466453637</v>
      </c>
      <c r="P591">
        <v>8.2770436787399175E-12</v>
      </c>
      <c r="R591">
        <v>6.5639415210372487</v>
      </c>
      <c r="S591">
        <v>6.5721137062563466</v>
      </c>
      <c r="T591">
        <v>1</v>
      </c>
      <c r="U591">
        <v>2.502463546853845</v>
      </c>
    </row>
    <row r="592" spans="1:21">
      <c r="A592">
        <v>-2.9376442726612332E-2</v>
      </c>
      <c r="B592">
        <v>-1.3878747793975503</v>
      </c>
      <c r="C592">
        <v>0.58180313758587998</v>
      </c>
      <c r="D592">
        <v>-8.0854102391860166E-2</v>
      </c>
      <c r="E592">
        <v>0.49565085384441693</v>
      </c>
      <c r="F592">
        <v>0.3701381776860645</v>
      </c>
      <c r="G592">
        <v>0.28557581993778242</v>
      </c>
      <c r="H592">
        <v>0.12984015925290582</v>
      </c>
      <c r="I592">
        <v>0.6594388521214184</v>
      </c>
      <c r="J592">
        <v>0.36896560849261301</v>
      </c>
      <c r="L592">
        <v>3.7207731641630755</v>
      </c>
      <c r="M592">
        <v>2.2134450043076708</v>
      </c>
      <c r="N592">
        <v>0.83452777004857703</v>
      </c>
      <c r="P592">
        <v>9.075245921044187E-12</v>
      </c>
      <c r="R592">
        <v>6.5639415210372487</v>
      </c>
      <c r="S592">
        <v>6.5721137062563466</v>
      </c>
      <c r="T592">
        <v>1</v>
      </c>
      <c r="U592">
        <v>2.502463546853845</v>
      </c>
    </row>
    <row r="593" spans="1:21">
      <c r="A593">
        <v>-2.1697732244629522E-2</v>
      </c>
      <c r="B593">
        <v>-1.3814410983665262</v>
      </c>
      <c r="C593">
        <v>0.59226739606703949</v>
      </c>
      <c r="D593">
        <v>0.76435420107762786</v>
      </c>
      <c r="E593">
        <v>0.60039779536865112</v>
      </c>
      <c r="F593">
        <v>0.44063701662487353</v>
      </c>
      <c r="G593">
        <v>0.47862970762843582</v>
      </c>
      <c r="H593">
        <v>0.85160721845905984</v>
      </c>
      <c r="I593">
        <v>0.36290060599801954</v>
      </c>
      <c r="J593">
        <v>0.77308725857563043</v>
      </c>
      <c r="L593">
        <v>3.720773032569423</v>
      </c>
      <c r="M593">
        <v>2.2134450611364769</v>
      </c>
      <c r="N593">
        <v>0.83452771289268635</v>
      </c>
      <c r="P593">
        <v>8.2597577852923845E-12</v>
      </c>
      <c r="R593">
        <v>6.5639415210372487</v>
      </c>
      <c r="S593">
        <v>6.5721137062563466</v>
      </c>
      <c r="T593">
        <v>1</v>
      </c>
      <c r="U593">
        <v>2.502463546853845</v>
      </c>
    </row>
    <row r="594" spans="1:21">
      <c r="A594">
        <v>-1.884357184864191E-2</v>
      </c>
      <c r="B594">
        <v>-1.3872568648053079</v>
      </c>
      <c r="C594">
        <v>0.5600288632296001</v>
      </c>
      <c r="D594">
        <v>0.16040087992555338</v>
      </c>
      <c r="E594">
        <v>0.71891794875130943</v>
      </c>
      <c r="F594">
        <v>-0.55199150795990604</v>
      </c>
      <c r="G594">
        <v>9.005853333694519E-2</v>
      </c>
      <c r="H594">
        <v>0.36081544778942487</v>
      </c>
      <c r="I594">
        <v>0.68993661441762066</v>
      </c>
      <c r="J594">
        <v>0.97189252395723646</v>
      </c>
      <c r="L594">
        <v>3.7207730656696589</v>
      </c>
      <c r="M594">
        <v>2.2134451245615865</v>
      </c>
      <c r="N594">
        <v>0.83452766616198792</v>
      </c>
      <c r="P594">
        <v>8.2293964079982525E-12</v>
      </c>
      <c r="R594">
        <v>6.5639415210372487</v>
      </c>
      <c r="S594">
        <v>6.5721137062563466</v>
      </c>
      <c r="T594">
        <v>1</v>
      </c>
      <c r="U594">
        <v>2.502463546853845</v>
      </c>
    </row>
    <row r="595" spans="1:21">
      <c r="A595">
        <v>-2.4536976207809015E-2</v>
      </c>
      <c r="B595">
        <v>-1.3806507499062963</v>
      </c>
      <c r="C595">
        <v>0.60518570080898793</v>
      </c>
      <c r="D595">
        <v>0.43859430741542482</v>
      </c>
      <c r="E595">
        <v>0.63478681041911389</v>
      </c>
      <c r="F595">
        <v>0.24098545117597051</v>
      </c>
      <c r="G595">
        <v>0.85372523559466718</v>
      </c>
      <c r="H595">
        <v>0.79001161081405813</v>
      </c>
      <c r="I595">
        <v>0.61248411538787539</v>
      </c>
      <c r="J595">
        <v>0.2820007188741116</v>
      </c>
      <c r="L595">
        <v>3.7207730403126575</v>
      </c>
      <c r="M595">
        <v>2.2134454594661159</v>
      </c>
      <c r="N595">
        <v>0.83452730374290496</v>
      </c>
      <c r="P595">
        <v>7.044721601213827E-12</v>
      </c>
      <c r="R595">
        <v>6.5639415210372487</v>
      </c>
      <c r="S595">
        <v>6.5721137062563466</v>
      </c>
      <c r="T595">
        <v>1</v>
      </c>
      <c r="U595">
        <v>2.502463546853845</v>
      </c>
    </row>
    <row r="596" spans="1:21">
      <c r="A596">
        <v>-3.0100548703243465E-2</v>
      </c>
      <c r="B596">
        <v>-1.387051735630624</v>
      </c>
      <c r="C596">
        <v>0.57169917159543571</v>
      </c>
      <c r="D596">
        <v>-0.86837458322324479</v>
      </c>
      <c r="E596">
        <v>-0.75983798397591473</v>
      </c>
      <c r="F596">
        <v>-2.3145591691261441E-2</v>
      </c>
      <c r="G596">
        <v>0.59011316205146203</v>
      </c>
      <c r="H596">
        <v>0.3204831929800101</v>
      </c>
      <c r="I596">
        <v>0.46932126595217932</v>
      </c>
      <c r="J596">
        <v>0.84318074575837842</v>
      </c>
      <c r="L596">
        <v>3.720773146069603</v>
      </c>
      <c r="M596">
        <v>2.2134450962216405</v>
      </c>
      <c r="N596">
        <v>0.83452769174752128</v>
      </c>
      <c r="P596">
        <v>8.6846522381627496E-12</v>
      </c>
      <c r="R596">
        <v>6.5639415210372487</v>
      </c>
      <c r="S596">
        <v>6.5721137062563466</v>
      </c>
      <c r="T596">
        <v>1</v>
      </c>
      <c r="U596">
        <v>2.502463546853845</v>
      </c>
    </row>
    <row r="597" spans="1:21">
      <c r="A597">
        <v>-3.1346309864386759E-2</v>
      </c>
      <c r="B597">
        <v>-1.3837976344548713</v>
      </c>
      <c r="C597">
        <v>0.58660283573111116</v>
      </c>
      <c r="D597">
        <v>-0.2551653809425492</v>
      </c>
      <c r="E597">
        <v>-0.2684873695954873</v>
      </c>
      <c r="F597">
        <v>7.411998656519635E-3</v>
      </c>
      <c r="G597">
        <v>0.71962212795275882</v>
      </c>
      <c r="H597">
        <v>0.7773821347703439</v>
      </c>
      <c r="I597">
        <v>0.79845718052402148</v>
      </c>
      <c r="J597">
        <v>0.29878992530020992</v>
      </c>
      <c r="L597">
        <v>3.7207728064255785</v>
      </c>
      <c r="M597">
        <v>2.2134451316488155</v>
      </c>
      <c r="N597">
        <v>0.83452763311239908</v>
      </c>
      <c r="P597">
        <v>7.0335300089440207E-12</v>
      </c>
      <c r="R597">
        <v>6.5639415210372487</v>
      </c>
      <c r="S597">
        <v>6.5721137062563466</v>
      </c>
      <c r="T597">
        <v>1</v>
      </c>
      <c r="U597">
        <v>2.502463546853845</v>
      </c>
    </row>
    <row r="598" spans="1:21">
      <c r="A598">
        <v>-3.170504821416513E-2</v>
      </c>
      <c r="B598">
        <v>-1.3863541718443346</v>
      </c>
      <c r="C598">
        <v>0.57063457212366153</v>
      </c>
      <c r="D598">
        <v>-0.34120599026992421</v>
      </c>
      <c r="E598">
        <v>-3.3456754078672328E-3</v>
      </c>
      <c r="F598">
        <v>3.4235290277131333E-2</v>
      </c>
      <c r="G598">
        <v>0.23921436330717977</v>
      </c>
      <c r="H598">
        <v>0.53244491243813041</v>
      </c>
      <c r="I598">
        <v>0.9737238023377538</v>
      </c>
      <c r="J598">
        <v>0.4072167271625195</v>
      </c>
      <c r="L598">
        <v>3.7207730535205203</v>
      </c>
      <c r="M598">
        <v>2.2134451164342166</v>
      </c>
      <c r="N598">
        <v>0.83452767181709531</v>
      </c>
      <c r="P598">
        <v>8.1965041123565028E-12</v>
      </c>
      <c r="R598">
        <v>6.5639415210372487</v>
      </c>
      <c r="S598">
        <v>6.5721137062563466</v>
      </c>
      <c r="T598">
        <v>1</v>
      </c>
      <c r="U598">
        <v>2.502463546853845</v>
      </c>
    </row>
    <row r="599" spans="1:21">
      <c r="A599">
        <v>-2.5420857524635496E-2</v>
      </c>
      <c r="B599">
        <v>-1.3855676277265809</v>
      </c>
      <c r="C599">
        <v>0.59335070136693391</v>
      </c>
      <c r="D599">
        <v>0.18206455634219418</v>
      </c>
      <c r="E599">
        <v>0.1917962747653183</v>
      </c>
      <c r="F599">
        <v>0.40550511644474846</v>
      </c>
      <c r="G599">
        <v>0.88831645870731302</v>
      </c>
      <c r="H599">
        <v>0.54336578394466362</v>
      </c>
      <c r="I599">
        <v>0.45518551939288004</v>
      </c>
      <c r="J599">
        <v>0.91128063939828396</v>
      </c>
      <c r="L599">
        <v>3.7207731030329323</v>
      </c>
      <c r="M599">
        <v>2.2134450569979855</v>
      </c>
      <c r="N599">
        <v>0.83452772345478288</v>
      </c>
      <c r="P599">
        <v>8.6110265059858742E-12</v>
      </c>
      <c r="R599">
        <v>6.5639415210372487</v>
      </c>
      <c r="S599">
        <v>6.5721137062563466</v>
      </c>
      <c r="T599">
        <v>1</v>
      </c>
      <c r="U599">
        <v>2.502463546853845</v>
      </c>
    </row>
    <row r="600" spans="1:21">
      <c r="A600">
        <v>-2.3819231583729096E-2</v>
      </c>
      <c r="B600">
        <v>-1.3805751909609403</v>
      </c>
      <c r="C600">
        <v>0.56706475279965218</v>
      </c>
      <c r="D600">
        <v>-0.45705403115871174</v>
      </c>
      <c r="E600">
        <v>-0.41399902042488601</v>
      </c>
      <c r="F600">
        <v>-4.1028872058908074E-2</v>
      </c>
      <c r="G600">
        <v>0.15844100872378697</v>
      </c>
      <c r="H600">
        <v>0.73498126919975493</v>
      </c>
      <c r="I600">
        <v>0.41036826614851468</v>
      </c>
      <c r="J600">
        <v>0.9975983273445056</v>
      </c>
      <c r="L600">
        <v>3.7207731306781775</v>
      </c>
      <c r="M600">
        <v>2.2134453538558607</v>
      </c>
      <c r="N600">
        <v>0.83452742975855621</v>
      </c>
      <c r="P600">
        <v>7.7701044188057395E-12</v>
      </c>
      <c r="R600">
        <v>6.5639415210372487</v>
      </c>
      <c r="S600">
        <v>6.5721137062563466</v>
      </c>
      <c r="T600">
        <v>1</v>
      </c>
      <c r="U600">
        <v>2.502463546853845</v>
      </c>
    </row>
    <row r="601" spans="1:21">
      <c r="A601">
        <v>3.0629846305179103E-2</v>
      </c>
      <c r="B601">
        <v>-1.2602023933629596</v>
      </c>
      <c r="C601">
        <v>0.68998376202668132</v>
      </c>
      <c r="D601">
        <v>0.92110937775924751</v>
      </c>
      <c r="E601">
        <v>7.2220646541757867E-3</v>
      </c>
      <c r="F601">
        <v>-0.28804081359297229</v>
      </c>
      <c r="G601">
        <v>0.21177752394572663</v>
      </c>
      <c r="H601">
        <v>0.95455184593011555</v>
      </c>
      <c r="I601">
        <v>0.26440402452669765</v>
      </c>
      <c r="J601">
        <v>0.36765101188528365</v>
      </c>
      <c r="L601">
        <v>2.3695483066617453</v>
      </c>
      <c r="M601">
        <v>2.2134460135611929</v>
      </c>
      <c r="N601">
        <v>0.83452595372016491</v>
      </c>
      <c r="P601">
        <v>1.939460138281037E-12</v>
      </c>
      <c r="R601">
        <v>4.4257581477671515</v>
      </c>
      <c r="S601">
        <v>4.4300562065933597</v>
      </c>
      <c r="T601">
        <v>1</v>
      </c>
      <c r="U601">
        <v>2.4951763290993858</v>
      </c>
    </row>
    <row r="602" spans="1:21">
      <c r="A602">
        <v>2.7506641587556408E-2</v>
      </c>
      <c r="B602">
        <v>-1.2646905366332575</v>
      </c>
      <c r="C602">
        <v>0.7052292331510075</v>
      </c>
      <c r="D602">
        <v>0.59744821507630974</v>
      </c>
      <c r="E602">
        <v>0.20821417159813177</v>
      </c>
      <c r="F602">
        <v>0.38927854481230101</v>
      </c>
      <c r="G602">
        <v>0.59111262997942937</v>
      </c>
      <c r="H602">
        <v>0.13550717581513744</v>
      </c>
      <c r="I602">
        <v>0.16450592657909793</v>
      </c>
      <c r="J602">
        <v>0.48876330060207201</v>
      </c>
      <c r="L602">
        <v>2.3695479609300665</v>
      </c>
      <c r="M602">
        <v>2.2134460779851111</v>
      </c>
      <c r="N602">
        <v>0.83452586681356478</v>
      </c>
      <c r="P602">
        <v>1.4416208337143992E-12</v>
      </c>
      <c r="R602">
        <v>4.4257581477671515</v>
      </c>
      <c r="S602">
        <v>4.4300562065933597</v>
      </c>
      <c r="T602">
        <v>1</v>
      </c>
      <c r="U602">
        <v>2.4951763290993858</v>
      </c>
    </row>
    <row r="603" spans="1:21">
      <c r="A603">
        <v>2.643590918441379E-2</v>
      </c>
      <c r="B603">
        <v>-1.2579631669659457</v>
      </c>
      <c r="C603">
        <v>0.69140073880395914</v>
      </c>
      <c r="D603">
        <v>0.3121562377078646</v>
      </c>
      <c r="E603">
        <v>-0.66203221425269487</v>
      </c>
      <c r="F603">
        <v>0.19354425721732074</v>
      </c>
      <c r="G603">
        <v>0.1264317193452342</v>
      </c>
      <c r="H603">
        <v>0.32420405047034923</v>
      </c>
      <c r="I603">
        <v>3.6923270332496198E-2</v>
      </c>
      <c r="J603">
        <v>0.41382470741573685</v>
      </c>
      <c r="L603">
        <v>2.369547957598416</v>
      </c>
      <c r="M603">
        <v>2.2134460294734954</v>
      </c>
      <c r="N603">
        <v>0.83452589697671109</v>
      </c>
      <c r="P603">
        <v>1.3479630532080516E-12</v>
      </c>
      <c r="R603">
        <v>4.4257581477671515</v>
      </c>
      <c r="S603">
        <v>4.4300562065933597</v>
      </c>
      <c r="T603">
        <v>1</v>
      </c>
      <c r="U603">
        <v>2.4951763290993858</v>
      </c>
    </row>
    <row r="604" spans="1:21">
      <c r="A604">
        <v>2.8245622181974024E-2</v>
      </c>
      <c r="B604">
        <v>-1.2543439057313193</v>
      </c>
      <c r="C604">
        <v>0.68082937312299519</v>
      </c>
      <c r="D604">
        <v>0.20797087617002158</v>
      </c>
      <c r="E604">
        <v>-0.15241103452224142</v>
      </c>
      <c r="F604">
        <v>0.25080180155452014</v>
      </c>
      <c r="G604">
        <v>1.5559674326684659E-2</v>
      </c>
      <c r="H604">
        <v>0.82484058878591027</v>
      </c>
      <c r="I604">
        <v>0.97122553373590759</v>
      </c>
      <c r="J604">
        <v>1.0057999087820537</v>
      </c>
      <c r="L604">
        <v>2.3695483053657393</v>
      </c>
      <c r="M604">
        <v>2.2134460001863943</v>
      </c>
      <c r="N604">
        <v>0.83452595879041214</v>
      </c>
      <c r="P604">
        <v>1.9138879747771864E-12</v>
      </c>
      <c r="R604">
        <v>4.4257581477671515</v>
      </c>
      <c r="S604">
        <v>4.4300562065933597</v>
      </c>
      <c r="T604">
        <v>1</v>
      </c>
      <c r="U604">
        <v>2.4951763290993858</v>
      </c>
    </row>
    <row r="605" spans="1:21">
      <c r="A605">
        <v>2.8341647304743409E-2</v>
      </c>
      <c r="B605">
        <v>-1.2545076285562475</v>
      </c>
      <c r="C605">
        <v>0.69945524745998522</v>
      </c>
      <c r="D605">
        <v>-2.8588832053511818E-2</v>
      </c>
      <c r="E605">
        <v>0.15510915703343481</v>
      </c>
      <c r="F605">
        <v>0.17555396996326042</v>
      </c>
      <c r="G605">
        <v>0.11439038649760884</v>
      </c>
      <c r="H605">
        <v>0.20586758041863068</v>
      </c>
      <c r="I605">
        <v>0.52560410409882719</v>
      </c>
      <c r="J605">
        <v>0.17281984181238008</v>
      </c>
      <c r="L605">
        <v>2.3695486341580869</v>
      </c>
      <c r="M605">
        <v>2.2134459602707701</v>
      </c>
      <c r="N605">
        <v>0.83452594549180692</v>
      </c>
      <c r="P605">
        <v>2.6373584129389626E-12</v>
      </c>
      <c r="R605">
        <v>4.4257581477671515</v>
      </c>
      <c r="S605">
        <v>4.4300562065933597</v>
      </c>
      <c r="T605">
        <v>1</v>
      </c>
      <c r="U605">
        <v>2.4951763290993858</v>
      </c>
    </row>
    <row r="606" spans="1:21">
      <c r="A606">
        <v>2.7600007221286135E-2</v>
      </c>
      <c r="B606">
        <v>-1.2590723353324771</v>
      </c>
      <c r="C606">
        <v>0.69329366548638338</v>
      </c>
      <c r="D606">
        <v>-5.3186970772000297E-2</v>
      </c>
      <c r="E606">
        <v>-0.15069150819608454</v>
      </c>
      <c r="F606">
        <v>-0.28676688106147868</v>
      </c>
      <c r="G606">
        <v>0.38896607634236924</v>
      </c>
      <c r="H606">
        <v>0.25949272784938471</v>
      </c>
      <c r="I606">
        <v>0.56061368713037041</v>
      </c>
      <c r="J606">
        <v>0.26494564684037225</v>
      </c>
      <c r="L606">
        <v>2.3695480578669641</v>
      </c>
      <c r="M606">
        <v>2.2134459801812225</v>
      </c>
      <c r="N606">
        <v>0.83452595116436901</v>
      </c>
      <c r="P606">
        <v>1.4195948643531592E-12</v>
      </c>
      <c r="R606">
        <v>4.4257581477671515</v>
      </c>
      <c r="S606">
        <v>4.4300562065933597</v>
      </c>
      <c r="T606">
        <v>1</v>
      </c>
      <c r="U606">
        <v>2.4951763290993858</v>
      </c>
    </row>
    <row r="607" spans="1:21">
      <c r="A607">
        <v>2.9576699468166569E-2</v>
      </c>
      <c r="B607">
        <v>-1.2552499305665132</v>
      </c>
      <c r="C607">
        <v>0.68820446813931968</v>
      </c>
      <c r="D607">
        <v>-5.0194800984163172E-2</v>
      </c>
      <c r="E607">
        <v>-3.6017215108672278E-2</v>
      </c>
      <c r="F607">
        <v>-0.58170949470689715</v>
      </c>
      <c r="G607">
        <v>0.18677339007359711</v>
      </c>
      <c r="H607">
        <v>0.61188966744116247</v>
      </c>
      <c r="I607">
        <v>0.77131121857930818</v>
      </c>
      <c r="J607">
        <v>0.160128463361873</v>
      </c>
      <c r="L607">
        <v>2.369547818658611</v>
      </c>
      <c r="M607">
        <v>2.2134460035131802</v>
      </c>
      <c r="N607">
        <v>0.83452586929469563</v>
      </c>
      <c r="P607">
        <v>1.1227662402647705E-12</v>
      </c>
      <c r="R607">
        <v>4.4257581477671515</v>
      </c>
      <c r="S607">
        <v>4.4300562065933597</v>
      </c>
      <c r="T607">
        <v>1</v>
      </c>
      <c r="U607">
        <v>2.4951763290993858</v>
      </c>
    </row>
    <row r="608" spans="1:21">
      <c r="A608">
        <v>3.5051092325433436E-2</v>
      </c>
      <c r="B608">
        <v>-1.2420495481780189</v>
      </c>
      <c r="C608">
        <v>0.70820014526239983</v>
      </c>
      <c r="D608">
        <v>-0.82220055631321254</v>
      </c>
      <c r="E608">
        <v>0.4902542737983499</v>
      </c>
      <c r="F608">
        <v>0.8037994264680911</v>
      </c>
      <c r="G608">
        <v>9.49244979302271E-2</v>
      </c>
      <c r="H608">
        <v>0.67693708640492556</v>
      </c>
      <c r="I608">
        <v>0.82872939933629808</v>
      </c>
      <c r="J608">
        <v>0.94772617488118738</v>
      </c>
      <c r="L608">
        <v>2.3695481611979554</v>
      </c>
      <c r="M608">
        <v>2.2134460149700077</v>
      </c>
      <c r="N608">
        <v>0.83452593612650661</v>
      </c>
      <c r="P608">
        <v>1.6542105099518442E-12</v>
      </c>
      <c r="R608">
        <v>4.4257581477671515</v>
      </c>
      <c r="S608">
        <v>4.4300562065933597</v>
      </c>
      <c r="T608">
        <v>1</v>
      </c>
      <c r="U608">
        <v>2.4951763290993858</v>
      </c>
    </row>
    <row r="609" spans="1:21">
      <c r="A609">
        <v>2.3525870658276514E-2</v>
      </c>
      <c r="B609">
        <v>-1.2512420478194592</v>
      </c>
      <c r="C609">
        <v>0.71854575949574284</v>
      </c>
      <c r="D609">
        <v>0.75976252154647117</v>
      </c>
      <c r="E609">
        <v>-0.75024817758201723</v>
      </c>
      <c r="F609">
        <v>0.18449325150179288</v>
      </c>
      <c r="G609">
        <v>0.93630598688048594</v>
      </c>
      <c r="H609">
        <v>0.85799217262507921</v>
      </c>
      <c r="I609">
        <v>0.57686349223725364</v>
      </c>
      <c r="J609">
        <v>7.1677226963478127E-2</v>
      </c>
      <c r="L609">
        <v>2.36954829896289</v>
      </c>
      <c r="M609">
        <v>2.2134460046375248</v>
      </c>
      <c r="N609">
        <v>0.83452595503812532</v>
      </c>
      <c r="P609">
        <v>1.9075670269980976E-12</v>
      </c>
      <c r="R609">
        <v>4.4257581477671515</v>
      </c>
      <c r="S609">
        <v>4.4300562065933597</v>
      </c>
      <c r="T609">
        <v>1</v>
      </c>
      <c r="U609">
        <v>2.4951763290993858</v>
      </c>
    </row>
    <row r="610" spans="1:21">
      <c r="A610">
        <v>3.7799889294133311E-2</v>
      </c>
      <c r="B610">
        <v>-1.2541433976912102</v>
      </c>
      <c r="C610">
        <v>0.69640211588089429</v>
      </c>
      <c r="D610">
        <v>-0.80064986571874774</v>
      </c>
      <c r="E610">
        <v>0.34751005931905976</v>
      </c>
      <c r="F610">
        <v>-0.31335998429496909</v>
      </c>
      <c r="G610">
        <v>0.42570250252530584</v>
      </c>
      <c r="H610">
        <v>0.6709034974515754</v>
      </c>
      <c r="I610">
        <v>0.40796722752299136</v>
      </c>
      <c r="J610">
        <v>0.86423960188257765</v>
      </c>
      <c r="L610">
        <v>2.369548239074962</v>
      </c>
      <c r="M610">
        <v>2.2134460857551765</v>
      </c>
      <c r="N610">
        <v>0.83452590015254113</v>
      </c>
      <c r="P610">
        <v>1.9284663968948461E-12</v>
      </c>
      <c r="R610">
        <v>4.4257581477671515</v>
      </c>
      <c r="S610">
        <v>4.4300562065933597</v>
      </c>
      <c r="T610">
        <v>1</v>
      </c>
      <c r="U610">
        <v>2.4951763290993858</v>
      </c>
    </row>
    <row r="611" spans="1:21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</row>
    <row r="612" spans="1:21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</row>
    <row r="613" spans="1:21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</row>
    <row r="614" spans="1:21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</row>
    <row r="615" spans="1:21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</row>
    <row r="616" spans="1:21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</row>
    <row r="617" spans="1:21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</row>
    <row r="618" spans="1:21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</row>
    <row r="619" spans="1:21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</row>
    <row r="620" spans="1:21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</row>
    <row r="621" spans="1:21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</row>
    <row r="622" spans="1:21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</row>
    <row r="623" spans="1:21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</row>
    <row r="624" spans="1:21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</row>
    <row r="625" spans="1:21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</row>
    <row r="626" spans="1:21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</row>
    <row r="627" spans="1:21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</row>
    <row r="628" spans="1:21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</row>
    <row r="629" spans="1:21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</row>
    <row r="630" spans="1:21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</row>
    <row r="631" spans="1:21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</row>
    <row r="632" spans="1:21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</row>
    <row r="633" spans="1:21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</row>
    <row r="634" spans="1:21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</row>
    <row r="635" spans="1:21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</row>
    <row r="636" spans="1:21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</row>
    <row r="637" spans="1:21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</row>
    <row r="638" spans="1:21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</row>
    <row r="639" spans="1:21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</row>
    <row r="640" spans="1:21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</row>
    <row r="641" spans="1:21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</row>
    <row r="642" spans="1:21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</row>
    <row r="643" spans="1:21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</row>
    <row r="644" spans="1:21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</row>
    <row r="645" spans="1:21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</row>
    <row r="646" spans="1:21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</row>
    <row r="647" spans="1:21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</row>
    <row r="648" spans="1:21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</row>
    <row r="649" spans="1:21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</row>
    <row r="650" spans="1:21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</row>
    <row r="651" spans="1:21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</row>
    <row r="652" spans="1:21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</row>
    <row r="653" spans="1:21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</row>
    <row r="654" spans="1:21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</row>
    <row r="655" spans="1:21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</row>
    <row r="656" spans="1:21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</row>
    <row r="657" spans="1:21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</row>
    <row r="658" spans="1:21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</row>
    <row r="659" spans="1:21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</row>
    <row r="660" spans="1:21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</row>
    <row r="661" spans="1:21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</row>
    <row r="662" spans="1:21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</row>
    <row r="663" spans="1:21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</row>
    <row r="664" spans="1:21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</row>
    <row r="665" spans="1:21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</row>
    <row r="666" spans="1:21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</row>
    <row r="667" spans="1:21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</row>
    <row r="668" spans="1:21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</row>
    <row r="669" spans="1:21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</row>
    <row r="670" spans="1:21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</row>
    <row r="671" spans="1:21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</row>
    <row r="672" spans="1:21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</row>
    <row r="673" spans="1:21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</row>
    <row r="674" spans="1:21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</row>
    <row r="675" spans="1:21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</row>
    <row r="676" spans="1:21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</row>
    <row r="677" spans="1:21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</row>
    <row r="678" spans="1:21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</row>
    <row r="679" spans="1:21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</row>
    <row r="680" spans="1:21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</row>
    <row r="681" spans="1:21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</row>
    <row r="682" spans="1:21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</row>
    <row r="683" spans="1:21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</row>
    <row r="684" spans="1:21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</row>
    <row r="685" spans="1:21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</row>
    <row r="686" spans="1:21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</row>
    <row r="687" spans="1:21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</row>
    <row r="688" spans="1:21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</row>
    <row r="689" spans="1:21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</row>
    <row r="690" spans="1:21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</row>
    <row r="691" spans="1:21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</row>
    <row r="692" spans="1:21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</row>
    <row r="693" spans="1:21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</row>
    <row r="694" spans="1:21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</row>
    <row r="695" spans="1:21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</row>
    <row r="696" spans="1:21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</row>
    <row r="697" spans="1:21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</row>
    <row r="698" spans="1:21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</row>
    <row r="699" spans="1:21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</row>
    <row r="700" spans="1:21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</row>
    <row r="701" spans="1:21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</row>
    <row r="702" spans="1:21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</row>
    <row r="703" spans="1:21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</row>
    <row r="704" spans="1:21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</row>
    <row r="705" spans="1:21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</row>
    <row r="706" spans="1:21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</row>
    <row r="707" spans="1:21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</row>
    <row r="708" spans="1:21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</row>
    <row r="709" spans="1:21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</row>
    <row r="710" spans="1:21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</row>
    <row r="711" spans="1:21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</row>
    <row r="712" spans="1:21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</row>
    <row r="713" spans="1:21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</row>
    <row r="714" spans="1:21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</row>
    <row r="715" spans="1:21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</row>
    <row r="716" spans="1:21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</row>
    <row r="717" spans="1:21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</row>
    <row r="718" spans="1:21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</row>
    <row r="719" spans="1:21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</row>
    <row r="720" spans="1:21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</row>
    <row r="721" spans="1:21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</row>
    <row r="722" spans="1:21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</row>
    <row r="723" spans="1:21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</row>
    <row r="724" spans="1:21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</row>
    <row r="725" spans="1:21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</row>
    <row r="726" spans="1:21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</row>
    <row r="727" spans="1:21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</row>
    <row r="728" spans="1:21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</row>
    <row r="729" spans="1:21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</row>
    <row r="730" spans="1:21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</row>
    <row r="731" spans="1:21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</row>
    <row r="732" spans="1:21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</row>
    <row r="733" spans="1:21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</row>
    <row r="734" spans="1:21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</row>
    <row r="735" spans="1:21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</row>
    <row r="736" spans="1:21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</row>
    <row r="737" spans="1:21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</row>
    <row r="738" spans="1:21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</row>
    <row r="739" spans="1:21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</row>
    <row r="740" spans="1:21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</row>
    <row r="741" spans="1:21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</row>
    <row r="742" spans="1:21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</row>
    <row r="743" spans="1:21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</row>
    <row r="744" spans="1:21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</row>
    <row r="745" spans="1:21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</row>
    <row r="746" spans="1:21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</row>
    <row r="747" spans="1:21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</row>
    <row r="748" spans="1:21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</row>
    <row r="749" spans="1:21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</row>
    <row r="750" spans="1:21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</row>
    <row r="751" spans="1:21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</row>
    <row r="752" spans="1:21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</row>
    <row r="753" spans="1:21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</row>
    <row r="754" spans="1:21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</row>
    <row r="755" spans="1:21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</row>
    <row r="756" spans="1:21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</row>
    <row r="757" spans="1:21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</row>
    <row r="758" spans="1:21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</row>
    <row r="759" spans="1:21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</row>
    <row r="760" spans="1:21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</row>
    <row r="761" spans="1:21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</row>
    <row r="762" spans="1:21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</row>
    <row r="763" spans="1:21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</row>
    <row r="764" spans="1:21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</row>
    <row r="765" spans="1:21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</row>
    <row r="766" spans="1:21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</row>
    <row r="767" spans="1:21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</row>
    <row r="768" spans="1:21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</row>
    <row r="769" spans="1:21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</row>
    <row r="770" spans="1:21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</row>
    <row r="771" spans="1:21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</row>
    <row r="772" spans="1:21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</row>
    <row r="773" spans="1:21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</row>
    <row r="774" spans="1:21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</row>
    <row r="775" spans="1:21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</row>
    <row r="776" spans="1:21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</row>
    <row r="777" spans="1:21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</row>
    <row r="778" spans="1:21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</row>
    <row r="779" spans="1:21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</row>
    <row r="780" spans="1:21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</row>
    <row r="781" spans="1:21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</row>
    <row r="782" spans="1:21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</row>
    <row r="783" spans="1:21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</row>
    <row r="784" spans="1:21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</row>
    <row r="785" spans="1:21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</row>
    <row r="786" spans="1:21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</row>
    <row r="787" spans="1:21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</row>
    <row r="788" spans="1:21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</row>
    <row r="789" spans="1:21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</row>
    <row r="790" spans="1:21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</row>
    <row r="791" spans="1:21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</row>
    <row r="792" spans="1:21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</row>
    <row r="793" spans="1:21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</row>
    <row r="794" spans="1:21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</row>
    <row r="795" spans="1:21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</row>
    <row r="796" spans="1:21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</row>
    <row r="797" spans="1:21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</row>
    <row r="798" spans="1:21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</row>
    <row r="799" spans="1:21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</row>
    <row r="800" spans="1:21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</row>
    <row r="801" spans="1:21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</row>
    <row r="802" spans="1:21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</row>
    <row r="803" spans="1:21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</row>
    <row r="804" spans="1:21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</row>
    <row r="805" spans="1:21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</row>
    <row r="806" spans="1:21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</row>
    <row r="807" spans="1:21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</row>
    <row r="808" spans="1:21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</row>
    <row r="809" spans="1:21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</row>
    <row r="810" spans="1:21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</row>
    <row r="811" spans="1:21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</row>
    <row r="812" spans="1:21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</row>
    <row r="813" spans="1:21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</row>
    <row r="814" spans="1:21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</row>
    <row r="815" spans="1:21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</row>
    <row r="816" spans="1:21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</row>
    <row r="817" spans="1:21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</row>
    <row r="818" spans="1:21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</row>
    <row r="819" spans="1:21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</row>
    <row r="820" spans="1:21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</row>
    <row r="821" spans="1:21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</row>
    <row r="822" spans="1:21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</row>
    <row r="823" spans="1:21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</row>
    <row r="824" spans="1:21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</row>
    <row r="825" spans="1:21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</row>
    <row r="826" spans="1:21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</row>
    <row r="827" spans="1:21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</row>
    <row r="828" spans="1:21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</row>
    <row r="829" spans="1:21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</row>
    <row r="830" spans="1:21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</row>
    <row r="831" spans="1:21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</row>
    <row r="832" spans="1:21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</row>
    <row r="833" spans="1:21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</row>
    <row r="834" spans="1:21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</row>
    <row r="835" spans="1:21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</row>
    <row r="836" spans="1:21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</row>
    <row r="837" spans="1:21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</row>
    <row r="838" spans="1:21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</row>
    <row r="839" spans="1:21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</row>
    <row r="840" spans="1:21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</row>
    <row r="841" spans="1:21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</row>
    <row r="842" spans="1:21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</row>
    <row r="843" spans="1:21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</row>
    <row r="844" spans="1:21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</row>
    <row r="845" spans="1:21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</row>
    <row r="846" spans="1:21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</row>
    <row r="847" spans="1:21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</row>
    <row r="848" spans="1:21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</row>
    <row r="849" spans="1:21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</row>
    <row r="850" spans="1:21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</row>
    <row r="851" spans="1:21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</row>
    <row r="852" spans="1:21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</row>
    <row r="853" spans="1:21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</row>
    <row r="854" spans="1:21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</row>
    <row r="855" spans="1:21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</row>
    <row r="856" spans="1:21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</row>
    <row r="857" spans="1:21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</row>
    <row r="858" spans="1:21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</row>
    <row r="859" spans="1:21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</row>
    <row r="860" spans="1:21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</row>
    <row r="861" spans="1:21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</row>
    <row r="862" spans="1:21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</row>
    <row r="863" spans="1:21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</row>
    <row r="864" spans="1:21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</row>
    <row r="865" spans="1:21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</row>
    <row r="866" spans="1:21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</row>
    <row r="867" spans="1:21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</row>
    <row r="868" spans="1:21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</row>
    <row r="869" spans="1:21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</row>
    <row r="870" spans="1:21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</row>
    <row r="871" spans="1:21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</row>
    <row r="872" spans="1:21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</row>
    <row r="873" spans="1:21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</row>
    <row r="874" spans="1:21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</row>
    <row r="875" spans="1:21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</row>
    <row r="876" spans="1:21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</row>
    <row r="877" spans="1:21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</row>
    <row r="878" spans="1:21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</row>
    <row r="879" spans="1:21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</row>
    <row r="880" spans="1:21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</row>
    <row r="881" spans="1:21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</row>
    <row r="882" spans="1:21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</row>
    <row r="883" spans="1:21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</row>
    <row r="884" spans="1:21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</row>
    <row r="885" spans="1:21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</row>
    <row r="886" spans="1:21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</row>
    <row r="887" spans="1:21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</row>
    <row r="888" spans="1:21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</row>
    <row r="889" spans="1:21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</row>
    <row r="890" spans="1:21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</row>
    <row r="891" spans="1:21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</row>
    <row r="892" spans="1:21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</row>
    <row r="893" spans="1:21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</row>
    <row r="894" spans="1:21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</row>
    <row r="895" spans="1:21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</row>
    <row r="896" spans="1:21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</row>
    <row r="897" spans="1:21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</row>
    <row r="898" spans="1:21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</row>
    <row r="899" spans="1:21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</row>
    <row r="900" spans="1:21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</row>
    <row r="901" spans="1:21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</row>
    <row r="902" spans="1:21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</row>
    <row r="903" spans="1:21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</row>
    <row r="904" spans="1:21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</row>
    <row r="905" spans="1:21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</row>
    <row r="906" spans="1:21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</row>
    <row r="907" spans="1:21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</row>
    <row r="908" spans="1:21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</row>
    <row r="909" spans="1:21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</row>
    <row r="910" spans="1:21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</row>
    <row r="911" spans="1:21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</row>
    <row r="912" spans="1:21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</row>
    <row r="913" spans="1:21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</row>
    <row r="914" spans="1:21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</row>
    <row r="915" spans="1:21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</row>
    <row r="916" spans="1:21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</row>
    <row r="917" spans="1:21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</row>
    <row r="918" spans="1:21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</row>
    <row r="919" spans="1:21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</row>
    <row r="920" spans="1:21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</row>
    <row r="921" spans="1:21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</row>
    <row r="922" spans="1:21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</row>
    <row r="923" spans="1:21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</row>
    <row r="924" spans="1:21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</row>
    <row r="925" spans="1:21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</row>
    <row r="926" spans="1:21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</row>
    <row r="927" spans="1:21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</row>
    <row r="928" spans="1:21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</row>
    <row r="929" spans="1:21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</row>
    <row r="930" spans="1:21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</row>
    <row r="931" spans="1:21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</row>
    <row r="932" spans="1:21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</row>
    <row r="933" spans="1:21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</row>
    <row r="934" spans="1:21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</row>
    <row r="935" spans="1:21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</row>
    <row r="936" spans="1:21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</row>
    <row r="937" spans="1:21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</row>
    <row r="938" spans="1:21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</row>
    <row r="939" spans="1:21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</row>
    <row r="940" spans="1:21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</row>
    <row r="941" spans="1:21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</row>
    <row r="942" spans="1:21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</row>
    <row r="943" spans="1:21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</row>
    <row r="944" spans="1:21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</row>
    <row r="945" spans="1:21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</row>
    <row r="946" spans="1:21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</row>
    <row r="947" spans="1:21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</row>
    <row r="948" spans="1:21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</row>
    <row r="949" spans="1:21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</row>
    <row r="950" spans="1:21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</row>
    <row r="951" spans="1:21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</row>
    <row r="952" spans="1:21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</row>
    <row r="953" spans="1:21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</row>
    <row r="954" spans="1:21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</row>
    <row r="955" spans="1:21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</row>
    <row r="956" spans="1:21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</row>
    <row r="957" spans="1:21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</row>
    <row r="958" spans="1:21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</row>
    <row r="959" spans="1:21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</row>
    <row r="960" spans="1:21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</row>
    <row r="961" spans="1:21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</row>
    <row r="962" spans="1:21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</row>
    <row r="963" spans="1:21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</row>
    <row r="964" spans="1:21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</row>
    <row r="965" spans="1:21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</row>
    <row r="966" spans="1:21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</row>
    <row r="967" spans="1:21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</row>
    <row r="968" spans="1:21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</row>
    <row r="969" spans="1:21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</row>
    <row r="970" spans="1:21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</row>
    <row r="971" spans="1:21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</row>
    <row r="972" spans="1:21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</row>
    <row r="973" spans="1:21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</row>
    <row r="974" spans="1:21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</row>
    <row r="975" spans="1:21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</row>
    <row r="976" spans="1:21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</row>
    <row r="977" spans="1:21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</row>
    <row r="978" spans="1:21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</row>
    <row r="979" spans="1:21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</row>
    <row r="980" spans="1:21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</row>
    <row r="981" spans="1:21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</row>
    <row r="982" spans="1:21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</row>
    <row r="983" spans="1:21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</row>
    <row r="984" spans="1:21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</row>
    <row r="985" spans="1:21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</row>
    <row r="986" spans="1:21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</row>
    <row r="987" spans="1:21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</row>
    <row r="988" spans="1:21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</row>
    <row r="989" spans="1:21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</row>
    <row r="990" spans="1:21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</row>
    <row r="991" spans="1:21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</row>
    <row r="992" spans="1:21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</row>
    <row r="993" spans="1:21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</row>
    <row r="994" spans="1:21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</row>
    <row r="995" spans="1:21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</row>
    <row r="996" spans="1:21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</row>
    <row r="997" spans="1:21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</row>
    <row r="998" spans="1:21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</row>
    <row r="999" spans="1:21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</row>
    <row r="1000" spans="1:21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</row>
    <row r="1001" spans="1:21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</row>
    <row r="1002" spans="1:21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</row>
    <row r="1003" spans="1:21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</row>
    <row r="1004" spans="1:21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</row>
    <row r="1005" spans="1:21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</row>
    <row r="1006" spans="1:21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</row>
    <row r="1007" spans="1:21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</row>
    <row r="1008" spans="1:21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</row>
    <row r="1009" spans="1:21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</row>
    <row r="1010" spans="1:21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</row>
    <row r="1011" spans="1:21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</row>
    <row r="1012" spans="1:21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</row>
    <row r="1013" spans="1:21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</row>
    <row r="1014" spans="1:21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</row>
    <row r="1015" spans="1:21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</row>
    <row r="1016" spans="1:21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</row>
    <row r="1017" spans="1:21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</row>
    <row r="1018" spans="1:21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</row>
    <row r="1019" spans="1:21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</row>
    <row r="1020" spans="1:21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</row>
    <row r="1021" spans="1:21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</row>
    <row r="1022" spans="1:21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</row>
    <row r="1023" spans="1:21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</row>
    <row r="1024" spans="1:21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</row>
    <row r="1025" spans="1:21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</row>
    <row r="1026" spans="1:21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</row>
    <row r="1027" spans="1:21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</row>
    <row r="1028" spans="1:21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</row>
    <row r="1029" spans="1:21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</row>
    <row r="1030" spans="1:21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</row>
    <row r="1031" spans="1:21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</row>
    <row r="1032" spans="1:21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</row>
    <row r="1033" spans="1:21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</row>
    <row r="1034" spans="1:21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</row>
    <row r="1035" spans="1:21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</row>
    <row r="1036" spans="1:21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</row>
    <row r="1037" spans="1:21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</row>
    <row r="1038" spans="1:21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</row>
    <row r="1039" spans="1:21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</row>
    <row r="1040" spans="1:21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</row>
    <row r="1041" spans="1:21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</row>
    <row r="1042" spans="1:21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</row>
    <row r="1043" spans="1:21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</row>
    <row r="1044" spans="1:21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</row>
    <row r="1045" spans="1:21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</row>
    <row r="1046" spans="1:21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</row>
    <row r="1047" spans="1:21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</row>
    <row r="1048" spans="1:21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</row>
    <row r="1049" spans="1:21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</row>
    <row r="1050" spans="1:21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</row>
    <row r="1051" spans="1:21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</row>
    <row r="1052" spans="1:21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</row>
    <row r="1053" spans="1:21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</row>
    <row r="1054" spans="1:21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</row>
    <row r="1055" spans="1:21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</row>
    <row r="1056" spans="1:21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</row>
    <row r="1057" spans="1:21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</row>
    <row r="1058" spans="1:21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</row>
    <row r="1059" spans="1:21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</row>
    <row r="1060" spans="1:21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</row>
    <row r="1061" spans="1:21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</row>
    <row r="1062" spans="1:21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</row>
    <row r="1063" spans="1:21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</row>
    <row r="1064" spans="1:21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</row>
    <row r="1065" spans="1:21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</row>
    <row r="1066" spans="1:21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</row>
    <row r="1067" spans="1:21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</row>
    <row r="1068" spans="1:21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</row>
    <row r="1069" spans="1:21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</row>
    <row r="1070" spans="1:21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</row>
    <row r="1071" spans="1:21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</row>
    <row r="1072" spans="1:21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</row>
    <row r="1073" spans="1:21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</row>
    <row r="1074" spans="1:21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</row>
    <row r="1075" spans="1:21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</row>
    <row r="1076" spans="1:21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</row>
    <row r="1077" spans="1:21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</row>
    <row r="1078" spans="1:21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</row>
    <row r="1079" spans="1:21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</row>
    <row r="1080" spans="1:21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</row>
    <row r="1081" spans="1:21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</row>
    <row r="1082" spans="1:21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</row>
    <row r="1083" spans="1:21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</row>
    <row r="1084" spans="1:21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</row>
    <row r="1085" spans="1:21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</row>
    <row r="1086" spans="1:21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</row>
    <row r="1087" spans="1:21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</row>
    <row r="1088" spans="1:21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</row>
    <row r="1089" spans="1:21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</row>
    <row r="1090" spans="1:21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</row>
    <row r="1091" spans="1:21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</row>
    <row r="1092" spans="1:21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</row>
    <row r="1093" spans="1:21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</row>
    <row r="1094" spans="1:21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</row>
    <row r="1095" spans="1:21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</row>
    <row r="1096" spans="1:21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</row>
    <row r="1097" spans="1:21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</row>
    <row r="1098" spans="1:21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</row>
    <row r="1099" spans="1:21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</row>
    <row r="1100" spans="1:21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</row>
    <row r="1101" spans="1:21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</row>
    <row r="1102" spans="1:21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</row>
    <row r="1103" spans="1:21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</row>
    <row r="1104" spans="1:21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</row>
    <row r="1105" spans="1:21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</row>
    <row r="1106" spans="1:21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</row>
    <row r="1107" spans="1:21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</row>
    <row r="1108" spans="1:21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</row>
    <row r="1109" spans="1:21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</row>
    <row r="1110" spans="1:21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</row>
    <row r="1111" spans="1:21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</row>
    <row r="1112" spans="1:21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</row>
    <row r="1113" spans="1:21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</row>
    <row r="1114" spans="1:21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</row>
    <row r="1115" spans="1:21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</row>
    <row r="1116" spans="1:21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</row>
    <row r="1117" spans="1:21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</row>
    <row r="1118" spans="1:21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</row>
    <row r="1119" spans="1:21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</row>
    <row r="1120" spans="1:21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</row>
    <row r="1121" spans="1:21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</row>
    <row r="1122" spans="1:21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</row>
    <row r="1123" spans="1:21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</row>
    <row r="1124" spans="1:21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</row>
    <row r="1125" spans="1:21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</row>
    <row r="1126" spans="1:21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</row>
    <row r="1127" spans="1:21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</row>
    <row r="1128" spans="1:21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</row>
    <row r="1129" spans="1:21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</row>
    <row r="1130" spans="1:21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</row>
    <row r="1131" spans="1:21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21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21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21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21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21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65"/>
  <sheetViews>
    <sheetView topLeftCell="C1" zoomScale="70" zoomScaleNormal="70" workbookViewId="0">
      <selection activeCell="F62" sqref="F62"/>
    </sheetView>
  </sheetViews>
  <sheetFormatPr baseColWidth="10" defaultRowHeight="15"/>
  <sheetData>
    <row r="1" spans="1:28">
      <c r="L1" t="s">
        <v>307</v>
      </c>
      <c r="M1" t="s">
        <v>308</v>
      </c>
    </row>
    <row r="2" spans="1:28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8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8">
      <c r="O4" s="14"/>
    </row>
    <row r="5" spans="1:28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34" t="s">
        <v>306</v>
      </c>
      <c r="M5" s="34"/>
      <c r="N5" s="34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8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14">
        <f>ABS(1-U6/T6)</f>
        <v>0.920830269191244</v>
      </c>
      <c r="W6">
        <f>ABS(T6-U6)</f>
        <v>1.0405382041861055</v>
      </c>
      <c r="Y6" s="14">
        <v>0.19775922395344936</v>
      </c>
      <c r="Z6" s="14">
        <v>0.26496251404532645</v>
      </c>
      <c r="AA6" s="14">
        <v>9.2258266352408524E-2</v>
      </c>
      <c r="AB6" s="14">
        <v>0.92712056178642865</v>
      </c>
    </row>
    <row r="7" spans="1:28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14">
        <f t="shared" ref="V7:V65" si="1">ABS(1-U7/T7)</f>
        <v>1.0617645738595178</v>
      </c>
      <c r="W7">
        <f t="shared" ref="W7:W65" si="2">ABS(T7-U7)</f>
        <v>1.1997939684612549</v>
      </c>
      <c r="Y7" s="14">
        <v>1.1187660284884831</v>
      </c>
      <c r="Z7" s="14">
        <v>1.2215492630669389</v>
      </c>
      <c r="AA7" s="14">
        <v>0.93351745542497278</v>
      </c>
      <c r="AB7" s="14">
        <v>1.0428138998657999</v>
      </c>
    </row>
    <row r="8" spans="1:28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14">
        <f t="shared" si="1"/>
        <v>1.1347399242256007</v>
      </c>
      <c r="W8">
        <f t="shared" si="2"/>
        <v>1.2822561143749285</v>
      </c>
      <c r="Y8" s="14">
        <v>0.33278800433489297</v>
      </c>
      <c r="Z8" s="14">
        <v>0.35723748751742757</v>
      </c>
      <c r="AA8" s="14">
        <v>0.29334456200417436</v>
      </c>
      <c r="AB8" s="14">
        <v>1.1475920202620249</v>
      </c>
    </row>
    <row r="9" spans="1:28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14">
        <f t="shared" si="1"/>
        <v>1.1402342927879063</v>
      </c>
      <c r="W9">
        <f t="shared" si="2"/>
        <v>1.2884647508503342</v>
      </c>
      <c r="Y9" s="14">
        <v>0.83139305103271566</v>
      </c>
      <c r="Z9" s="14">
        <v>0.8700511491407632</v>
      </c>
      <c r="AA9" s="14">
        <v>0.69867164048087216</v>
      </c>
      <c r="AB9" s="14">
        <v>1.1173248303023873</v>
      </c>
    </row>
    <row r="10" spans="1:28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14">
        <f t="shared" si="1"/>
        <v>3.2221725832338013</v>
      </c>
      <c r="W10">
        <f t="shared" si="2"/>
        <v>3.6410550190541953</v>
      </c>
      <c r="Y10" s="14">
        <v>0.74381602179238415</v>
      </c>
      <c r="Z10" s="14">
        <v>0.48690671556109311</v>
      </c>
      <c r="AA10" s="14">
        <v>0.61632963309521038</v>
      </c>
      <c r="AB10" s="14">
        <v>3.281777200850895</v>
      </c>
    </row>
    <row r="11" spans="1:28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14">
        <f t="shared" si="1"/>
        <v>1.0225420557605385</v>
      </c>
      <c r="W11">
        <f t="shared" si="2"/>
        <v>1.1554725230094083</v>
      </c>
      <c r="Y11" s="14">
        <v>0.8514034832680859</v>
      </c>
      <c r="Z11" s="14">
        <v>0.90435627955499953</v>
      </c>
      <c r="AA11" s="14">
        <v>0.75675905853767822</v>
      </c>
      <c r="AB11" s="14">
        <v>1.0260616469557156</v>
      </c>
    </row>
    <row r="12" spans="1:28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14">
        <f t="shared" si="1"/>
        <v>0.83953735753517589</v>
      </c>
      <c r="W12">
        <f t="shared" si="2"/>
        <v>0.94867721401474858</v>
      </c>
      <c r="Y12" s="14">
        <v>1.0944351910261303</v>
      </c>
      <c r="Z12" s="14">
        <v>1.1268920100729622</v>
      </c>
      <c r="AA12" s="14">
        <v>0.92993621940905613</v>
      </c>
      <c r="AB12" s="14">
        <v>0.85909237216562007</v>
      </c>
    </row>
    <row r="13" spans="1:28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14">
        <f t="shared" si="1"/>
        <v>0.86385573483449729</v>
      </c>
      <c r="W13">
        <f t="shared" si="2"/>
        <v>0.97615698036298193</v>
      </c>
      <c r="Y13" s="14">
        <v>0.25034610567801474</v>
      </c>
      <c r="Z13" s="14">
        <v>0.28154869190813181</v>
      </c>
      <c r="AA13" s="14">
        <v>0.17576448312762705</v>
      </c>
      <c r="AB13" s="14">
        <v>0.86181097509331139</v>
      </c>
    </row>
    <row r="14" spans="1:28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14">
        <f t="shared" si="1"/>
        <v>0.48833903314200477</v>
      </c>
      <c r="W14">
        <f t="shared" si="2"/>
        <v>0.55182310745046537</v>
      </c>
      <c r="Y14" s="14">
        <v>2.9627218416549237</v>
      </c>
      <c r="Z14" s="14">
        <v>3.1601135617219764</v>
      </c>
      <c r="AA14" s="14">
        <v>1.9850476183695815</v>
      </c>
      <c r="AB14" s="14">
        <v>0.53379094337063626</v>
      </c>
    </row>
    <row r="15" spans="1:28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14">
        <f t="shared" si="1"/>
        <v>0.79233904217991191</v>
      </c>
      <c r="W15">
        <f t="shared" si="2"/>
        <v>0.89534311766330044</v>
      </c>
      <c r="Y15" s="14">
        <v>0.84093524192898417</v>
      </c>
      <c r="Z15" s="14">
        <v>0.85538459218923713</v>
      </c>
      <c r="AA15" s="14">
        <v>0.66619198832382742</v>
      </c>
      <c r="AB15" s="14">
        <v>0.78125840988164508</v>
      </c>
    </row>
    <row r="16" spans="1:28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 s="14">
        <v>4.7600207284819618E-2</v>
      </c>
      <c r="Z16" s="14">
        <v>4.7028476123193386E-2</v>
      </c>
      <c r="AA16" s="14">
        <v>2.1631035731909387E-2</v>
      </c>
      <c r="AB16" s="14">
        <v>0.14349194284703204</v>
      </c>
    </row>
    <row r="17" spans="1:28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 s="14">
        <v>0.58604463358356296</v>
      </c>
      <c r="Z17" s="14">
        <v>0.637622841973565</v>
      </c>
      <c r="AA17" s="14">
        <v>0.48654872620242062</v>
      </c>
      <c r="AB17" s="14">
        <v>0.21071638423276173</v>
      </c>
    </row>
    <row r="18" spans="1:28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 s="14">
        <v>0.14395980935315289</v>
      </c>
      <c r="Z18" s="14">
        <v>0.15205912530746923</v>
      </c>
      <c r="AA18" s="14">
        <v>0.13631453802143767</v>
      </c>
      <c r="AB18" s="14">
        <v>0.27299318046083343</v>
      </c>
    </row>
    <row r="19" spans="1:28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 s="14">
        <v>0.44711025698899731</v>
      </c>
      <c r="Z19" s="14">
        <v>0.46941815397565967</v>
      </c>
      <c r="AA19" s="14">
        <v>0.38862538122503798</v>
      </c>
      <c r="AB19" s="14">
        <v>0.25946742983395366</v>
      </c>
    </row>
    <row r="20" spans="1:28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 s="14">
        <v>0.40963387294650233</v>
      </c>
      <c r="Z20" s="14">
        <v>0.34232339516960919</v>
      </c>
      <c r="AA20" s="14">
        <v>0.43497021782320244</v>
      </c>
      <c r="AB20" s="14">
        <v>1.5394285946414188</v>
      </c>
    </row>
    <row r="21" spans="1:28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 s="14">
        <v>0.44862616085817186</v>
      </c>
      <c r="Z21" s="14">
        <v>0.45178849497892504</v>
      </c>
      <c r="AA21" s="14">
        <v>0.39592177387425087</v>
      </c>
      <c r="AB21" s="14">
        <v>0.19948071127450295</v>
      </c>
    </row>
    <row r="22" spans="1:28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 s="14">
        <v>1.5507935348704454</v>
      </c>
      <c r="Z22" s="14">
        <v>0.90182221832019294</v>
      </c>
      <c r="AA22" s="14">
        <v>0.93720961812825809</v>
      </c>
      <c r="AB22" s="14">
        <v>2.0515811808494897</v>
      </c>
    </row>
    <row r="23" spans="1:28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 s="14">
        <v>0.16576026609867767</v>
      </c>
      <c r="Z23" s="14">
        <v>0.16297992944133188</v>
      </c>
      <c r="AA23" s="14">
        <v>0.19218804588870197</v>
      </c>
      <c r="AB23" s="14">
        <v>0.1214164933398838</v>
      </c>
    </row>
    <row r="24" spans="1:28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 s="14">
        <v>0.65868589726003357</v>
      </c>
      <c r="Z24" s="14">
        <v>0.73631215918135529</v>
      </c>
      <c r="AA24" s="14">
        <v>0.57145056897081781</v>
      </c>
      <c r="AB24" s="14">
        <v>0.17261248623241476</v>
      </c>
    </row>
    <row r="25" spans="1:28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 s="14">
        <v>0.45008984902399862</v>
      </c>
      <c r="Z25" s="14">
        <v>0.45900468633680114</v>
      </c>
      <c r="AA25" s="14">
        <v>0.3733936557901254</v>
      </c>
      <c r="AB25" s="14">
        <v>0.185366913027182</v>
      </c>
    </row>
    <row r="26" spans="1:28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14">
        <f t="shared" si="1"/>
        <v>6.4843193372336794E-2</v>
      </c>
      <c r="W26">
        <f t="shared" si="2"/>
        <v>0.13286370321991825</v>
      </c>
      <c r="Y26" s="14">
        <v>2.5172759568247827E-2</v>
      </c>
      <c r="Z26" s="14">
        <v>3.0021018632500729E-2</v>
      </c>
      <c r="AA26" s="14">
        <v>8.9597124813518558E-3</v>
      </c>
      <c r="AB26" s="14">
        <v>6.0866411866277392E-2</v>
      </c>
    </row>
    <row r="27" spans="1:28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14">
        <f t="shared" si="1"/>
        <v>0.12545929902956954</v>
      </c>
      <c r="W27">
        <f t="shared" si="2"/>
        <v>0.25706610371158778</v>
      </c>
      <c r="Y27" s="14">
        <v>0.53569817711134116</v>
      </c>
      <c r="Z27" s="14">
        <v>0.57428898720793042</v>
      </c>
      <c r="AA27" s="14">
        <v>0.46048743182478091</v>
      </c>
      <c r="AB27" s="14">
        <v>0.12523825062535621</v>
      </c>
    </row>
    <row r="28" spans="1:28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14">
        <f t="shared" si="1"/>
        <v>0.17498873732040554</v>
      </c>
      <c r="W28">
        <f t="shared" si="2"/>
        <v>0.35855192276951087</v>
      </c>
      <c r="Y28" s="14">
        <v>0.11325473095437699</v>
      </c>
      <c r="Z28" s="14">
        <v>0.10590128591981318</v>
      </c>
      <c r="AA28" s="14">
        <v>0.12059511275848878</v>
      </c>
      <c r="AB28" s="14">
        <v>0.1829205130819278</v>
      </c>
    </row>
    <row r="29" spans="1:28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14">
        <f t="shared" si="1"/>
        <v>2.5377518563777013E-2</v>
      </c>
      <c r="W29">
        <f t="shared" si="2"/>
        <v>5.1998535537179258E-2</v>
      </c>
      <c r="Y29" s="14">
        <v>0.48344327669134635</v>
      </c>
      <c r="Z29" s="14">
        <v>0.46338591856218603</v>
      </c>
      <c r="AA29" s="14">
        <v>0.42672461454619026</v>
      </c>
      <c r="AB29" s="14">
        <v>2.6897494410939693E-2</v>
      </c>
    </row>
    <row r="30" spans="1:28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14">
        <f t="shared" si="1"/>
        <v>2.4570108682770542E-2</v>
      </c>
      <c r="W30">
        <f t="shared" si="2"/>
        <v>5.034415269099668E-2</v>
      </c>
      <c r="Y30" s="14">
        <v>5.6004630593689875E-2</v>
      </c>
      <c r="Z30" s="14">
        <v>5.6452475253901735E-2</v>
      </c>
      <c r="AA30" s="14">
        <v>5.8460162531013271E-2</v>
      </c>
      <c r="AB30" s="14">
        <v>2.6642870502165517E-2</v>
      </c>
    </row>
    <row r="31" spans="1:28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14">
        <f t="shared" si="1"/>
        <v>0.1653321539841307</v>
      </c>
      <c r="W31">
        <f t="shared" si="2"/>
        <v>0.33876558351348374</v>
      </c>
      <c r="Y31" s="14">
        <v>1.6188435269124772</v>
      </c>
      <c r="Z31" s="14">
        <v>1.3093967230413619</v>
      </c>
      <c r="AA31" s="14">
        <v>1.1063084288561131</v>
      </c>
      <c r="AB31" s="14">
        <v>0.16004521792284532</v>
      </c>
    </row>
    <row r="32" spans="1:28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14">
        <f t="shared" si="1"/>
        <v>1.3851356851117531</v>
      </c>
      <c r="W32">
        <f t="shared" si="2"/>
        <v>2.8381430187939825</v>
      </c>
      <c r="Y32" s="14">
        <v>1.1237665864940896</v>
      </c>
      <c r="Z32" s="14">
        <v>0.7686039808200229</v>
      </c>
      <c r="AA32" s="14">
        <v>0.74001394090910222</v>
      </c>
      <c r="AB32" s="14">
        <v>1.9130508749388331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14">
        <f t="shared" si="1"/>
        <v>3.7277338524476455E-2</v>
      </c>
      <c r="W33">
        <f t="shared" si="2"/>
        <v>7.6381266636652345E-2</v>
      </c>
      <c r="Y33" s="14">
        <v>0.14983753913044939</v>
      </c>
      <c r="Z33" s="14">
        <v>0.1062625246365152</v>
      </c>
      <c r="AA33" s="14">
        <v>0.17717548365027191</v>
      </c>
      <c r="AB33" s="14">
        <v>4.2783370909130314E-2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14">
        <f t="shared" si="1"/>
        <v>8.5654463399088776E-2</v>
      </c>
      <c r="W34">
        <f t="shared" si="2"/>
        <v>0.17550599550473267</v>
      </c>
      <c r="Y34" s="14">
        <v>0.61291578684764136</v>
      </c>
      <c r="Z34" s="14">
        <v>0.70121855764650354</v>
      </c>
      <c r="AA34" s="14">
        <v>0.52024662543177502</v>
      </c>
      <c r="AB34" s="14">
        <v>9.1651658054434426E-2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14">
        <f t="shared" si="1"/>
        <v>1.3682545010346159E-2</v>
      </c>
      <c r="W35">
        <f t="shared" si="2"/>
        <v>2.8035534726199351E-2</v>
      </c>
      <c r="Y35" s="14">
        <v>0.27876510416381306</v>
      </c>
      <c r="Z35" s="14">
        <v>0.37105118751659405</v>
      </c>
      <c r="AA35" s="14">
        <v>0.23248680634731511</v>
      </c>
      <c r="AB35" s="14">
        <v>9.9964031856007995E-3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 s="14">
        <v>7.0709564556173721E-2</v>
      </c>
      <c r="Z36" s="14">
        <v>6.7213373759518191E-2</v>
      </c>
      <c r="AA36" s="14">
        <v>9.0384488844169386E-2</v>
      </c>
      <c r="AB36" s="14">
        <v>0.17544046650002021</v>
      </c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 s="14">
        <v>0.49966801385006465</v>
      </c>
      <c r="Z37" s="14">
        <v>0.43735482548849336</v>
      </c>
      <c r="AA37" s="14">
        <v>0.47544445831295756</v>
      </c>
      <c r="AB37" s="14">
        <v>0.29508665054353078</v>
      </c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 s="14">
        <v>0.48635876513938148</v>
      </c>
      <c r="Z38" s="14">
        <v>0.37517360268133393</v>
      </c>
      <c r="AA38" s="14">
        <v>0.35812899610183058</v>
      </c>
      <c r="AB38" s="14">
        <v>1.6149439315945795</v>
      </c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 s="14">
        <v>0.67818328895518776</v>
      </c>
      <c r="Z39" s="14">
        <v>0.62043855491707012</v>
      </c>
      <c r="AA39" s="14">
        <v>0.58540516938847298</v>
      </c>
      <c r="AB39" s="14">
        <v>0.13183897740443551</v>
      </c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 s="14">
        <v>0.11343304181302716</v>
      </c>
      <c r="Z40" s="14">
        <v>8.786677216907357E-2</v>
      </c>
      <c r="AA40" s="14">
        <v>0.138214478478766</v>
      </c>
      <c r="AB40" s="14">
        <v>0.13323518242929011</v>
      </c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 s="14">
        <v>0.44874595740324641</v>
      </c>
      <c r="Z41" s="14">
        <v>0.4788187463979634</v>
      </c>
      <c r="AA41" s="14">
        <v>0.42533607947853946</v>
      </c>
      <c r="AB41" s="14">
        <v>8.7303747508959972E-2</v>
      </c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 s="14">
        <v>1.2645811318417794</v>
      </c>
      <c r="Z42" s="14">
        <v>1.0393743674122962</v>
      </c>
      <c r="AA42" s="14">
        <v>0.98722780809194588</v>
      </c>
      <c r="AB42" s="14">
        <v>2.1855805065744938</v>
      </c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 s="14">
        <v>0.19081017566098857</v>
      </c>
      <c r="Z43" s="14">
        <v>0.14458009544302963</v>
      </c>
      <c r="AA43" s="14">
        <v>0.2504707863311364</v>
      </c>
      <c r="AB43" s="14">
        <v>0.15140774567370063</v>
      </c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 s="14">
        <v>0.46394503438544654</v>
      </c>
      <c r="Z44" s="14">
        <v>0.46635280382474464</v>
      </c>
      <c r="AA44" s="14">
        <v>0.4562413448032554</v>
      </c>
      <c r="AB44" s="14">
        <v>0.21504828744397875</v>
      </c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 s="14">
        <v>0.35173190982575364</v>
      </c>
      <c r="Z45" s="14">
        <v>0.3767373614102778</v>
      </c>
      <c r="AA45" s="14">
        <v>0.28514998092883537</v>
      </c>
      <c r="AB45" s="14">
        <v>0.11598254889557613</v>
      </c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14">
        <f t="shared" si="1"/>
        <v>0.31052785785706805</v>
      </c>
      <c r="W46">
        <f t="shared" si="2"/>
        <v>0.54715008554415379</v>
      </c>
      <c r="Y46" s="14">
        <v>0.20958540311081397</v>
      </c>
      <c r="Z46" s="14">
        <v>0.18317532679233861</v>
      </c>
      <c r="AA46" s="14">
        <v>0.23155072148132372</v>
      </c>
      <c r="AB46" s="14">
        <v>0.31095758778726545</v>
      </c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14">
        <f t="shared" si="1"/>
        <v>0.33796942843553035</v>
      </c>
      <c r="W47">
        <f t="shared" si="2"/>
        <v>0.59550213290340448</v>
      </c>
      <c r="Y47" s="14">
        <v>5.4418513873213614E-2</v>
      </c>
      <c r="Z47" s="14">
        <v>6.0513929989820525E-3</v>
      </c>
      <c r="AA47" s="14">
        <v>0.10805831528845711</v>
      </c>
      <c r="AB47" s="14">
        <v>0.35904637303616171</v>
      </c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14">
        <f t="shared" si="1"/>
        <v>0.29407901751622734</v>
      </c>
      <c r="W48">
        <f t="shared" si="2"/>
        <v>0.51816722886359257</v>
      </c>
      <c r="Y48" s="14">
        <v>4.0233354048720082E-2</v>
      </c>
      <c r="Z48" s="14">
        <v>4.0987569293457371E-2</v>
      </c>
      <c r="AA48" s="14">
        <v>6.5714478151841282E-2</v>
      </c>
      <c r="AB48" s="14">
        <v>0.29792538119545342</v>
      </c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14">
        <f t="shared" si="1"/>
        <v>0.19166448422587012</v>
      </c>
      <c r="W49">
        <f t="shared" si="2"/>
        <v>0.337712821205983</v>
      </c>
      <c r="Y49" s="14">
        <v>0.23843182446777078</v>
      </c>
      <c r="Z49" s="14">
        <v>0.1896459549250602</v>
      </c>
      <c r="AA49" s="14">
        <v>0.24100452073040657</v>
      </c>
      <c r="AB49" s="14">
        <v>0.19251417392082804</v>
      </c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14">
        <f t="shared" si="1"/>
        <v>1.1498305529521247E-2</v>
      </c>
      <c r="W50">
        <f t="shared" si="2"/>
        <v>2.0260014343016497E-2</v>
      </c>
      <c r="Y50" s="14">
        <v>1.7279188672696972</v>
      </c>
      <c r="Z50" s="14">
        <v>1.6250420677382635</v>
      </c>
      <c r="AA50" s="14">
        <v>1.3401272142495055</v>
      </c>
      <c r="AB50" s="14">
        <v>1.0088741742160567E-2</v>
      </c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14">
        <f t="shared" si="1"/>
        <v>0.14071053591534088</v>
      </c>
      <c r="W51">
        <f t="shared" si="2"/>
        <v>0.24793196428283082</v>
      </c>
      <c r="Y51" s="14">
        <v>1.9478431142724961E-2</v>
      </c>
      <c r="Z51" s="14">
        <v>3.8225209107592306E-2</v>
      </c>
      <c r="AA51" s="14">
        <v>1.249836735580967E-2</v>
      </c>
      <c r="AB51" s="14">
        <v>0.1422903025022626</v>
      </c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14">
        <f t="shared" si="1"/>
        <v>1.4659021109373183</v>
      </c>
      <c r="W52">
        <f t="shared" si="2"/>
        <v>2.5829195194715546</v>
      </c>
      <c r="Y52" s="14">
        <v>1.6575273875280141</v>
      </c>
      <c r="Z52" s="14">
        <v>0.84373249585831034</v>
      </c>
      <c r="AA52" s="14">
        <v>1.0083878916377249</v>
      </c>
      <c r="AB52" s="14">
        <v>2.3775889498552374</v>
      </c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14">
        <f t="shared" si="1"/>
        <v>0.26814026812389558</v>
      </c>
      <c r="W53">
        <f t="shared" si="2"/>
        <v>0.47246315243430415</v>
      </c>
      <c r="Y53" s="14">
        <v>0.38813120133049672</v>
      </c>
      <c r="Z53" s="14">
        <v>0.48610473632996376</v>
      </c>
      <c r="AA53" s="14">
        <v>0.34379440878615175</v>
      </c>
      <c r="AB53" s="14">
        <v>0.26874269336638257</v>
      </c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14">
        <f t="shared" si="1"/>
        <v>0.2764404363092221</v>
      </c>
      <c r="W54">
        <f t="shared" si="2"/>
        <v>0.48708804877684919</v>
      </c>
      <c r="Y54" s="14">
        <v>4.8207155261958956E-2</v>
      </c>
      <c r="Z54" s="14">
        <v>3.7251766543626053E-2</v>
      </c>
      <c r="AA54" s="14">
        <v>7.5138671700305082E-2</v>
      </c>
      <c r="AB54" s="14">
        <v>0.28341950576052821</v>
      </c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14">
        <f t="shared" si="1"/>
        <v>0.16674539276064504</v>
      </c>
      <c r="W55">
        <f t="shared" si="2"/>
        <v>0.29380538204425655</v>
      </c>
      <c r="Y55" s="14">
        <v>4.4678645488505864E-2</v>
      </c>
      <c r="Z55" s="14">
        <v>1.2693169496909018E-2</v>
      </c>
      <c r="AA55" s="14">
        <v>7.1675642790044791E-2</v>
      </c>
      <c r="AB55" s="14">
        <v>0.17396668713448382</v>
      </c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 s="14">
        <v>0.32186388096546881</v>
      </c>
      <c r="Z56" s="14">
        <v>0.3464435591700985</v>
      </c>
      <c r="AA56" s="14">
        <v>0.29555972408338738</v>
      </c>
      <c r="AB56" s="14">
        <v>0.6077952157860349</v>
      </c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 s="14">
        <v>0.67361721140803166</v>
      </c>
      <c r="Z57" s="14">
        <v>0.64080363054988343</v>
      </c>
      <c r="AA57" s="14">
        <v>0.62083520479426468</v>
      </c>
      <c r="AB57" s="14">
        <v>2.2212525946597319</v>
      </c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 s="14">
        <v>0.68854264661157516</v>
      </c>
      <c r="Z58" s="14">
        <v>0.71944864832968602</v>
      </c>
      <c r="AA58" s="14">
        <v>0.62465305686204919</v>
      </c>
      <c r="AB58" s="14">
        <v>0.51517732772800762</v>
      </c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 s="14">
        <v>0.2489450543464129</v>
      </c>
      <c r="Z59" s="14">
        <v>0.24895338455804916</v>
      </c>
      <c r="AA59" s="14">
        <v>0.22620894162204386</v>
      </c>
      <c r="AB59" s="14">
        <v>0.39674644366095402</v>
      </c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 s="14">
        <v>1.9938067654089777</v>
      </c>
      <c r="Z60" s="14">
        <v>2.3286427243881014</v>
      </c>
      <c r="AA60" s="14">
        <v>1.5027960637360041</v>
      </c>
      <c r="AB60" s="14">
        <v>0.15033099940383332</v>
      </c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 s="14">
        <v>0.67000479528817314</v>
      </c>
      <c r="Z61" s="14">
        <v>0.7372810511411565</v>
      </c>
      <c r="AA61" s="14">
        <v>0.53297212731393828</v>
      </c>
      <c r="AB61" s="14">
        <v>0.33460252233771026</v>
      </c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 s="14">
        <v>0.36316340062240449</v>
      </c>
      <c r="Z62" s="14">
        <v>0.3340597810798791</v>
      </c>
      <c r="AA62" s="14">
        <v>0.38922874682900566</v>
      </c>
      <c r="AB62" s="14">
        <v>0.41421514936275439</v>
      </c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 s="14">
        <v>1.0081116020352101</v>
      </c>
      <c r="Z63" s="14">
        <v>0.99575716924555513</v>
      </c>
      <c r="AA63" s="14">
        <v>0.77850435088932168</v>
      </c>
      <c r="AB63" s="14">
        <v>0.48071909263916957</v>
      </c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 s="14">
        <v>0.71296579133441584</v>
      </c>
      <c r="Z64" s="14">
        <v>0.78382952526989413</v>
      </c>
      <c r="AA64" s="14">
        <v>0.58664809798312834</v>
      </c>
      <c r="AB64" s="14">
        <v>0.49881516029111483</v>
      </c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 s="14">
        <v>0.58786346922832489</v>
      </c>
      <c r="Z65" s="14">
        <v>0.55984860871317843</v>
      </c>
      <c r="AA65" s="14">
        <v>0.39285316166329753</v>
      </c>
      <c r="AB65" s="14">
        <v>0.37073107136772032</v>
      </c>
    </row>
  </sheetData>
  <mergeCells count="1">
    <mergeCell ref="L5:N5"/>
  </mergeCells>
  <conditionalFormatting sqref="V6:V65">
    <cfRule type="iconSet" priority="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6:Z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Y6:Y65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6:AA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6:AB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U18"/>
  <sheetViews>
    <sheetView workbookViewId="0">
      <selection activeCell="Q11" sqref="Q11:Q18"/>
    </sheetView>
  </sheetViews>
  <sheetFormatPr baseColWidth="10" defaultRowHeight="15"/>
  <sheetData>
    <row r="2" spans="1:21">
      <c r="A2">
        <v>1</v>
      </c>
      <c r="B2" s="16">
        <v>-30.441860465116278</v>
      </c>
      <c r="C2" s="16">
        <v>-16.380549682875266</v>
      </c>
      <c r="D2">
        <v>3.7</v>
      </c>
      <c r="E2">
        <f>100/SQRT(B2^2+(C2*$D$2)^2)</f>
        <v>1.4744130496404566</v>
      </c>
      <c r="F2">
        <f>B2*E2</f>
        <v>-44.88387632510134</v>
      </c>
      <c r="G2">
        <f>C2*E2</f>
        <v>-24.151696212715134</v>
      </c>
      <c r="I2">
        <f>ASIN(F2/100)</f>
        <v>-0.46546542890213205</v>
      </c>
      <c r="J2">
        <f>ASIN(G2/100)</f>
        <v>-0.2439287870210983</v>
      </c>
      <c r="L2">
        <f>IF(F2&gt;0,(I2*-1)+(PI()/2),I2+(1.5*PI()))</f>
        <v>4.2469235514825581</v>
      </c>
      <c r="M2">
        <f>IF(G2&gt;0,(J2*-1)+(PI()/2),J2+(1.5*PI()))</f>
        <v>4.4684601933635912</v>
      </c>
      <c r="O2" t="str">
        <f>COMPLEX(B2,C2*$D$2)</f>
        <v>-30,4418604651163-60,6080338266385i</v>
      </c>
      <c r="P2">
        <f>IMARGUMENT(O2)</f>
        <v>-2.0362617556970291</v>
      </c>
      <c r="Q2">
        <f>IF( AND($B2&gt;0, $C2&gt;0),$P2,IF( AND($B2&lt;0,$C2&gt;0),$P2+PI()/2,IF( AND($B2&gt;0,$C2&lt;0),$P2+2*PI(),IF( AND($B2&lt;0,$C2&lt;0),$P2+2*PI(),0))))/(2*PI())</f>
        <v>0.67591887615183643</v>
      </c>
      <c r="R2" t="str">
        <f>IF( AND($B2&gt;0, $C2&gt;0),"Q1",IF( AND($B2&lt;0,$C2&gt;0),"Q2",IF( AND($B2&lt;0,$C2&lt;0),"Q3",IF( AND($B2&gt;0,$C2&lt;0),"Q4",0))))</f>
        <v>Q3</v>
      </c>
      <c r="S2">
        <f>PI()/2</f>
        <v>1.5707963267948966</v>
      </c>
      <c r="U2" s="29">
        <f>IF(AND($B2&gt;0,$C2&gt;0),$P2,IF(AND($B2&lt;0,$C2&gt;0),$P2+PI()/2,IF(AND($B2&gt;0,$C2&lt;0),$P2+2*PI(),IF(AND($B2&lt;0,$C2&lt;0),$P2+2*PI(),0))))</f>
        <v>4.2469235514825572</v>
      </c>
    </row>
    <row r="3" spans="1:21">
      <c r="A3">
        <v>2</v>
      </c>
      <c r="B3" s="16" t="e">
        <v>#N/A</v>
      </c>
      <c r="C3" s="16" t="e">
        <v>#N/A</v>
      </c>
      <c r="E3">
        <v>0</v>
      </c>
      <c r="F3" t="e">
        <f t="shared" ref="F3:F9" si="0">B3*E3</f>
        <v>#N/A</v>
      </c>
      <c r="G3" t="e">
        <f t="shared" ref="G3:G9" si="1">C3*E3</f>
        <v>#N/A</v>
      </c>
      <c r="I3" t="e">
        <f t="shared" ref="I3:I9" si="2">ASIN(F3/100)</f>
        <v>#N/A</v>
      </c>
      <c r="J3" t="e">
        <f t="shared" ref="J3:J9" si="3">ASIN(G3/100)</f>
        <v>#N/A</v>
      </c>
      <c r="L3" t="e">
        <f t="shared" ref="L3:L9" si="4">IF(F3&gt;0,(I3*-1)+(PI()/2),I3+(1.5*PI()))</f>
        <v>#N/A</v>
      </c>
      <c r="M3" t="e">
        <f t="shared" ref="M3:M9" si="5">IF(G3&gt;0,(J3*-1)+(PI()/2),J3+(1.5*PI()))</f>
        <v>#N/A</v>
      </c>
      <c r="O3" t="e">
        <f t="shared" ref="O3:O9" si="6">COMPLEX(B3,C3*$D$2)</f>
        <v>#N/A</v>
      </c>
      <c r="P3" t="e">
        <f t="shared" ref="P3:P9" si="7">IMARGUMENT(O3)</f>
        <v>#N/A</v>
      </c>
      <c r="Q3" t="e">
        <f t="shared" ref="Q3:Q9" si="8">IF( AND($B3&gt;0, $C3&gt;0),$P3,IF( AND($B3&lt;0,$C3&gt;0),$P3+PI()/2,IF( AND($B3&gt;0,$C3&lt;0),$P3+2*PI(),IF( AND($B3&lt;0,$C3&lt;0),$P3+2*PI(),0))))/(2*PI())</f>
        <v>#N/A</v>
      </c>
      <c r="R3" t="e">
        <f t="shared" ref="R3:R9" si="9">IF( AND($B3&gt;0, $C3&gt;0),"Q1",IF( AND($B3&lt;0,$C3&gt;0),"Q2",IF( AND($B3&lt;0,$C3&lt;0),"Q3",IF( AND($B3&gt;0,$C3&lt;0),"Q4",0))))</f>
        <v>#N/A</v>
      </c>
      <c r="S3">
        <f>PI()/1</f>
        <v>3.1415926535897931</v>
      </c>
      <c r="U3" s="29" t="e">
        <f t="shared" ref="U3:U9" si="10">IF(AND($B3&gt;0,$C3&gt;0),$P3,IF(AND($B3&lt;0,$C3&gt;0),$P3+PI()/2,IF(AND($B3&gt;0,$C3&lt;0),$P3+2*PI(),IF(AND($B3&lt;0,$C3&lt;0),$P3+2*PI(),0))))</f>
        <v>#N/A</v>
      </c>
    </row>
    <row r="4" spans="1:21">
      <c r="A4">
        <v>3</v>
      </c>
      <c r="B4" s="16">
        <v>-12.232758620689655</v>
      </c>
      <c r="C4" s="16">
        <v>3.6724137931034484</v>
      </c>
      <c r="E4">
        <f t="shared" ref="E4:E9" si="11">100/SQRT(B4^2+(C4*$D$2)^2)</f>
        <v>5.4695278188531802</v>
      </c>
      <c r="F4">
        <f t="shared" si="0"/>
        <v>-66.907413577178119</v>
      </c>
      <c r="G4">
        <f t="shared" si="1"/>
        <v>20.086369403719438</v>
      </c>
      <c r="I4">
        <f t="shared" si="2"/>
        <v>-0.73296229976672811</v>
      </c>
      <c r="J4">
        <f t="shared" si="3"/>
        <v>0.20223950426150231</v>
      </c>
      <c r="L4">
        <f t="shared" si="4"/>
        <v>3.9794266806179617</v>
      </c>
      <c r="M4">
        <f t="shared" si="5"/>
        <v>1.3685568225333942</v>
      </c>
      <c r="O4" t="str">
        <f t="shared" si="6"/>
        <v>-12,2327586206897+13,5879310344828i</v>
      </c>
      <c r="P4">
        <f t="shared" si="7"/>
        <v>2.303758626561625</v>
      </c>
      <c r="Q4">
        <f t="shared" si="8"/>
        <v>0.61665457310787841</v>
      </c>
      <c r="R4" t="str">
        <f t="shared" si="9"/>
        <v>Q2</v>
      </c>
      <c r="S4">
        <f>S2+S3</f>
        <v>4.7123889803846897</v>
      </c>
      <c r="U4" s="29">
        <f t="shared" si="10"/>
        <v>3.8745549533565216</v>
      </c>
    </row>
    <row r="5" spans="1:21">
      <c r="A5">
        <v>4</v>
      </c>
      <c r="B5" s="16">
        <v>-4.4375</v>
      </c>
      <c r="C5" s="16">
        <v>-0.34375</v>
      </c>
      <c r="E5">
        <f t="shared" si="11"/>
        <v>21.66295656252726</v>
      </c>
      <c r="F5">
        <f t="shared" si="0"/>
        <v>-96.129369746214721</v>
      </c>
      <c r="G5">
        <f t="shared" si="1"/>
        <v>-7.4466413183687452</v>
      </c>
      <c r="I5">
        <f t="shared" si="2"/>
        <v>-1.2916597700867156</v>
      </c>
      <c r="J5">
        <f t="shared" si="3"/>
        <v>-7.4535407928091865E-2</v>
      </c>
      <c r="L5">
        <f t="shared" si="4"/>
        <v>3.4207292102979743</v>
      </c>
      <c r="M5">
        <f t="shared" si="5"/>
        <v>4.6378535724565975</v>
      </c>
      <c r="O5" t="str">
        <f t="shared" si="6"/>
        <v>-4,4375-1,271875i</v>
      </c>
      <c r="P5">
        <f t="shared" si="7"/>
        <v>-2.8624560968816124</v>
      </c>
      <c r="Q5">
        <f t="shared" si="8"/>
        <v>0.54442596279775812</v>
      </c>
      <c r="R5" t="str">
        <f t="shared" si="9"/>
        <v>Q3</v>
      </c>
      <c r="S5">
        <f>PI()/0.5</f>
        <v>6.2831853071795862</v>
      </c>
      <c r="U5" s="29">
        <f t="shared" si="10"/>
        <v>3.4207292102979738</v>
      </c>
    </row>
    <row r="6" spans="1:21">
      <c r="A6">
        <v>5</v>
      </c>
      <c r="B6" s="16">
        <v>14.42443729903537</v>
      </c>
      <c r="C6" s="16">
        <v>-14.260450160771704</v>
      </c>
      <c r="E6">
        <f t="shared" si="11"/>
        <v>1.8281600419752557</v>
      </c>
      <c r="F6">
        <f t="shared" si="0"/>
        <v>26.370179898073946</v>
      </c>
      <c r="G6">
        <f t="shared" si="1"/>
        <v>-26.07038516450244</v>
      </c>
      <c r="I6">
        <f t="shared" si="2"/>
        <v>0.26685783627795612</v>
      </c>
      <c r="J6">
        <f t="shared" si="3"/>
        <v>-0.26375119473934089</v>
      </c>
      <c r="L6">
        <f t="shared" si="4"/>
        <v>1.3039384905169404</v>
      </c>
      <c r="M6">
        <f t="shared" si="5"/>
        <v>4.4486377856453485</v>
      </c>
      <c r="O6" t="str">
        <f t="shared" si="6"/>
        <v>14,4244372990354-52,7636655948553i</v>
      </c>
      <c r="P6">
        <f t="shared" si="7"/>
        <v>-1.30393849051694</v>
      </c>
      <c r="Q6">
        <f t="shared" si="8"/>
        <v>0.79247174374644458</v>
      </c>
      <c r="R6" t="str">
        <f t="shared" si="9"/>
        <v>Q4</v>
      </c>
      <c r="U6" s="29">
        <f t="shared" si="10"/>
        <v>4.9792468166626467</v>
      </c>
    </row>
    <row r="7" spans="1:21">
      <c r="A7">
        <v>6</v>
      </c>
      <c r="B7" s="16">
        <v>38.125</v>
      </c>
      <c r="C7" s="16">
        <v>-29.387681159420289</v>
      </c>
      <c r="E7">
        <f t="shared" si="11"/>
        <v>0.86787083912676255</v>
      </c>
      <c r="F7">
        <f t="shared" si="0"/>
        <v>33.087575741707823</v>
      </c>
      <c r="G7">
        <f t="shared" si="1"/>
        <v>-25.504711507815838</v>
      </c>
      <c r="I7">
        <f t="shared" si="2"/>
        <v>0.33723145364304968</v>
      </c>
      <c r="J7">
        <f t="shared" si="3"/>
        <v>-0.25789642942544172</v>
      </c>
      <c r="L7">
        <f t="shared" si="4"/>
        <v>1.2335648731518469</v>
      </c>
      <c r="M7">
        <f t="shared" si="5"/>
        <v>4.4544925509592481</v>
      </c>
      <c r="O7" t="str">
        <f t="shared" si="6"/>
        <v>38,125-108,734420289855i</v>
      </c>
      <c r="P7">
        <f t="shared" si="7"/>
        <v>-1.2335648731518467</v>
      </c>
      <c r="Q7">
        <f t="shared" si="8"/>
        <v>0.80367205281335663</v>
      </c>
      <c r="R7" t="str">
        <f t="shared" si="9"/>
        <v>Q4</v>
      </c>
      <c r="U7" s="29">
        <f t="shared" si="10"/>
        <v>5.0496204340277391</v>
      </c>
    </row>
    <row r="8" spans="1:21">
      <c r="A8">
        <v>7</v>
      </c>
      <c r="B8" s="16" t="e">
        <v>#N/A</v>
      </c>
      <c r="C8" s="16" t="e">
        <v>#N/A</v>
      </c>
      <c r="E8">
        <v>0</v>
      </c>
      <c r="F8" t="e">
        <f t="shared" si="0"/>
        <v>#N/A</v>
      </c>
      <c r="G8" t="e">
        <f t="shared" si="1"/>
        <v>#N/A</v>
      </c>
      <c r="I8" t="e">
        <f t="shared" si="2"/>
        <v>#N/A</v>
      </c>
      <c r="J8" t="e">
        <f t="shared" si="3"/>
        <v>#N/A</v>
      </c>
      <c r="L8" t="e">
        <f t="shared" si="4"/>
        <v>#N/A</v>
      </c>
      <c r="M8" t="e">
        <f t="shared" si="5"/>
        <v>#N/A</v>
      </c>
      <c r="O8" t="e">
        <f t="shared" si="6"/>
        <v>#N/A</v>
      </c>
      <c r="P8" t="e">
        <f t="shared" si="7"/>
        <v>#N/A</v>
      </c>
      <c r="Q8" t="e">
        <f t="shared" si="8"/>
        <v>#N/A</v>
      </c>
      <c r="R8" t="e">
        <f t="shared" si="9"/>
        <v>#N/A</v>
      </c>
      <c r="U8" s="29" t="e">
        <f t="shared" si="10"/>
        <v>#N/A</v>
      </c>
    </row>
    <row r="9" spans="1:21">
      <c r="A9">
        <v>8</v>
      </c>
      <c r="B9" s="16">
        <v>-18.798816568047336</v>
      </c>
      <c r="C9" s="16">
        <v>-30.363905325443788</v>
      </c>
      <c r="E9">
        <f t="shared" si="11"/>
        <v>0.87789849399406761</v>
      </c>
      <c r="F9">
        <f t="shared" si="0"/>
        <v>-16.503452753959483</v>
      </c>
      <c r="G9">
        <f t="shared" si="1"/>
        <v>-26.65642675698555</v>
      </c>
      <c r="I9">
        <f t="shared" si="2"/>
        <v>-0.16579301877774696</v>
      </c>
      <c r="J9">
        <f t="shared" si="3"/>
        <v>-0.26982655099028685</v>
      </c>
      <c r="L9">
        <f t="shared" si="4"/>
        <v>4.5465959616069425</v>
      </c>
      <c r="M9">
        <f t="shared" si="5"/>
        <v>4.4425624293944033</v>
      </c>
      <c r="O9" t="str">
        <f t="shared" si="6"/>
        <v>-18,7988165680473-112,346449704142i</v>
      </c>
      <c r="P9">
        <f t="shared" si="7"/>
        <v>-1.7365893455726431</v>
      </c>
      <c r="Q9">
        <f t="shared" si="8"/>
        <v>0.72361322153139429</v>
      </c>
      <c r="R9" t="str">
        <f t="shared" si="9"/>
        <v>Q3</v>
      </c>
      <c r="U9" s="29">
        <f t="shared" si="10"/>
        <v>4.5465959616069433</v>
      </c>
    </row>
    <row r="11" spans="1:21">
      <c r="O11" t="str">
        <f>COMPLEX(C2,B2*$D$2)</f>
        <v>-16,3805496828753-112,63488372093i</v>
      </c>
      <c r="P11">
        <f>IMARGUMENT(O11)</f>
        <v>-1.7152143771771666</v>
      </c>
      <c r="Q11" s="28">
        <f>IF( AND($C2&gt;0, $B2&gt;0),$P11,IF( AND($C2&lt;0,$B2&gt;0),$P11+PI()/2,IF( AND($C2&gt;0,$B2&lt;0),$P11+2*PI(),IF( AND($C2&lt;0,$B2&lt;0),$P11+2*PI(),0))))</f>
        <v>4.5679709300024198</v>
      </c>
    </row>
    <row r="12" spans="1:21">
      <c r="O12" t="e">
        <f t="shared" ref="O12:O18" si="12">COMPLEX(C3,B3*$D$2)</f>
        <v>#N/A</v>
      </c>
      <c r="P12" t="e">
        <f t="shared" ref="P12:P18" si="13">IMARGUMENT(O12)</f>
        <v>#N/A</v>
      </c>
      <c r="Q12" s="28" t="e">
        <f t="shared" ref="Q12:Q18" si="14">IF( AND($C3&gt;0, $B3&gt;0),$P12,IF( AND($C3&lt;0,$B3&gt;0),$P12+PI()/2,IF( AND($C3&gt;0,$B3&lt;0),$P12+2*PI(),IF( AND($C3&lt;0,$B3&lt;0),$P12+2*PI(),0))))</f>
        <v>#N/A</v>
      </c>
    </row>
    <row r="13" spans="1:21">
      <c r="O13" t="str">
        <f t="shared" si="12"/>
        <v>3,67241379310345-45,2612068965517i</v>
      </c>
      <c r="P13">
        <f t="shared" si="13"/>
        <v>-1.4898354614993488</v>
      </c>
      <c r="Q13" s="28">
        <f t="shared" si="14"/>
        <v>4.7933498456802379</v>
      </c>
    </row>
    <row r="14" spans="1:21">
      <c r="O14" t="str">
        <f t="shared" si="12"/>
        <v>-0,34375-16,41875i</v>
      </c>
      <c r="P14">
        <f t="shared" si="13"/>
        <v>-1.5917296979361701</v>
      </c>
      <c r="Q14" s="28">
        <f t="shared" si="14"/>
        <v>4.6914556092434161</v>
      </c>
    </row>
    <row r="15" spans="1:21">
      <c r="O15" t="str">
        <f t="shared" si="12"/>
        <v>-14,2604501607717+53,3704180064309i</v>
      </c>
      <c r="P15">
        <f t="shared" si="13"/>
        <v>1.8318943823800464</v>
      </c>
      <c r="Q15" s="28">
        <f t="shared" si="14"/>
        <v>3.402690709174943</v>
      </c>
    </row>
    <row r="16" spans="1:21">
      <c r="O16" t="str">
        <f t="shared" si="12"/>
        <v>-29,3876811594203+141,0625i</v>
      </c>
      <c r="P16">
        <f t="shared" si="13"/>
        <v>1.7761894081811083</v>
      </c>
      <c r="Q16" s="28">
        <f t="shared" si="14"/>
        <v>3.3469857349760046</v>
      </c>
    </row>
    <row r="17" spans="15:17">
      <c r="O17" t="e">
        <f t="shared" si="12"/>
        <v>#N/A</v>
      </c>
      <c r="P17" t="e">
        <f t="shared" si="13"/>
        <v>#N/A</v>
      </c>
      <c r="Q17" s="28" t="e">
        <f t="shared" si="14"/>
        <v>#N/A</v>
      </c>
    </row>
    <row r="18" spans="15:17">
      <c r="O18" t="str">
        <f t="shared" si="12"/>
        <v>-30,3639053254438-69,5556213017751i</v>
      </c>
      <c r="P18">
        <f t="shared" si="13"/>
        <v>-1.9824018538991237</v>
      </c>
      <c r="Q18" s="28">
        <f t="shared" si="14"/>
        <v>4.300783453280463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5"/>
  <dimension ref="A1:AE1122"/>
  <sheetViews>
    <sheetView zoomScale="70" zoomScaleNormal="70" workbookViewId="0">
      <selection activeCell="M1" sqref="M1:Q1048576"/>
    </sheetView>
  </sheetViews>
  <sheetFormatPr baseColWidth="10" defaultRowHeight="15"/>
  <cols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 t="s">
        <v>0</v>
      </c>
      <c r="M1" s="30">
        <v>1.4990492230334603E-2</v>
      </c>
      <c r="N1" s="1" t="s">
        <v>1</v>
      </c>
      <c r="O1" s="30">
        <v>4.7716218756768064E-3</v>
      </c>
    </row>
    <row r="2" spans="1:31" s="31" customFormat="1" ht="18.75">
      <c r="A2" s="31" t="s">
        <v>316</v>
      </c>
      <c r="M2" s="31" t="s">
        <v>317</v>
      </c>
      <c r="S2" s="32" t="s">
        <v>318</v>
      </c>
      <c r="T2" s="32" t="s">
        <v>321</v>
      </c>
      <c r="U2" s="31" t="s">
        <v>319</v>
      </c>
      <c r="X2" s="31" t="s">
        <v>320</v>
      </c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 t="array" ref="M3:O5">SVDD(B3:K5)</f>
        <v>2.311952759258312</v>
      </c>
      <c r="N3">
        <v>0</v>
      </c>
      <c r="O3">
        <v>0</v>
      </c>
      <c r="Q3">
        <f>MAX(M3,N4,O5)/MIN(M3,N4,O5)</f>
        <v>4.1355852183090951</v>
      </c>
      <c r="S3" s="3">
        <f ca="1">OFFSET($Q$3,4*(ROW(A1)-1),0,1,1)</f>
        <v>4.1355852183090951</v>
      </c>
      <c r="T3" s="3">
        <f ca="1">S3/$U$3</f>
        <v>1.5336782812660701E-2</v>
      </c>
      <c r="U3">
        <f ca="1">MAX(S3:S282)</f>
        <v>269.6514170426355</v>
      </c>
      <c r="X3" s="3">
        <f t="shared" ref="X3:X37" ca="1" si="0">OFFSET($S3,(COLUMN(A1)-1)*35,0,1,1)/$U$3</f>
        <v>1.5336782812660701E-2</v>
      </c>
      <c r="Y3" s="3">
        <f t="shared" ref="Y3:Y37" ca="1" si="1">OFFSET($S3,(COLUMN(B1)-1)*35,0,1,1)/$U$3</f>
        <v>1.5004110023245382E-2</v>
      </c>
      <c r="Z3" s="3">
        <f t="shared" ref="Z3:Z37" ca="1" si="2">OFFSET($S3,(COLUMN(C1)-1)*35,0,1,1)/$U$3</f>
        <v>2.4262381951518065E-2</v>
      </c>
      <c r="AA3" s="3">
        <f t="shared" ref="AA3:AA37" ca="1" si="3">OFFSET($S3,(COLUMN(D1)-1)*35,0,1,1)/$U$3</f>
        <v>1.9362250914312061E-2</v>
      </c>
      <c r="AB3" s="3">
        <f t="shared" ref="AB3:AB37" ca="1" si="4">OFFSET($S3,(COLUMN(E1)-1)*35,0,1,1)/$U$3</f>
        <v>2.1962840362186178E-2</v>
      </c>
      <c r="AC3" s="3">
        <f t="shared" ref="AC3:AC37" ca="1" si="5">OFFSET($S3,(COLUMN(F1)-1)*35,0,1,1)/$U$3</f>
        <v>2.5010007206860682E-2</v>
      </c>
      <c r="AD3" s="3">
        <f t="shared" ref="AD3:AD37" ca="1" si="6">OFFSET($S3,(COLUMN(G1)-1)*35,0,1,1)/$U$3</f>
        <v>2.3341724401396424E-2</v>
      </c>
      <c r="AE3" s="3">
        <f t="shared" ref="AE3:AE37" ca="1" si="7">OFFSET($S3,(COLUMN(H1)-1)*35,0,1,1)/$U$3</f>
        <v>2.597480451106688E-2</v>
      </c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M4">
        <v>0</v>
      </c>
      <c r="N4">
        <v>1.1385817859715293</v>
      </c>
      <c r="O4">
        <v>0</v>
      </c>
      <c r="S4" s="3">
        <f ca="1">OFFSET($Q$3,4*(ROW(A2)-1),0,1,1)</f>
        <v>3.6952824527412931</v>
      </c>
      <c r="T4" s="3">
        <f t="shared" ref="T4:T67" ca="1" si="8">S4/$U$3</f>
        <v>1.3703923729638771E-2</v>
      </c>
      <c r="U4">
        <f ca="1">MIN(S4:S283)</f>
        <v>2.2220771841939322</v>
      </c>
      <c r="X4" s="3">
        <f t="shared" ca="1" si="0"/>
        <v>1.3703923729638771E-2</v>
      </c>
      <c r="Y4" s="3">
        <f t="shared" ca="1" si="1"/>
        <v>2.430594412855628E-2</v>
      </c>
      <c r="Z4" s="3">
        <f t="shared" ca="1" si="2"/>
        <v>1.4099934575997819E-2</v>
      </c>
      <c r="AA4" s="3">
        <f t="shared" ca="1" si="3"/>
        <v>2.5555664588939285E-2</v>
      </c>
      <c r="AB4" s="3">
        <f t="shared" ca="1" si="4"/>
        <v>3.892277227524156E-2</v>
      </c>
      <c r="AC4" s="3">
        <f t="shared" ca="1" si="5"/>
        <v>9.2173598574872215E-2</v>
      </c>
      <c r="AD4" s="3">
        <f t="shared" ca="1" si="6"/>
        <v>5.5384402535239102E-2</v>
      </c>
      <c r="AE4" s="3">
        <f t="shared" ca="1" si="7"/>
        <v>0.20787065149449493</v>
      </c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M5">
        <v>0</v>
      </c>
      <c r="N5">
        <v>0</v>
      </c>
      <c r="O5">
        <v>0.55903883905542961</v>
      </c>
      <c r="S5" s="3">
        <f t="shared" ref="S5:S68" ca="1" si="9">OFFSET($Q$3,4*(ROW(A3)-1),0,1,1)</f>
        <v>2.653614125037143</v>
      </c>
      <c r="T5" s="3">
        <f t="shared" ca="1" si="8"/>
        <v>9.8409055444257914E-3</v>
      </c>
      <c r="X5" s="3">
        <f t="shared" ca="1" si="0"/>
        <v>9.8409055444257914E-3</v>
      </c>
      <c r="Y5" s="3">
        <f t="shared" ca="1" si="1"/>
        <v>1.4948686652881996E-2</v>
      </c>
      <c r="Z5" s="3">
        <f t="shared" ca="1" si="2"/>
        <v>1.9815873627349826E-2</v>
      </c>
      <c r="AA5" s="3">
        <f t="shared" ca="1" si="3"/>
        <v>3.6748329675407206E-2</v>
      </c>
      <c r="AB5" s="3">
        <f t="shared" ca="1" si="4"/>
        <v>2.6048568045796396E-2</v>
      </c>
      <c r="AC5" s="3">
        <f t="shared" ca="1" si="5"/>
        <v>2.5069499977497037E-2</v>
      </c>
      <c r="AD5" s="3">
        <f t="shared" ca="1" si="6"/>
        <v>2.3842428961043022E-2</v>
      </c>
      <c r="AE5" s="3">
        <f t="shared" ca="1" si="7"/>
        <v>2.0097929563129127E-2</v>
      </c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S6" s="3">
        <f t="shared" ca="1" si="9"/>
        <v>2.3781197096209636</v>
      </c>
      <c r="T6" s="3">
        <f t="shared" ca="1" si="8"/>
        <v>8.819236834364386E-3</v>
      </c>
      <c r="X6" s="3">
        <f t="shared" ca="1" si="0"/>
        <v>8.819236834364386E-3</v>
      </c>
      <c r="Y6" s="3">
        <f t="shared" ca="1" si="1"/>
        <v>1.9714123157769166E-2</v>
      </c>
      <c r="Z6" s="3">
        <f t="shared" ca="1" si="2"/>
        <v>1.4469727406152539E-2</v>
      </c>
      <c r="AA6" s="3">
        <f t="shared" ca="1" si="3"/>
        <v>2.8005797822053164E-2</v>
      </c>
      <c r="AB6" s="3">
        <f t="shared" ca="1" si="4"/>
        <v>2.0868158521525047E-2</v>
      </c>
      <c r="AC6" s="3">
        <f t="shared" ca="1" si="5"/>
        <v>2.8345044464716026E-2</v>
      </c>
      <c r="AD6" s="3">
        <f t="shared" ca="1" si="6"/>
        <v>3.2792985086490992E-2</v>
      </c>
      <c r="AE6" s="3">
        <f t="shared" ca="1" si="7"/>
        <v>0.13377779964876377</v>
      </c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array" ref="M7:O9">SVDD(B7:K9)</f>
        <v>2.3789873859091597</v>
      </c>
      <c r="N7">
        <v>0</v>
      </c>
      <c r="O7">
        <v>0</v>
      </c>
      <c r="Q7">
        <f>MAX(M7,N8,O9)/MIN(M7,N8,O9)</f>
        <v>3.6952824527412931</v>
      </c>
      <c r="S7" s="3">
        <f t="shared" ca="1" si="9"/>
        <v>2.2220771841939322</v>
      </c>
      <c r="T7" s="3">
        <f t="shared" ca="1" si="8"/>
        <v>8.2405544482734606E-3</v>
      </c>
      <c r="X7" s="3">
        <f t="shared" ca="1" si="0"/>
        <v>8.2405544482734606E-3</v>
      </c>
      <c r="Y7" s="3">
        <f t="shared" ca="1" si="1"/>
        <v>1.918500900523681E-2</v>
      </c>
      <c r="Z7" s="3">
        <f t="shared" ca="1" si="2"/>
        <v>1.789671945876245E-2</v>
      </c>
      <c r="AA7" s="3">
        <f t="shared" ca="1" si="3"/>
        <v>9.5450856301941625E-2</v>
      </c>
      <c r="AB7" s="3">
        <f t="shared" ca="1" si="4"/>
        <v>1.8170519031720771E-2</v>
      </c>
      <c r="AC7" s="3">
        <f t="shared" ca="1" si="5"/>
        <v>0.11276387152576128</v>
      </c>
      <c r="AD7" s="3">
        <f t="shared" ca="1" si="6"/>
        <v>1.4548917644954664E-2</v>
      </c>
      <c r="AE7" s="3">
        <f t="shared" ca="1" si="7"/>
        <v>1.5884781103247064E-2</v>
      </c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M8">
        <v>0</v>
      </c>
      <c r="N8">
        <v>1.2334662939177181</v>
      </c>
      <c r="O8">
        <v>0</v>
      </c>
      <c r="S8" s="3">
        <f t="shared" ca="1" si="9"/>
        <v>5.3774344742877576</v>
      </c>
      <c r="T8" s="3">
        <f t="shared" ca="1" si="8"/>
        <v>1.9942170277701576E-2</v>
      </c>
      <c r="X8" s="3">
        <f t="shared" ca="1" si="0"/>
        <v>1.9942170277701576E-2</v>
      </c>
      <c r="Y8" s="3">
        <f t="shared" ca="1" si="1"/>
        <v>1.972536015117031E-2</v>
      </c>
      <c r="Z8" s="3">
        <f t="shared" ca="1" si="2"/>
        <v>1.5648549031082402E-2</v>
      </c>
      <c r="AA8" s="3">
        <f t="shared" ca="1" si="3"/>
        <v>3.0562749313218177E-2</v>
      </c>
      <c r="AB8" s="3">
        <f t="shared" ca="1" si="4"/>
        <v>2.442459690561612E-2</v>
      </c>
      <c r="AC8" s="3">
        <f t="shared" ca="1" si="5"/>
        <v>2.7395696671057335E-2</v>
      </c>
      <c r="AD8" s="3">
        <f t="shared" ca="1" si="6"/>
        <v>2.2384001864481501E-2</v>
      </c>
      <c r="AE8" s="3">
        <f t="shared" ca="1" si="7"/>
        <v>2.1660776571855587E-2</v>
      </c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M9">
        <v>0</v>
      </c>
      <c r="N9">
        <v>0</v>
      </c>
      <c r="O9">
        <v>0.64379040474817872</v>
      </c>
      <c r="S9" s="3">
        <f t="shared" ca="1" si="9"/>
        <v>24.118324901702923</v>
      </c>
      <c r="T9" s="3">
        <f t="shared" ca="1" si="8"/>
        <v>8.9442603959650216E-2</v>
      </c>
      <c r="X9" s="3">
        <f t="shared" ca="1" si="0"/>
        <v>8.9442603959650216E-2</v>
      </c>
      <c r="Y9" s="3">
        <f t="shared" ca="1" si="1"/>
        <v>5.5090514329588038E-2</v>
      </c>
      <c r="Z9" s="3">
        <f t="shared" ca="1" si="2"/>
        <v>2.7072591763625069E-2</v>
      </c>
      <c r="AA9" s="3">
        <f t="shared" ca="1" si="3"/>
        <v>1.9054127624452848E-2</v>
      </c>
      <c r="AB9" s="3">
        <f t="shared" ca="1" si="4"/>
        <v>2.4852049241858729E-2</v>
      </c>
      <c r="AC9" s="3">
        <f t="shared" ca="1" si="5"/>
        <v>4.230282868225306E-2</v>
      </c>
      <c r="AD9" s="3">
        <f t="shared" ca="1" si="6"/>
        <v>4.7660501653429659E-2</v>
      </c>
      <c r="AE9" s="3">
        <f t="shared" ca="1" si="7"/>
        <v>9.950010775389849E-2</v>
      </c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S10" s="3">
        <f t="shared" ca="1" si="9"/>
        <v>8.7955826152157766</v>
      </c>
      <c r="T10" s="3">
        <f t="shared" ca="1" si="8"/>
        <v>3.2618343755356854E-2</v>
      </c>
      <c r="X10" s="3">
        <f t="shared" ca="1" si="0"/>
        <v>3.2618343755356854E-2</v>
      </c>
      <c r="Y10" s="3">
        <f t="shared" ca="1" si="1"/>
        <v>2.9231422237427546E-2</v>
      </c>
      <c r="Z10" s="3">
        <f t="shared" ca="1" si="2"/>
        <v>1.7293523903019282E-2</v>
      </c>
      <c r="AA10" s="3">
        <f t="shared" ca="1" si="3"/>
        <v>2.1547678242081508E-2</v>
      </c>
      <c r="AB10" s="3">
        <f t="shared" ca="1" si="4"/>
        <v>2.6078578952299498E-2</v>
      </c>
      <c r="AC10" s="3">
        <f t="shared" ca="1" si="5"/>
        <v>2.857110263425184E-2</v>
      </c>
      <c r="AD10" s="3">
        <f t="shared" ca="1" si="6"/>
        <v>2.1459542910633806E-2</v>
      </c>
      <c r="AE10" s="3">
        <f t="shared" ca="1" si="7"/>
        <v>1.6179639175729368E-2</v>
      </c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array" ref="M11:O13">SVDD(B11:K13)</f>
        <v>2.6463681824810363</v>
      </c>
      <c r="N11">
        <v>0</v>
      </c>
      <c r="O11">
        <v>0</v>
      </c>
      <c r="Q11">
        <f>MAX(M11,N12,O13)/MIN(M11,N12,O13)</f>
        <v>2.653614125037143</v>
      </c>
      <c r="S11" s="3">
        <f t="shared" ca="1" si="9"/>
        <v>36.310273693650416</v>
      </c>
      <c r="T11" s="3">
        <f t="shared" ca="1" si="8"/>
        <v>0.13465634296262302</v>
      </c>
      <c r="X11" s="3">
        <f t="shared" ca="1" si="0"/>
        <v>0.13465634296262302</v>
      </c>
      <c r="Y11" s="3">
        <f t="shared" ca="1" si="1"/>
        <v>0.11552301599668371</v>
      </c>
      <c r="Z11" s="3">
        <f t="shared" ca="1" si="2"/>
        <v>1.7792531684204322E-2</v>
      </c>
      <c r="AA11" s="3">
        <f t="shared" ca="1" si="3"/>
        <v>1.7468874982632849E-2</v>
      </c>
      <c r="AB11" s="3">
        <f t="shared" ca="1" si="4"/>
        <v>5.1485403731096113E-2</v>
      </c>
      <c r="AC11" s="3">
        <f t="shared" ca="1" si="5"/>
        <v>1.7191487820803077E-2</v>
      </c>
      <c r="AD11" s="3">
        <f t="shared" ca="1" si="6"/>
        <v>7.3184635344138674E-2</v>
      </c>
      <c r="AE11" s="3">
        <f t="shared" ca="1" si="7"/>
        <v>9.0335027987372432E-2</v>
      </c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M12">
        <v>0</v>
      </c>
      <c r="N12">
        <v>1.41120736544468</v>
      </c>
      <c r="O12">
        <v>0</v>
      </c>
      <c r="S12" s="3">
        <f t="shared" ca="1" si="9"/>
        <v>3.6561838643533173</v>
      </c>
      <c r="T12" s="3">
        <f t="shared" ca="1" si="8"/>
        <v>1.355892694520951E-2</v>
      </c>
      <c r="X12" s="3">
        <f t="shared" ca="1" si="0"/>
        <v>1.355892694520951E-2</v>
      </c>
      <c r="Y12" s="3">
        <f t="shared" ca="1" si="1"/>
        <v>1.9171596037393906E-2</v>
      </c>
      <c r="Z12" s="3">
        <f t="shared" ca="1" si="2"/>
        <v>2.0248897982786965E-2</v>
      </c>
      <c r="AA12" s="3">
        <f t="shared" ca="1" si="3"/>
        <v>2.5271796590221867E-2</v>
      </c>
      <c r="AB12" s="3">
        <f t="shared" ca="1" si="4"/>
        <v>4.0578725315396108E-2</v>
      </c>
      <c r="AC12" s="3">
        <f t="shared" ca="1" si="5"/>
        <v>3.2153409820854795E-2</v>
      </c>
      <c r="AD12" s="3">
        <f t="shared" ca="1" si="6"/>
        <v>2.508710546058562E-2</v>
      </c>
      <c r="AE12" s="3">
        <f t="shared" ca="1" si="7"/>
        <v>1.5401193422517572E-2</v>
      </c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M13">
        <v>0</v>
      </c>
      <c r="N13">
        <v>0</v>
      </c>
      <c r="O13">
        <v>0.99726940609497805</v>
      </c>
      <c r="S13" s="3">
        <f t="shared" ca="1" si="9"/>
        <v>4.4963071940262225</v>
      </c>
      <c r="T13" s="3">
        <f t="shared" ca="1" si="8"/>
        <v>1.6674517209435975E-2</v>
      </c>
      <c r="X13" s="3">
        <f t="shared" ca="1" si="0"/>
        <v>1.6674517209435975E-2</v>
      </c>
      <c r="Y13" s="3">
        <f t="shared" ca="1" si="1"/>
        <v>2.657182496218673E-2</v>
      </c>
      <c r="Z13" s="3">
        <f t="shared" ca="1" si="2"/>
        <v>2.994297221707172E-2</v>
      </c>
      <c r="AA13" s="3">
        <f t="shared" ca="1" si="3"/>
        <v>3.3352825251033107E-2</v>
      </c>
      <c r="AB13" s="3">
        <f t="shared" ca="1" si="4"/>
        <v>2.5831762995424664E-2</v>
      </c>
      <c r="AC13" s="3">
        <f t="shared" ca="1" si="5"/>
        <v>4.0127816326724443E-2</v>
      </c>
      <c r="AD13" s="3">
        <f t="shared" ca="1" si="6"/>
        <v>5.5504702010778076E-2</v>
      </c>
      <c r="AE13" s="3">
        <f t="shared" ca="1" si="7"/>
        <v>6.3757318749568581E-2</v>
      </c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S14" s="3">
        <f t="shared" ca="1" si="9"/>
        <v>2.7089396753921831</v>
      </c>
      <c r="T14" s="3">
        <f t="shared" ca="1" si="8"/>
        <v>1.0046079880098919E-2</v>
      </c>
      <c r="X14" s="3">
        <f t="shared" ca="1" si="0"/>
        <v>1.0046079880098919E-2</v>
      </c>
      <c r="Y14" s="3">
        <f t="shared" ca="1" si="1"/>
        <v>1.8615339614409417E-2</v>
      </c>
      <c r="Z14" s="3">
        <f t="shared" ca="1" si="2"/>
        <v>5.4979172080853671E-2</v>
      </c>
      <c r="AA14" s="3">
        <f t="shared" ca="1" si="3"/>
        <v>1.5909665639637201E-2</v>
      </c>
      <c r="AB14" s="3">
        <f t="shared" ca="1" si="4"/>
        <v>1.648345872287494E-2</v>
      </c>
      <c r="AC14" s="3">
        <f t="shared" ca="1" si="5"/>
        <v>4.6322824862731198E-2</v>
      </c>
      <c r="AD14" s="3">
        <f t="shared" ca="1" si="6"/>
        <v>1.3855473107336369E-2</v>
      </c>
      <c r="AE14" s="3">
        <f t="shared" ca="1" si="7"/>
        <v>1.3049591060688084E-2</v>
      </c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array" ref="M15:O17">SVDD(B15:K17)</f>
        <v>2.3705322474041357</v>
      </c>
      <c r="N15">
        <v>0</v>
      </c>
      <c r="O15">
        <v>0</v>
      </c>
      <c r="Q15">
        <f>MAX(M15,N16,O17)/MIN(M15,N16,O17)</f>
        <v>2.3781197096209636</v>
      </c>
      <c r="S15" s="3">
        <f t="shared" ca="1" si="9"/>
        <v>7.6365391312743336</v>
      </c>
      <c r="T15" s="3">
        <f t="shared" ca="1" si="8"/>
        <v>2.8320040795731825E-2</v>
      </c>
      <c r="X15" s="3">
        <f t="shared" ca="1" si="0"/>
        <v>2.8320040795731825E-2</v>
      </c>
      <c r="Y15" s="3">
        <f t="shared" ca="1" si="1"/>
        <v>2.9716789763527488E-2</v>
      </c>
      <c r="Z15" s="3">
        <f t="shared" ca="1" si="2"/>
        <v>2.3691503944813942E-2</v>
      </c>
      <c r="AA15" s="3">
        <f t="shared" ca="1" si="3"/>
        <v>4.0032065060613756E-2</v>
      </c>
      <c r="AB15" s="3">
        <f t="shared" ca="1" si="4"/>
        <v>4.0410519638896636E-2</v>
      </c>
      <c r="AC15" s="3">
        <f t="shared" ca="1" si="5"/>
        <v>5.1918473603133668E-2</v>
      </c>
      <c r="AD15" s="3">
        <f t="shared" ca="1" si="6"/>
        <v>2.6806885055392846E-2</v>
      </c>
      <c r="AE15" s="3">
        <f t="shared" ca="1" si="7"/>
        <v>1.0843799329409515E-2</v>
      </c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M16">
        <v>0</v>
      </c>
      <c r="N16">
        <v>1.5623478708879228</v>
      </c>
      <c r="O16">
        <v>0</v>
      </c>
      <c r="S16" s="3">
        <f t="shared" ca="1" si="9"/>
        <v>35.126245864185961</v>
      </c>
      <c r="T16" s="3">
        <f t="shared" ca="1" si="8"/>
        <v>0.13026538576888708</v>
      </c>
      <c r="X16" s="3">
        <f t="shared" ca="1" si="0"/>
        <v>0.13026538576888708</v>
      </c>
      <c r="Y16" s="3">
        <f t="shared" ca="1" si="1"/>
        <v>0.13136597818387966</v>
      </c>
      <c r="Z16" s="3">
        <f t="shared" ca="1" si="2"/>
        <v>1.7459801323122286E-2</v>
      </c>
      <c r="AA16" s="3">
        <f t="shared" ca="1" si="3"/>
        <v>4.831593181272522E-2</v>
      </c>
      <c r="AB16" s="3">
        <f t="shared" ca="1" si="4"/>
        <v>1.6999562983922491E-2</v>
      </c>
      <c r="AC16" s="3">
        <f t="shared" ca="1" si="5"/>
        <v>1.5018858654001056E-2</v>
      </c>
      <c r="AD16" s="3">
        <f t="shared" ca="1" si="6"/>
        <v>2.344258462831458E-2</v>
      </c>
      <c r="AE16" s="3">
        <f t="shared" ca="1" si="7"/>
        <v>3.7147025463066023E-2</v>
      </c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M17">
        <v>0</v>
      </c>
      <c r="N17">
        <v>0</v>
      </c>
      <c r="O17">
        <v>0.99680947002536002</v>
      </c>
      <c r="S17" s="3">
        <f t="shared" ca="1" si="9"/>
        <v>4.8590344003529484</v>
      </c>
      <c r="T17" s="3">
        <f t="shared" ca="1" si="8"/>
        <v>1.801968798697123E-2</v>
      </c>
      <c r="X17" s="3">
        <f t="shared" ca="1" si="0"/>
        <v>1.801968798697123E-2</v>
      </c>
      <c r="Y17" s="3">
        <f t="shared" ca="1" si="1"/>
        <v>2.2342776624725558E-2</v>
      </c>
      <c r="Z17" s="3">
        <f t="shared" ca="1" si="2"/>
        <v>9.5866849071662555E-2</v>
      </c>
      <c r="AA17" s="3">
        <f t="shared" ca="1" si="3"/>
        <v>1.8985530615708787E-2</v>
      </c>
      <c r="AB17" s="3">
        <f t="shared" ca="1" si="4"/>
        <v>3.4487660100739788E-2</v>
      </c>
      <c r="AC17" s="3">
        <f t="shared" ca="1" si="5"/>
        <v>1.6203189428448256E-2</v>
      </c>
      <c r="AD17" s="3">
        <f t="shared" ca="1" si="6"/>
        <v>1.2281577148058649E-2</v>
      </c>
      <c r="AE17" s="3">
        <f t="shared" ca="1" si="7"/>
        <v>9.7798148907344857E-3</v>
      </c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S18" s="3">
        <f t="shared" ca="1" si="9"/>
        <v>4.1072441892278677</v>
      </c>
      <c r="T18" s="3">
        <f t="shared" ca="1" si="8"/>
        <v>1.5231680345957378E-2</v>
      </c>
      <c r="X18" s="3">
        <f t="shared" ca="1" si="0"/>
        <v>1.5231680345957378E-2</v>
      </c>
      <c r="Y18" s="3">
        <f t="shared" ca="1" si="1"/>
        <v>0.60793491221522156</v>
      </c>
      <c r="Z18" s="3">
        <f t="shared" ca="1" si="2"/>
        <v>0.59772310963732833</v>
      </c>
      <c r="AA18" s="3">
        <f t="shared" ca="1" si="3"/>
        <v>0.65864537986320526</v>
      </c>
      <c r="AB18" s="3">
        <f t="shared" ca="1" si="4"/>
        <v>0.73227083674382443</v>
      </c>
      <c r="AC18" s="3">
        <f t="shared" ca="1" si="5"/>
        <v>0.29166087142131808</v>
      </c>
      <c r="AD18" s="3">
        <f t="shared" ca="1" si="6"/>
        <v>0.83231410122923211</v>
      </c>
      <c r="AE18" s="3">
        <f t="shared" ca="1" si="7"/>
        <v>9.3220902659601271E-2</v>
      </c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array" ref="M19:O21">SVDD(B19:K21)</f>
        <v>2.3681165245401301</v>
      </c>
      <c r="N19">
        <v>0</v>
      </c>
      <c r="O19">
        <v>0</v>
      </c>
      <c r="Q19">
        <f>MAX(M19,N20,O21)/MIN(M19,N20,O21)</f>
        <v>2.2220771841939322</v>
      </c>
      <c r="S19" s="3">
        <f t="shared" ca="1" si="9"/>
        <v>4.6541230593082208</v>
      </c>
      <c r="T19" s="3">
        <f t="shared" ca="1" si="8"/>
        <v>1.7259776011384141E-2</v>
      </c>
      <c r="X19" s="3">
        <f t="shared" ca="1" si="0"/>
        <v>1.7259776011384141E-2</v>
      </c>
      <c r="Y19" s="3">
        <f t="shared" ca="1" si="1"/>
        <v>0.1750559082305424</v>
      </c>
      <c r="Z19" s="3">
        <f t="shared" ca="1" si="2"/>
        <v>0.37361439863664958</v>
      </c>
      <c r="AA19" s="3">
        <f t="shared" ca="1" si="3"/>
        <v>0.14970911663691269</v>
      </c>
      <c r="AB19" s="3">
        <f t="shared" ca="1" si="4"/>
        <v>0.48778549025408341</v>
      </c>
      <c r="AC19" s="3">
        <f t="shared" ca="1" si="5"/>
        <v>0.60925967236998224</v>
      </c>
      <c r="AD19" s="3">
        <f t="shared" ca="1" si="6"/>
        <v>0.58817011971193511</v>
      </c>
      <c r="AE19" s="3">
        <f t="shared" ca="1" si="7"/>
        <v>6.6102215324609331E-2</v>
      </c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M20">
        <v>0</v>
      </c>
      <c r="N20">
        <v>1.6331251873820525</v>
      </c>
      <c r="O20">
        <v>0</v>
      </c>
      <c r="S20" s="3">
        <f t="shared" ca="1" si="9"/>
        <v>3.0887111273633301</v>
      </c>
      <c r="T20" s="3">
        <f t="shared" ca="1" si="8"/>
        <v>1.145445909848478E-2</v>
      </c>
      <c r="X20" s="3">
        <f t="shared" ca="1" si="0"/>
        <v>1.145445909848478E-2</v>
      </c>
      <c r="Y20" s="3">
        <f t="shared" ca="1" si="1"/>
        <v>0.67466101632144204</v>
      </c>
      <c r="Z20" s="3">
        <f t="shared" ca="1" si="2"/>
        <v>0.77454773871610005</v>
      </c>
      <c r="AA20" s="3">
        <f t="shared" ca="1" si="3"/>
        <v>0.63789107528408984</v>
      </c>
      <c r="AB20" s="3">
        <f t="shared" ca="1" si="4"/>
        <v>0.46414217656235307</v>
      </c>
      <c r="AC20" s="3">
        <f t="shared" ca="1" si="5"/>
        <v>0.17870488480945407</v>
      </c>
      <c r="AD20" s="3">
        <f t="shared" ca="1" si="6"/>
        <v>0.16726641483211668</v>
      </c>
      <c r="AE20" s="3">
        <f t="shared" ca="1" si="7"/>
        <v>2.3556093362609387E-2</v>
      </c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M21">
        <v>0</v>
      </c>
      <c r="N21">
        <v>0</v>
      </c>
      <c r="O21">
        <v>1.0657219926404915</v>
      </c>
      <c r="S21" s="3">
        <f t="shared" ca="1" si="9"/>
        <v>2.574791744766602</v>
      </c>
      <c r="T21" s="3">
        <f t="shared" ca="1" si="8"/>
        <v>9.5485934136941425E-3</v>
      </c>
      <c r="X21" s="3">
        <f t="shared" ca="1" si="0"/>
        <v>9.5485934136941425E-3</v>
      </c>
      <c r="Y21" s="3">
        <f t="shared" ca="1" si="1"/>
        <v>5.7258708676589498E-2</v>
      </c>
      <c r="Z21" s="3">
        <f t="shared" ca="1" si="2"/>
        <v>9.2033477169074077E-2</v>
      </c>
      <c r="AA21" s="3">
        <f t="shared" ca="1" si="3"/>
        <v>4.8152451358483651E-2</v>
      </c>
      <c r="AB21" s="3">
        <f t="shared" ca="1" si="4"/>
        <v>4.1992345101478749E-2</v>
      </c>
      <c r="AC21" s="3">
        <f t="shared" ca="1" si="5"/>
        <v>1.9971109014539093E-2</v>
      </c>
      <c r="AD21" s="3">
        <f t="shared" ca="1" si="6"/>
        <v>1.9527748813789415E-2</v>
      </c>
      <c r="AE21" s="3">
        <f t="shared" ca="1" si="7"/>
        <v>2.5062365623137801E-2</v>
      </c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S22" s="3">
        <f t="shared" ca="1" si="9"/>
        <v>6.0429167939989181</v>
      </c>
      <c r="T22" s="3">
        <f t="shared" ca="1" si="8"/>
        <v>2.2410105833204103E-2</v>
      </c>
      <c r="X22" s="3">
        <f t="shared" ca="1" si="0"/>
        <v>2.2410105833204103E-2</v>
      </c>
      <c r="Y22" s="3">
        <f t="shared" ca="1" si="1"/>
        <v>0.5419187639002091</v>
      </c>
      <c r="Z22" s="3">
        <f t="shared" ca="1" si="2"/>
        <v>0.4383326341475472</v>
      </c>
      <c r="AA22" s="3">
        <f t="shared" ca="1" si="3"/>
        <v>0.15162279072084342</v>
      </c>
      <c r="AB22" s="3">
        <f t="shared" ca="1" si="4"/>
        <v>0.37673919277628115</v>
      </c>
      <c r="AC22" s="3">
        <f t="shared" ca="1" si="5"/>
        <v>0.22541967703557822</v>
      </c>
      <c r="AD22" s="3">
        <f t="shared" ca="1" si="6"/>
        <v>0.8895341647228705</v>
      </c>
      <c r="AE22" s="3">
        <f t="shared" ca="1" si="7"/>
        <v>5.9125878436778453E-2</v>
      </c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array" ref="M23:O25">SVDD(B23:K25)</f>
        <v>2.4042993001859552</v>
      </c>
      <c r="N23">
        <v>0</v>
      </c>
      <c r="O23">
        <v>0</v>
      </c>
      <c r="Q23">
        <f>MAX(M23,N24,O25)/MIN(M23,N24,O25)</f>
        <v>5.3774344742877576</v>
      </c>
      <c r="S23" s="3">
        <f t="shared" ca="1" si="9"/>
        <v>12.113961763885378</v>
      </c>
      <c r="T23" s="3">
        <f t="shared" ca="1" si="8"/>
        <v>4.4924524768842573E-2</v>
      </c>
      <c r="X23" s="3">
        <f t="shared" ca="1" si="0"/>
        <v>4.4924524768842573E-2</v>
      </c>
      <c r="Y23" s="3">
        <f t="shared" ca="1" si="1"/>
        <v>0.80815354961439589</v>
      </c>
      <c r="Z23" s="3">
        <f t="shared" ca="1" si="2"/>
        <v>0.42458566350062293</v>
      </c>
      <c r="AA23" s="3">
        <f t="shared" ca="1" si="3"/>
        <v>0.87940584063251204</v>
      </c>
      <c r="AB23" s="3">
        <f t="shared" ca="1" si="4"/>
        <v>1</v>
      </c>
      <c r="AC23" s="3">
        <f t="shared" ca="1" si="5"/>
        <v>0.16181692781849299</v>
      </c>
      <c r="AD23" s="3">
        <f t="shared" ca="1" si="6"/>
        <v>0.26461568854962608</v>
      </c>
      <c r="AE23" s="3">
        <f t="shared" ca="1" si="7"/>
        <v>9.0846358434435087E-2</v>
      </c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M24">
        <v>0</v>
      </c>
      <c r="N24">
        <v>1.7551100975894958</v>
      </c>
      <c r="O24">
        <v>0</v>
      </c>
      <c r="S24" s="3">
        <f t="shared" ca="1" si="9"/>
        <v>17.744699360444759</v>
      </c>
      <c r="T24" s="3">
        <f t="shared" ca="1" si="8"/>
        <v>6.5806067533622808E-2</v>
      </c>
      <c r="X24" s="3">
        <f t="shared" ca="1" si="0"/>
        <v>6.5806067533622808E-2</v>
      </c>
      <c r="Y24" s="3">
        <f t="shared" ca="1" si="1"/>
        <v>7.1672177386395905E-2</v>
      </c>
      <c r="Z24" s="3">
        <f t="shared" ca="1" si="2"/>
        <v>4.1606878152651461E-2</v>
      </c>
      <c r="AA24" s="3">
        <f t="shared" ca="1" si="3"/>
        <v>3.9941119727580875E-2</v>
      </c>
      <c r="AB24" s="3">
        <f t="shared" ca="1" si="4"/>
        <v>7.2405904742255153E-2</v>
      </c>
      <c r="AC24" s="3">
        <f t="shared" ca="1" si="5"/>
        <v>5.8755103727122351E-2</v>
      </c>
      <c r="AD24" s="3">
        <f t="shared" ca="1" si="6"/>
        <v>3.9257640353950386E-2</v>
      </c>
      <c r="AE24" s="3">
        <f t="shared" ca="1" si="7"/>
        <v>3.5894953664488839E-2</v>
      </c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M25">
        <v>0</v>
      </c>
      <c r="N25">
        <v>0</v>
      </c>
      <c r="O25">
        <v>0.44710899066871573</v>
      </c>
      <c r="S25" s="3">
        <f t="shared" ca="1" si="9"/>
        <v>5.8800936891376248</v>
      </c>
      <c r="T25" s="3">
        <f t="shared" ca="1" si="8"/>
        <v>2.1806277725616042E-2</v>
      </c>
      <c r="X25" s="3">
        <f t="shared" ca="1" si="0"/>
        <v>2.1806277725616042E-2</v>
      </c>
      <c r="Y25" s="3">
        <f t="shared" ca="1" si="1"/>
        <v>0.20643962444156405</v>
      </c>
      <c r="Z25" s="3">
        <f t="shared" ca="1" si="2"/>
        <v>0.21886993930156612</v>
      </c>
      <c r="AA25" s="3">
        <f t="shared" ca="1" si="3"/>
        <v>0.11899908264968116</v>
      </c>
      <c r="AB25" s="3">
        <f t="shared" ca="1" si="4"/>
        <v>0.21252256666386157</v>
      </c>
      <c r="AC25" s="3">
        <f t="shared" ca="1" si="5"/>
        <v>0.17460915510679409</v>
      </c>
      <c r="AD25" s="3">
        <f t="shared" ca="1" si="6"/>
        <v>0.13460430823580563</v>
      </c>
      <c r="AE25" s="3">
        <f t="shared" ca="1" si="7"/>
        <v>1.6180061132722912E-2</v>
      </c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S26" s="3">
        <f t="shared" ca="1" si="9"/>
        <v>3.879698490595195</v>
      </c>
      <c r="T26" s="3">
        <f t="shared" ca="1" si="8"/>
        <v>1.4387829046645664E-2</v>
      </c>
      <c r="X26" s="3">
        <f t="shared" ca="1" si="0"/>
        <v>1.4387829046645664E-2</v>
      </c>
      <c r="Y26" s="3">
        <f t="shared" ca="1" si="1"/>
        <v>2.6267786047992282E-2</v>
      </c>
      <c r="Z26" s="3">
        <f t="shared" ca="1" si="2"/>
        <v>3.2347584499998847E-2</v>
      </c>
      <c r="AA26" s="3">
        <f t="shared" ca="1" si="3"/>
        <v>4.0578130937060662E-2</v>
      </c>
      <c r="AB26" s="3">
        <f t="shared" ca="1" si="4"/>
        <v>2.7184304062169474E-2</v>
      </c>
      <c r="AC26" s="3">
        <f t="shared" ca="1" si="5"/>
        <v>1.569293436344138E-2</v>
      </c>
      <c r="AD26" s="3">
        <f t="shared" ca="1" si="6"/>
        <v>1.7988935441623929E-2</v>
      </c>
      <c r="AE26" s="3">
        <f t="shared" ca="1" si="7"/>
        <v>2.6525812314482047E-2</v>
      </c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array" ref="M27:O29">SVDD(B27:K29)</f>
        <v>3.1236605058387763</v>
      </c>
      <c r="N27">
        <v>0</v>
      </c>
      <c r="O27">
        <v>0</v>
      </c>
      <c r="Q27">
        <f>MAX(M27,N28,O29)/MIN(M27,N28,O29)</f>
        <v>24.118324901702923</v>
      </c>
      <c r="S27" s="3">
        <f t="shared" ca="1" si="9"/>
        <v>24.685611450250331</v>
      </c>
      <c r="T27" s="3">
        <f t="shared" ca="1" si="8"/>
        <v>9.1546381328110008E-2</v>
      </c>
      <c r="X27" s="3">
        <f t="shared" ca="1" si="0"/>
        <v>9.1546381328110008E-2</v>
      </c>
      <c r="Y27" s="3">
        <f t="shared" ca="1" si="1"/>
        <v>3.6030552847745478E-2</v>
      </c>
      <c r="Z27" s="3">
        <f t="shared" ca="1" si="2"/>
        <v>3.030796813915583E-2</v>
      </c>
      <c r="AA27" s="3">
        <f t="shared" ca="1" si="3"/>
        <v>2.6706464988649242E-2</v>
      </c>
      <c r="AB27" s="3">
        <f t="shared" ca="1" si="4"/>
        <v>3.1508468548462294E-2</v>
      </c>
      <c r="AC27" s="3">
        <f t="shared" ca="1" si="5"/>
        <v>1.3876872694516344E-2</v>
      </c>
      <c r="AD27" s="3">
        <f t="shared" ca="1" si="6"/>
        <v>1.7985407414187721E-2</v>
      </c>
      <c r="AE27" s="3">
        <f t="shared" ca="1" si="7"/>
        <v>1.2705495299507265E-2</v>
      </c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M28">
        <v>0</v>
      </c>
      <c r="N28">
        <v>1.2964471017497203</v>
      </c>
      <c r="O28">
        <v>0</v>
      </c>
      <c r="S28" s="3">
        <f t="shared" ca="1" si="9"/>
        <v>7.3489080575917889</v>
      </c>
      <c r="T28" s="3">
        <f t="shared" ca="1" si="8"/>
        <v>2.7253363391114047E-2</v>
      </c>
      <c r="X28" s="3">
        <f t="shared" ca="1" si="0"/>
        <v>2.7253363391114047E-2</v>
      </c>
      <c r="Y28" s="3">
        <f t="shared" ca="1" si="1"/>
        <v>0.22639701414612359</v>
      </c>
      <c r="Z28" s="3">
        <f t="shared" ca="1" si="2"/>
        <v>0.25089064374917386</v>
      </c>
      <c r="AA28" s="3">
        <f t="shared" ca="1" si="3"/>
        <v>0.25748703149278518</v>
      </c>
      <c r="AB28" s="3">
        <f t="shared" ca="1" si="4"/>
        <v>0.2513022090295477</v>
      </c>
      <c r="AC28" s="3">
        <f t="shared" ca="1" si="5"/>
        <v>0.27323799408201355</v>
      </c>
      <c r="AD28" s="3">
        <f t="shared" ca="1" si="6"/>
        <v>0.52212909871340785</v>
      </c>
      <c r="AE28" s="3">
        <f t="shared" ca="1" si="7"/>
        <v>4.4698354057810204E-2</v>
      </c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M29">
        <v>0</v>
      </c>
      <c r="N29">
        <v>0</v>
      </c>
      <c r="O29">
        <v>0.12951399065107644</v>
      </c>
      <c r="S29" s="3">
        <f t="shared" ca="1" si="9"/>
        <v>6.5789103410788252</v>
      </c>
      <c r="T29" s="3">
        <f t="shared" ca="1" si="8"/>
        <v>2.4397833370327186E-2</v>
      </c>
      <c r="X29" s="3">
        <f t="shared" ca="1" si="0"/>
        <v>2.4397833370327186E-2</v>
      </c>
      <c r="Y29" s="3">
        <f t="shared" ca="1" si="1"/>
        <v>0.96471261314730661</v>
      </c>
      <c r="Z29" s="3">
        <f t="shared" ca="1" si="2"/>
        <v>0.5736762821779684</v>
      </c>
      <c r="AA29" s="3">
        <f t="shared" ca="1" si="3"/>
        <v>0.84655852150073518</v>
      </c>
      <c r="AB29" s="3">
        <f t="shared" ca="1" si="4"/>
        <v>0.51165120458658575</v>
      </c>
      <c r="AC29" s="3">
        <f t="shared" ca="1" si="5"/>
        <v>0.12125549801415815</v>
      </c>
      <c r="AD29" s="3">
        <f t="shared" ca="1" si="6"/>
        <v>0.12307522391520889</v>
      </c>
      <c r="AE29" s="3">
        <f t="shared" ca="1" si="7"/>
        <v>2.4883189416143571E-2</v>
      </c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S30" s="3">
        <f t="shared" ca="1" si="9"/>
        <v>3.1635782706465303</v>
      </c>
      <c r="T30" s="3">
        <f t="shared" ca="1" si="8"/>
        <v>1.1732103266293335E-2</v>
      </c>
      <c r="X30" s="3">
        <f t="shared" ca="1" si="0"/>
        <v>1.1732103266293335E-2</v>
      </c>
      <c r="Y30" s="3">
        <f t="shared" ca="1" si="1"/>
        <v>5.2873302258695784E-2</v>
      </c>
      <c r="Z30" s="3">
        <f t="shared" ca="1" si="2"/>
        <v>3.8865493922581019E-2</v>
      </c>
      <c r="AA30" s="3">
        <f t="shared" ca="1" si="3"/>
        <v>5.2853725022231381E-2</v>
      </c>
      <c r="AB30" s="3">
        <f t="shared" ca="1" si="4"/>
        <v>3.3217200832355034E-2</v>
      </c>
      <c r="AC30" s="3">
        <f t="shared" ca="1" si="5"/>
        <v>1.9093245093403738E-2</v>
      </c>
      <c r="AD30" s="3">
        <f t="shared" ca="1" si="6"/>
        <v>1.5648464984812552E-2</v>
      </c>
      <c r="AE30" s="3">
        <f t="shared" ca="1" si="7"/>
        <v>1.9709027480147207E-2</v>
      </c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array" ref="M31:O33">SVDD(B31:K33)</f>
        <v>2.4880519302933388</v>
      </c>
      <c r="N31">
        <v>0</v>
      </c>
      <c r="O31">
        <v>0</v>
      </c>
      <c r="Q31">
        <f>MAX(M31,N32,O33)/MIN(M31,N32,O33)</f>
        <v>8.7955826152157766</v>
      </c>
      <c r="S31" s="3">
        <f t="shared" ca="1" si="9"/>
        <v>16.194013576122387</v>
      </c>
      <c r="T31" s="3">
        <f t="shared" ca="1" si="8"/>
        <v>6.0055362414661063E-2</v>
      </c>
      <c r="X31" s="3">
        <f t="shared" ca="1" si="0"/>
        <v>6.0055362414661063E-2</v>
      </c>
      <c r="Y31" s="3">
        <f t="shared" ca="1" si="1"/>
        <v>0.21349574641802063</v>
      </c>
      <c r="Z31" s="3">
        <f t="shared" ca="1" si="2"/>
        <v>0.19945550665518111</v>
      </c>
      <c r="AA31" s="3">
        <f t="shared" ca="1" si="3"/>
        <v>0.13941840026981189</v>
      </c>
      <c r="AB31" s="3">
        <f t="shared" ca="1" si="4"/>
        <v>0.2011014919711801</v>
      </c>
      <c r="AC31" s="3">
        <f t="shared" ca="1" si="5"/>
        <v>0.35955397995403837</v>
      </c>
      <c r="AD31" s="3">
        <f t="shared" ca="1" si="6"/>
        <v>0.18766812099091879</v>
      </c>
      <c r="AE31" s="3">
        <f t="shared" ca="1" si="7"/>
        <v>2.4342321627775467E-2</v>
      </c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M32">
        <v>0</v>
      </c>
      <c r="N32">
        <v>2.061322201560595</v>
      </c>
      <c r="O32">
        <v>0</v>
      </c>
      <c r="S32" s="3">
        <f t="shared" ca="1" si="9"/>
        <v>21.15355593936761</v>
      </c>
      <c r="T32" s="3">
        <f t="shared" ca="1" si="8"/>
        <v>7.8447783332148968E-2</v>
      </c>
      <c r="X32" s="3">
        <f t="shared" ca="1" si="0"/>
        <v>7.8447783332148968E-2</v>
      </c>
      <c r="Y32" s="3">
        <f t="shared" ca="1" si="1"/>
        <v>7.8191236532930336E-2</v>
      </c>
      <c r="Z32" s="3">
        <f t="shared" ca="1" si="2"/>
        <v>4.0499916396391965E-2</v>
      </c>
      <c r="AA32" s="3">
        <f t="shared" ca="1" si="3"/>
        <v>2.319630119141312E-2</v>
      </c>
      <c r="AB32" s="3">
        <f t="shared" ca="1" si="4"/>
        <v>2.209867156618953E-2</v>
      </c>
      <c r="AC32" s="3">
        <f t="shared" ca="1" si="5"/>
        <v>3.1490959924010874E-2</v>
      </c>
      <c r="AD32" s="3">
        <f t="shared" ca="1" si="6"/>
        <v>2.4327217524234036E-2</v>
      </c>
      <c r="AE32" s="3">
        <f t="shared" ca="1" si="7"/>
        <v>4.2171202231574667E-2</v>
      </c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M33">
        <v>0</v>
      </c>
      <c r="N33">
        <v>0</v>
      </c>
      <c r="O33">
        <v>0.28287517031437731</v>
      </c>
      <c r="S33" s="3">
        <f t="shared" ca="1" si="9"/>
        <v>5.3120058983562757</v>
      </c>
      <c r="T33" s="3">
        <f t="shared" ca="1" si="8"/>
        <v>1.9699528957106784E-2</v>
      </c>
      <c r="X33" s="3">
        <f t="shared" ca="1" si="0"/>
        <v>1.9699528957106784E-2</v>
      </c>
      <c r="Y33" s="3">
        <f t="shared" ca="1" si="1"/>
        <v>3.7564548402984371E-2</v>
      </c>
      <c r="Z33" s="3">
        <f t="shared" ca="1" si="2"/>
        <v>3.1902171896247125E-2</v>
      </c>
      <c r="AA33" s="3">
        <f t="shared" ca="1" si="3"/>
        <v>2.9392592055362154E-2</v>
      </c>
      <c r="AB33" s="3">
        <f t="shared" ca="1" si="4"/>
        <v>2.8075792636970399E-2</v>
      </c>
      <c r="AC33" s="3">
        <f t="shared" ca="1" si="5"/>
        <v>2.369548951173462E-2</v>
      </c>
      <c r="AD33" s="3">
        <f t="shared" ca="1" si="6"/>
        <v>1.281220911030421E-2</v>
      </c>
      <c r="AE33" s="3">
        <f t="shared" ca="1" si="7"/>
        <v>1.5548454557733824E-2</v>
      </c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S34" s="3">
        <f t="shared" ca="1" si="9"/>
        <v>13.882516621605925</v>
      </c>
      <c r="T34" s="3">
        <f t="shared" ca="1" si="8"/>
        <v>5.1483195504256937E-2</v>
      </c>
      <c r="X34" s="3">
        <f t="shared" ca="1" si="0"/>
        <v>5.1483195504256937E-2</v>
      </c>
      <c r="Y34" s="3">
        <f t="shared" ca="1" si="1"/>
        <v>0.25843338961505929</v>
      </c>
      <c r="Z34" s="3">
        <f t="shared" ca="1" si="2"/>
        <v>0.30758559532981433</v>
      </c>
      <c r="AA34" s="3">
        <f t="shared" ca="1" si="3"/>
        <v>0.18480644062785115</v>
      </c>
      <c r="AB34" s="3">
        <f t="shared" ca="1" si="4"/>
        <v>0.19278277628652071</v>
      </c>
      <c r="AC34" s="3">
        <f t="shared" ca="1" si="5"/>
        <v>0.13453730374554668</v>
      </c>
      <c r="AD34" s="3">
        <f t="shared" ca="1" si="6"/>
        <v>0.11229969358682459</v>
      </c>
      <c r="AE34" s="3">
        <f t="shared" ca="1" si="7"/>
        <v>1.641288666792869E-2</v>
      </c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array" ref="M35:O37">SVDD(B35:K37)</f>
        <v>2.6516336580337656</v>
      </c>
      <c r="N35">
        <v>0</v>
      </c>
      <c r="O35">
        <v>0</v>
      </c>
      <c r="Q35">
        <f>MAX(M35,N36,O37)/MIN(M35,N36,O37)</f>
        <v>36.310273693650416</v>
      </c>
      <c r="S35" s="3">
        <f t="shared" ca="1" si="9"/>
        <v>4.7226020324850646</v>
      </c>
      <c r="T35" s="3">
        <f t="shared" ca="1" si="8"/>
        <v>1.7513729704369988E-2</v>
      </c>
      <c r="X35" s="3">
        <f t="shared" ca="1" si="0"/>
        <v>1.7513729704369988E-2</v>
      </c>
      <c r="Y35" s="3">
        <f t="shared" ca="1" si="1"/>
        <v>2.7888913274089527E-2</v>
      </c>
      <c r="Z35" s="3">
        <f t="shared" ca="1" si="2"/>
        <v>3.0046911810632397E-2</v>
      </c>
      <c r="AA35" s="3">
        <f t="shared" ca="1" si="3"/>
        <v>2.5029163578922573E-2</v>
      </c>
      <c r="AB35" s="3">
        <f t="shared" ca="1" si="4"/>
        <v>3.2399379973522317E-2</v>
      </c>
      <c r="AC35" s="3">
        <f t="shared" ca="1" si="5"/>
        <v>1.5424698692479847E-2</v>
      </c>
      <c r="AD35" s="3">
        <f t="shared" ca="1" si="6"/>
        <v>1.4948746899190457E-2</v>
      </c>
      <c r="AE35" s="3">
        <f t="shared" ca="1" si="7"/>
        <v>2.0272471410022648E-2</v>
      </c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M36">
        <v>0</v>
      </c>
      <c r="N36">
        <v>1.9595484091787814</v>
      </c>
      <c r="O36">
        <v>0</v>
      </c>
      <c r="S36" s="3">
        <f t="shared" ca="1" si="9"/>
        <v>13.789128369163835</v>
      </c>
      <c r="T36" s="3">
        <f t="shared" ca="1" si="8"/>
        <v>5.1136865959742352E-2</v>
      </c>
      <c r="X36" s="3">
        <f t="shared" ca="1" si="0"/>
        <v>5.1136865959742352E-2</v>
      </c>
      <c r="Y36" s="3">
        <f t="shared" ca="1" si="1"/>
        <v>4.8187362799926178E-2</v>
      </c>
      <c r="Z36" s="3">
        <f t="shared" ca="1" si="2"/>
        <v>4.5552785562294688E-2</v>
      </c>
      <c r="AA36" s="3">
        <f t="shared" ca="1" si="3"/>
        <v>4.0493045478177732E-2</v>
      </c>
      <c r="AB36" s="3">
        <f t="shared" ca="1" si="4"/>
        <v>3.2705768170894309E-2</v>
      </c>
      <c r="AC36" s="3">
        <f t="shared" ca="1" si="5"/>
        <v>1.2387959479199174E-2</v>
      </c>
      <c r="AD36" s="3">
        <f t="shared" ca="1" si="6"/>
        <v>1.8253236958906145E-2</v>
      </c>
      <c r="AE36" s="3">
        <f t="shared" ca="1" si="7"/>
        <v>1.3672314884193609E-2</v>
      </c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M37">
        <v>0</v>
      </c>
      <c r="N37">
        <v>0</v>
      </c>
      <c r="O37">
        <v>7.3027090911117462E-2</v>
      </c>
      <c r="S37" s="3">
        <f t="shared" ca="1" si="9"/>
        <v>6.4208801705859262</v>
      </c>
      <c r="T37" s="3">
        <f t="shared" ca="1" si="8"/>
        <v>2.3811779819316502E-2</v>
      </c>
      <c r="X37" s="3">
        <f t="shared" ca="1" si="0"/>
        <v>2.3811779819316502E-2</v>
      </c>
      <c r="Y37" s="3">
        <f t="shared" ca="1" si="1"/>
        <v>2.8349083335173924E-2</v>
      </c>
      <c r="Z37" s="3">
        <f t="shared" ca="1" si="2"/>
        <v>3.1766095061888357E-2</v>
      </c>
      <c r="AA37" s="3">
        <f t="shared" ca="1" si="3"/>
        <v>2.2066168261391506E-2</v>
      </c>
      <c r="AB37" s="3">
        <f t="shared" ca="1" si="4"/>
        <v>3.3735806337950536E-2</v>
      </c>
      <c r="AC37" s="3">
        <f t="shared" ca="1" si="5"/>
        <v>3.2476833988909069E-2</v>
      </c>
      <c r="AD37" s="3">
        <f t="shared" ca="1" si="6"/>
        <v>1.1840049678925628E-2</v>
      </c>
      <c r="AE37" s="3">
        <f t="shared" ca="1" si="7"/>
        <v>2.1341099073656038E-2</v>
      </c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  <c r="S38" s="3">
        <f t="shared" ca="1" si="9"/>
        <v>4.045879529231728</v>
      </c>
      <c r="T38" s="3">
        <f t="shared" ca="1" si="8"/>
        <v>1.5004110023245382E-2</v>
      </c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array" ref="M39:O41">SVDD(B39:K41)</f>
        <v>2.6696636545156753</v>
      </c>
      <c r="N39">
        <v>0</v>
      </c>
      <c r="O39">
        <v>0</v>
      </c>
      <c r="Q39">
        <f>MAX(M39,N40,O41)/MIN(M39,N40,O41)</f>
        <v>3.6561838643533173</v>
      </c>
      <c r="S39" s="3">
        <f t="shared" ca="1" si="9"/>
        <v>6.5541322768243271</v>
      </c>
      <c r="T39" s="3">
        <f t="shared" ca="1" si="8"/>
        <v>2.430594412855628E-2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M40">
        <v>0</v>
      </c>
      <c r="N40">
        <v>2.1061833303717443</v>
      </c>
      <c r="O40">
        <v>0</v>
      </c>
      <c r="S40" s="3">
        <f t="shared" ca="1" si="9"/>
        <v>4.0309345388759619</v>
      </c>
      <c r="T40" s="3">
        <f t="shared" ca="1" si="8"/>
        <v>1.4948686652881996E-2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M41">
        <v>0</v>
      </c>
      <c r="N41">
        <v>0</v>
      </c>
      <c r="O41">
        <v>0.73017762606090064</v>
      </c>
      <c r="S41" s="3">
        <f t="shared" ca="1" si="9"/>
        <v>5.3159412452454919</v>
      </c>
      <c r="T41" s="3">
        <f t="shared" ca="1" si="8"/>
        <v>1.9714123157769166E-2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  <c r="S42" s="3">
        <f t="shared" ca="1" si="9"/>
        <v>5.1732648642378285</v>
      </c>
      <c r="T42" s="3">
        <f t="shared" ca="1" si="8"/>
        <v>1.918500900523681E-2</v>
      </c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array" ref="M43:O45">SVDD(B43:K45)</f>
        <v>2.8914644355276322</v>
      </c>
      <c r="N43">
        <v>0</v>
      </c>
      <c r="O43">
        <v>0</v>
      </c>
      <c r="Q43">
        <f>MAX(M43,N44,O45)/MIN(M43,N44,O45)</f>
        <v>4.4963071940262225</v>
      </c>
      <c r="S43" s="3">
        <f t="shared" ca="1" si="9"/>
        <v>5.3189713164394092</v>
      </c>
      <c r="T43" s="3">
        <f t="shared" ca="1" si="8"/>
        <v>1.972536015117031E-2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M44">
        <v>0</v>
      </c>
      <c r="N44">
        <v>1.5449353275352375</v>
      </c>
      <c r="O44">
        <v>0</v>
      </c>
      <c r="S44" s="3">
        <f t="shared" ca="1" si="9"/>
        <v>14.85523525458103</v>
      </c>
      <c r="T44" s="3">
        <f t="shared" ca="1" si="8"/>
        <v>5.5090514329588038E-2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M45">
        <v>0</v>
      </c>
      <c r="N45">
        <v>0</v>
      </c>
      <c r="O45">
        <v>0.64307537513656121</v>
      </c>
      <c r="S45" s="3">
        <f t="shared" ca="1" si="9"/>
        <v>7.8822944284939442</v>
      </c>
      <c r="T45" s="3">
        <f t="shared" ca="1" si="8"/>
        <v>2.9231422237427546E-2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  <c r="S46" s="3">
        <f t="shared" ca="1" si="9"/>
        <v>31.150944964544813</v>
      </c>
      <c r="T46" s="3">
        <f t="shared" ca="1" si="8"/>
        <v>0.11552301599668371</v>
      </c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array" ref="M47:O49">SVDD(B47:K49)</f>
        <v>2.7282133019273802</v>
      </c>
      <c r="N47">
        <v>0</v>
      </c>
      <c r="O47">
        <v>0</v>
      </c>
      <c r="Q47">
        <f>MAX(M47,N48,O49)/MIN(M47,N48,O49)</f>
        <v>2.7089396753921831</v>
      </c>
      <c r="S47" s="3">
        <f t="shared" ca="1" si="9"/>
        <v>5.1696480384522427</v>
      </c>
      <c r="T47" s="3">
        <f t="shared" ca="1" si="8"/>
        <v>1.9171596037393906E-2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M48">
        <v>0</v>
      </c>
      <c r="N48">
        <v>1.749389490788718</v>
      </c>
      <c r="O48">
        <v>0</v>
      </c>
      <c r="S48" s="3">
        <f t="shared" ca="1" si="9"/>
        <v>7.1651302544625262</v>
      </c>
      <c r="T48" s="3">
        <f t="shared" ca="1" si="8"/>
        <v>2.657182496218673E-2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M49">
        <v>0</v>
      </c>
      <c r="N49">
        <v>0</v>
      </c>
      <c r="O49">
        <v>1.0071148230838352</v>
      </c>
      <c r="S49" s="3">
        <f t="shared" ca="1" si="9"/>
        <v>5.0196527057554077</v>
      </c>
      <c r="T49" s="3">
        <f t="shared" ca="1" si="8"/>
        <v>1.8615339614409417E-2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  <c r="S50" s="3">
        <f t="shared" ca="1" si="9"/>
        <v>8.0131744696932721</v>
      </c>
      <c r="T50" s="3">
        <f t="shared" ca="1" si="8"/>
        <v>2.9716789763527488E-2</v>
      </c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array" ref="M51:O53">SVDD(B51:K53)</f>
        <v>3.2137201420560024</v>
      </c>
      <c r="N51">
        <v>0</v>
      </c>
      <c r="O51">
        <v>0</v>
      </c>
      <c r="Q51">
        <f>MAX(M51,N52,O53)/MIN(M51,N52,O53)</f>
        <v>7.6365391312743336</v>
      </c>
      <c r="S51" s="3">
        <f t="shared" ca="1" si="9"/>
        <v>35.423022168475093</v>
      </c>
      <c r="T51" s="3">
        <f t="shared" ca="1" si="8"/>
        <v>0.13136597818387966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M52">
        <v>0</v>
      </c>
      <c r="N52">
        <v>1.7463303337717475</v>
      </c>
      <c r="O52">
        <v>0</v>
      </c>
      <c r="S52" s="3">
        <f t="shared" ca="1" si="9"/>
        <v>6.0247613775243192</v>
      </c>
      <c r="T52" s="3">
        <f t="shared" ca="1" si="8"/>
        <v>2.2342776624725558E-2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M53">
        <v>0</v>
      </c>
      <c r="N53">
        <v>0</v>
      </c>
      <c r="O53">
        <v>0.42083463291567247</v>
      </c>
      <c r="S53" s="3">
        <f t="shared" ca="1" si="9"/>
        <v>163.93051054852472</v>
      </c>
      <c r="T53" s="3">
        <f t="shared" ca="1" si="8"/>
        <v>0.60793491221522156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  <c r="S54" s="3">
        <f t="shared" ca="1" si="9"/>
        <v>47.204073716051319</v>
      </c>
      <c r="T54" s="3">
        <f t="shared" ca="1" si="8"/>
        <v>0.1750559082305424</v>
      </c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array" ref="M55:O57">SVDD(B55:K57)</f>
        <v>3.3413239820230762</v>
      </c>
      <c r="N55">
        <v>0</v>
      </c>
      <c r="O55">
        <v>0</v>
      </c>
      <c r="Q55">
        <f>MAX(M55,N56,O57)/MIN(M55,N56,O57)</f>
        <v>35.126245864185961</v>
      </c>
      <c r="S55" s="3">
        <f t="shared" ca="1" si="9"/>
        <v>181.92329907450147</v>
      </c>
      <c r="T55" s="3">
        <f t="shared" ca="1" si="8"/>
        <v>0.67466101632144204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M56">
        <v>0</v>
      </c>
      <c r="N56">
        <v>1.6547290332828757</v>
      </c>
      <c r="O56">
        <v>0</v>
      </c>
      <c r="S56" s="3">
        <f t="shared" ca="1" si="9"/>
        <v>15.439891932673806</v>
      </c>
      <c r="T56" s="3">
        <f t="shared" ca="1" si="8"/>
        <v>5.7258708676589498E-2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M57">
        <v>0</v>
      </c>
      <c r="N57">
        <v>0</v>
      </c>
      <c r="O57">
        <v>9.5123287439886239E-2</v>
      </c>
      <c r="S57" s="3">
        <f t="shared" ca="1" si="9"/>
        <v>146.1291626076848</v>
      </c>
      <c r="T57" s="3">
        <f t="shared" ca="1" si="8"/>
        <v>0.5419187639002091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  <c r="S58" s="3">
        <f t="shared" ca="1" si="9"/>
        <v>217.91974984155769</v>
      </c>
      <c r="T58" s="3">
        <f t="shared" ca="1" si="8"/>
        <v>0.80815354961439589</v>
      </c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array" ref="M59:O61">SVDD(B59:K61)</f>
        <v>3.2249664637898579</v>
      </c>
      <c r="N59">
        <v>0</v>
      </c>
      <c r="O59">
        <v>0</v>
      </c>
      <c r="Q59">
        <f>MAX(M59,N60,O61)/MIN(M59,N60,O61)</f>
        <v>4.8590344003529484</v>
      </c>
      <c r="S59" s="3">
        <f t="shared" ca="1" si="9"/>
        <v>19.326504194772792</v>
      </c>
      <c r="T59" s="3">
        <f t="shared" ca="1" si="8"/>
        <v>7.1672177386395905E-2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M60">
        <v>0</v>
      </c>
      <c r="N60">
        <v>1.461292350848288</v>
      </c>
      <c r="O60">
        <v>0</v>
      </c>
      <c r="S60" s="3">
        <f t="shared" ca="1" si="9"/>
        <v>55.666737264417236</v>
      </c>
      <c r="T60" s="3">
        <f t="shared" ca="1" si="8"/>
        <v>0.20643962444156405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M61">
        <v>0</v>
      </c>
      <c r="N61">
        <v>0</v>
      </c>
      <c r="O61">
        <v>0.66370521343820987</v>
      </c>
      <c r="S61" s="3">
        <f t="shared" ca="1" si="9"/>
        <v>7.0831457304138894</v>
      </c>
      <c r="T61" s="3">
        <f t="shared" ca="1" si="8"/>
        <v>2.6267786047992282E-2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S62" s="3">
        <f t="shared" ca="1" si="9"/>
        <v>9.7156896322241337</v>
      </c>
      <c r="T62" s="3">
        <f t="shared" ca="1" si="8"/>
        <v>3.6030552847745478E-2</v>
      </c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array" ref="M63:O65">SVDD(B63:K65)</f>
        <v>2.3453558416962657</v>
      </c>
      <c r="N63">
        <v>0</v>
      </c>
      <c r="O63">
        <v>0</v>
      </c>
      <c r="Q63">
        <f>MAX(M63,N64,O65)/MIN(M63,N64,O65)</f>
        <v>4.1072441892278677</v>
      </c>
      <c r="S63" s="3">
        <f t="shared" ca="1" si="9"/>
        <v>61.048275678723819</v>
      </c>
      <c r="T63" s="3">
        <f t="shared" ca="1" si="8"/>
        <v>0.22639701414612359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M64">
        <v>0</v>
      </c>
      <c r="N64">
        <v>1.6736179544030982</v>
      </c>
      <c r="O64">
        <v>0</v>
      </c>
      <c r="S64" s="3">
        <f t="shared" ca="1" si="9"/>
        <v>260.13612317407507</v>
      </c>
      <c r="T64" s="3">
        <f t="shared" ca="1" si="8"/>
        <v>0.96471261314730661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M65">
        <v>0</v>
      </c>
      <c r="N65">
        <v>0</v>
      </c>
      <c r="O65">
        <v>0.57102907293592775</v>
      </c>
      <c r="S65" s="3">
        <f t="shared" ca="1" si="9"/>
        <v>14.257360877780899</v>
      </c>
      <c r="T65" s="3">
        <f t="shared" ca="1" si="8"/>
        <v>5.2873302258695784E-2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S66" s="3">
        <f t="shared" ca="1" si="9"/>
        <v>57.569430554194433</v>
      </c>
      <c r="T66" s="3">
        <f t="shared" ca="1" si="8"/>
        <v>0.21349574641802063</v>
      </c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array" ref="M67:O69">SVDD(B67:K69)</f>
        <v>2.9756612385365608</v>
      </c>
      <c r="N67">
        <v>0</v>
      </c>
      <c r="O67">
        <v>0</v>
      </c>
      <c r="Q67">
        <f>MAX(M67,N68,O69)/MIN(M67,N68,O69)</f>
        <v>4.6541230593082208</v>
      </c>
      <c r="S67" s="3">
        <f t="shared" ca="1" si="9"/>
        <v>21.084377731420556</v>
      </c>
      <c r="T67" s="3">
        <f t="shared" ca="1" si="8"/>
        <v>7.8191236532930336E-2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M68">
        <v>0</v>
      </c>
      <c r="N68">
        <v>1.3259887960702066</v>
      </c>
      <c r="O68">
        <v>0</v>
      </c>
      <c r="S68" s="3">
        <f t="shared" ca="1" si="9"/>
        <v>10.129333707431407</v>
      </c>
      <c r="T68" s="3">
        <f t="shared" ref="T68:T131" ca="1" si="10">S68/$U$3</f>
        <v>3.7564548402984371E-2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M69">
        <v>0</v>
      </c>
      <c r="N69">
        <v>0</v>
      </c>
      <c r="O69">
        <v>0.63936024050443929</v>
      </c>
      <c r="S69" s="3">
        <f t="shared" ref="S69:S132" ca="1" si="11">OFFSET($Q$3,4*(ROW(A67)-1),0,1,1)</f>
        <v>69.686929720832254</v>
      </c>
      <c r="T69" s="3">
        <f t="shared" ca="1" si="10"/>
        <v>0.25843338961505929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S70" s="3">
        <f t="shared" ca="1" si="11"/>
        <v>7.5202849841374082</v>
      </c>
      <c r="T70" s="3">
        <f t="shared" ca="1" si="10"/>
        <v>2.7888913274089527E-2</v>
      </c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array" ref="M71:O73">SVDD(B71:K73)</f>
        <v>2.4591744987112403</v>
      </c>
      <c r="N71">
        <v>0</v>
      </c>
      <c r="O71">
        <v>0</v>
      </c>
      <c r="Q71">
        <f>MAX(M71,N72,O73)/MIN(M71,N72,O73)</f>
        <v>3.0887111273633301</v>
      </c>
      <c r="S71" s="3">
        <f t="shared" ca="1" si="11"/>
        <v>12.993790662547674</v>
      </c>
      <c r="T71" s="3">
        <f t="shared" ca="1" si="10"/>
        <v>4.8187362799926178E-2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M72">
        <v>0</v>
      </c>
      <c r="N72">
        <v>1.8444795919402464</v>
      </c>
      <c r="O72">
        <v>0</v>
      </c>
      <c r="S72" s="3">
        <f t="shared" ca="1" si="11"/>
        <v>7.6443704931894123</v>
      </c>
      <c r="T72" s="3">
        <f t="shared" ca="1" si="10"/>
        <v>2.8349083335173924E-2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M73">
        <v>0</v>
      </c>
      <c r="N73">
        <v>0</v>
      </c>
      <c r="O73">
        <v>0.79618144828276893</v>
      </c>
      <c r="S73" s="3">
        <f t="shared" ca="1" si="11"/>
        <v>6.5423856740565105</v>
      </c>
      <c r="T73" s="3">
        <f t="shared" ca="1" si="10"/>
        <v>2.4262381951518065E-2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S74" s="3">
        <f t="shared" ca="1" si="11"/>
        <v>3.8020673386262636</v>
      </c>
      <c r="T74" s="3">
        <f t="shared" ca="1" si="10"/>
        <v>1.4099934575997819E-2</v>
      </c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array" ref="M75:O77">SVDD(B75:K77)</f>
        <v>2.6057224801416079</v>
      </c>
      <c r="N75">
        <v>0</v>
      </c>
      <c r="O75">
        <v>0</v>
      </c>
      <c r="Q75">
        <f>MAX(M75,N76,O77)/MIN(M75,N76,O77)</f>
        <v>2.574791744766602</v>
      </c>
      <c r="S75" s="3">
        <f t="shared" ca="1" si="11"/>
        <v>5.3433784035526699</v>
      </c>
      <c r="T75" s="3">
        <f t="shared" ca="1" si="10"/>
        <v>1.9815873627349826E-2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M76">
        <v>0</v>
      </c>
      <c r="N76">
        <v>1.6215159537250357</v>
      </c>
      <c r="O76">
        <v>0</v>
      </c>
      <c r="S76" s="3">
        <f t="shared" ca="1" si="11"/>
        <v>3.9017824992896908</v>
      </c>
      <c r="T76" s="3">
        <f t="shared" ca="1" si="10"/>
        <v>1.4469727406152539E-2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M77">
        <v>0</v>
      </c>
      <c r="N77">
        <v>0</v>
      </c>
      <c r="O77">
        <v>1.0120129076217035</v>
      </c>
      <c r="S77" s="3">
        <f t="shared" ca="1" si="11"/>
        <v>4.8258757624698037</v>
      </c>
      <c r="T77" s="3">
        <f t="shared" ca="1" si="10"/>
        <v>1.789671945876245E-2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S78" s="3">
        <f t="shared" ca="1" si="11"/>
        <v>4.2196534208925307</v>
      </c>
      <c r="T78" s="3">
        <f t="shared" ca="1" si="10"/>
        <v>1.5648549031082402E-2</v>
      </c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array" ref="M79:O81">SVDD(B79:K81)</f>
        <v>2.6141234364863388</v>
      </c>
      <c r="N79">
        <v>0</v>
      </c>
      <c r="O79">
        <v>0</v>
      </c>
      <c r="Q79">
        <f>MAX(M79,N80,O81)/MIN(M79,N80,O81)</f>
        <v>6.0429167939989181</v>
      </c>
      <c r="S79" s="3">
        <f t="shared" ca="1" si="11"/>
        <v>7.3001627320782827</v>
      </c>
      <c r="T79" s="3">
        <f t="shared" ca="1" si="10"/>
        <v>2.7072591763625069E-2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M80">
        <v>0</v>
      </c>
      <c r="N80">
        <v>2.1545393395724823</v>
      </c>
      <c r="O80">
        <v>0</v>
      </c>
      <c r="S80" s="3">
        <f t="shared" ca="1" si="11"/>
        <v>4.6632232261098379</v>
      </c>
      <c r="T80" s="3">
        <f t="shared" ca="1" si="10"/>
        <v>1.7293523903019282E-2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M81">
        <v>0</v>
      </c>
      <c r="N81">
        <v>0</v>
      </c>
      <c r="O81">
        <v>0.43259298871736324</v>
      </c>
      <c r="S81" s="3">
        <f t="shared" ca="1" si="11"/>
        <v>4.797781381421685</v>
      </c>
      <c r="T81" s="3">
        <f t="shared" ca="1" si="10"/>
        <v>1.7792531684204322E-2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S82" s="3">
        <f t="shared" ca="1" si="11"/>
        <v>5.4601440346102681</v>
      </c>
      <c r="T82" s="3">
        <f t="shared" ca="1" si="10"/>
        <v>2.0248897982786965E-2</v>
      </c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array" ref="M83:O85">SVDD(B83:K85)</f>
        <v>2.9773515182496122</v>
      </c>
      <c r="N83">
        <v>0</v>
      </c>
      <c r="O83">
        <v>0</v>
      </c>
      <c r="Q83">
        <f>MAX(M83,N84,O85)/MIN(M83,N84,O85)</f>
        <v>12.113961763885378</v>
      </c>
      <c r="S83" s="3">
        <f t="shared" ca="1" si="11"/>
        <v>8.0741648888016542</v>
      </c>
      <c r="T83" s="3">
        <f t="shared" ca="1" si="10"/>
        <v>2.994297221707172E-2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M84">
        <v>0</v>
      </c>
      <c r="N84">
        <v>1.3416361785372508</v>
      </c>
      <c r="O84">
        <v>0</v>
      </c>
      <c r="S84" s="3">
        <f t="shared" ca="1" si="11"/>
        <v>14.825211659433096</v>
      </c>
      <c r="T84" s="3">
        <f t="shared" ca="1" si="10"/>
        <v>5.4979172080853671E-2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M85">
        <v>0</v>
      </c>
      <c r="N85">
        <v>0</v>
      </c>
      <c r="O85">
        <v>0.24577851377456136</v>
      </c>
      <c r="S85" s="3">
        <f t="shared" ca="1" si="11"/>
        <v>6.3884476105902683</v>
      </c>
      <c r="T85" s="3">
        <f t="shared" ca="1" si="10"/>
        <v>2.3691503944813942E-2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S86" s="3">
        <f t="shared" ca="1" si="11"/>
        <v>4.7080601680628069</v>
      </c>
      <c r="T86" s="3">
        <f t="shared" ca="1" si="10"/>
        <v>1.7459801323122286E-2</v>
      </c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array" ref="M87:O89">SVDD(B87:K89)</f>
        <v>2.7532634853436684</v>
      </c>
      <c r="N87">
        <v>0</v>
      </c>
      <c r="O87">
        <v>0</v>
      </c>
      <c r="Q87">
        <f>MAX(M87,N88,O89)/MIN(M87,N88,O89)</f>
        <v>17.744699360444759</v>
      </c>
      <c r="S87" s="3">
        <f t="shared" ca="1" si="11"/>
        <v>25.850631699586273</v>
      </c>
      <c r="T87" s="3">
        <f t="shared" ca="1" si="10"/>
        <v>9.5866849071662555E-2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M88">
        <v>0</v>
      </c>
      <c r="N88">
        <v>1.8654676551918379</v>
      </c>
      <c r="O88">
        <v>0</v>
      </c>
      <c r="S88" s="3">
        <f t="shared" ca="1" si="11"/>
        <v>161.17688351283616</v>
      </c>
      <c r="T88" s="3">
        <f t="shared" ca="1" si="10"/>
        <v>0.59772310963732833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M89">
        <v>0</v>
      </c>
      <c r="N89">
        <v>0</v>
      </c>
      <c r="O89">
        <v>0.15515977078096069</v>
      </c>
      <c r="S89" s="3">
        <f t="shared" ca="1" si="11"/>
        <v>100.74565201990467</v>
      </c>
      <c r="T89" s="3">
        <f t="shared" ca="1" si="10"/>
        <v>0.37361439863664958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S90" s="3">
        <f t="shared" ca="1" si="11"/>
        <v>208.85789531196536</v>
      </c>
      <c r="T90" s="3">
        <f t="shared" ca="1" si="10"/>
        <v>0.77454773871610005</v>
      </c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array" ref="M91:O93">SVDD(B91:K93)</f>
        <v>3.1875207933206289</v>
      </c>
      <c r="N91">
        <v>0</v>
      </c>
      <c r="O91">
        <v>0</v>
      </c>
      <c r="Q91">
        <f>MAX(M91,N92,O93)/MIN(M91,N92,O93)</f>
        <v>5.8800936891376248</v>
      </c>
      <c r="S91" s="3">
        <f t="shared" ca="1" si="11"/>
        <v>24.816957534001865</v>
      </c>
      <c r="T91" s="3">
        <f t="shared" ca="1" si="10"/>
        <v>9.2033477169074077E-2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M92">
        <v>0</v>
      </c>
      <c r="N92">
        <v>1.6323911381347769</v>
      </c>
      <c r="O92">
        <v>0</v>
      </c>
      <c r="S92" s="3">
        <f t="shared" ca="1" si="11"/>
        <v>118.19701593391721</v>
      </c>
      <c r="T92" s="3">
        <f t="shared" ca="1" si="10"/>
        <v>0.4383326341475472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M93">
        <v>0</v>
      </c>
      <c r="N93">
        <v>0</v>
      </c>
      <c r="O93">
        <v>0.54208673566017807</v>
      </c>
      <c r="S93" s="3">
        <f t="shared" ca="1" si="11"/>
        <v>114.49012581893058</v>
      </c>
      <c r="T93" s="3">
        <f t="shared" ca="1" si="10"/>
        <v>0.42458566350062293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S94" s="3">
        <f t="shared" ca="1" si="11"/>
        <v>11.219353652582738</v>
      </c>
      <c r="T94" s="3">
        <f t="shared" ca="1" si="10"/>
        <v>4.1606878152651461E-2</v>
      </c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array" ref="M95:O97">SVDD(B95:K97)</f>
        <v>3.3141392741405959</v>
      </c>
      <c r="N95">
        <v>0</v>
      </c>
      <c r="O95">
        <v>0</v>
      </c>
      <c r="Q95">
        <f>MAX(M95,N96,O97)/MIN(M95,N96,O97)</f>
        <v>3.879698490595195</v>
      </c>
      <c r="S95" s="3">
        <f t="shared" ca="1" si="11"/>
        <v>59.018589280702926</v>
      </c>
      <c r="T95" s="3">
        <f t="shared" ca="1" si="10"/>
        <v>0.21886993930156612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M96">
        <v>0</v>
      </c>
      <c r="N96">
        <v>1.3285725829167481</v>
      </c>
      <c r="O96">
        <v>0</v>
      </c>
      <c r="S96" s="3">
        <f t="shared" ca="1" si="11"/>
        <v>8.7225719983310803</v>
      </c>
      <c r="T96" s="3">
        <f t="shared" ca="1" si="10"/>
        <v>3.2347584499998847E-2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M97">
        <v>0</v>
      </c>
      <c r="N97">
        <v>0</v>
      </c>
      <c r="O97">
        <v>0.85422598745093847</v>
      </c>
      <c r="S97" s="3">
        <f t="shared" ca="1" si="11"/>
        <v>8.1725865564064186</v>
      </c>
      <c r="T97" s="3">
        <f t="shared" ca="1" si="10"/>
        <v>3.030796813915583E-2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S98" s="3">
        <f t="shared" ca="1" si="11"/>
        <v>67.653017609703767</v>
      </c>
      <c r="T98" s="3">
        <f t="shared" ca="1" si="10"/>
        <v>0.25089064374917386</v>
      </c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array" ref="M99:O101">SVDD(B99:K101)</f>
        <v>3.2334888937160873</v>
      </c>
      <c r="N99">
        <v>0</v>
      </c>
      <c r="O99">
        <v>0</v>
      </c>
      <c r="Q99">
        <f>MAX(M99,N100,O101)/MIN(M99,N100,O101)</f>
        <v>24.685611450250331</v>
      </c>
      <c r="S99" s="3">
        <f t="shared" ca="1" si="11"/>
        <v>154.69262241304</v>
      </c>
      <c r="T99" s="3">
        <f t="shared" ca="1" si="10"/>
        <v>0.5736762821779684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M100">
        <v>0</v>
      </c>
      <c r="N100">
        <v>1.4379707104473813</v>
      </c>
      <c r="O100">
        <v>0</v>
      </c>
      <c r="S100" s="3">
        <f t="shared" ca="1" si="11"/>
        <v>10.48013551028591</v>
      </c>
      <c r="T100" s="3">
        <f t="shared" ca="1" si="10"/>
        <v>3.8865493922581019E-2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M101">
        <v>0</v>
      </c>
      <c r="N101">
        <v>0</v>
      </c>
      <c r="O101">
        <v>0.13098678557072149</v>
      </c>
      <c r="S101" s="3">
        <f t="shared" ca="1" si="11"/>
        <v>53.783460006526404</v>
      </c>
      <c r="T101" s="3">
        <f t="shared" ca="1" si="10"/>
        <v>0.19945550665518111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S102" s="3">
        <f t="shared" ca="1" si="11"/>
        <v>10.920859846395361</v>
      </c>
      <c r="T102" s="3">
        <f t="shared" ca="1" si="10"/>
        <v>4.0499916396391965E-2</v>
      </c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array" ref="M103:O105">SVDD(B103:K105)</f>
        <v>2.9753574607779782</v>
      </c>
      <c r="N103">
        <v>0</v>
      </c>
      <c r="O103">
        <v>0</v>
      </c>
      <c r="Q103">
        <f>MAX(M103,N104,O105)/MIN(M103,N104,O105)</f>
        <v>7.3489080575917889</v>
      </c>
      <c r="S103" s="3">
        <f t="shared" ca="1" si="11"/>
        <v>8.6024658585607803</v>
      </c>
      <c r="T103" s="3">
        <f t="shared" ca="1" si="10"/>
        <v>3.1902171896247125E-2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M104">
        <v>0</v>
      </c>
      <c r="N104">
        <v>2.027710621926528</v>
      </c>
      <c r="O104">
        <v>0</v>
      </c>
      <c r="S104" s="3">
        <f t="shared" ca="1" si="11"/>
        <v>82.940891642587076</v>
      </c>
      <c r="T104" s="3">
        <f t="shared" ca="1" si="10"/>
        <v>0.30758559532981433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M105">
        <v>0</v>
      </c>
      <c r="N105">
        <v>0</v>
      </c>
      <c r="O105">
        <v>0.40487068792543751</v>
      </c>
      <c r="S105" s="3">
        <f t="shared" ca="1" si="11"/>
        <v>8.1021923474921262</v>
      </c>
      <c r="T105" s="3">
        <f t="shared" ca="1" si="10"/>
        <v>3.0046911810632397E-2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S106" s="3">
        <f t="shared" ca="1" si="11"/>
        <v>12.28337317711207</v>
      </c>
      <c r="T106" s="3">
        <f t="shared" ca="1" si="10"/>
        <v>4.5552785562294688E-2</v>
      </c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array" ref="M107:O109">SVDD(B107:K109)</f>
        <v>2.8821837219768947</v>
      </c>
      <c r="N107">
        <v>0</v>
      </c>
      <c r="O107">
        <v>0</v>
      </c>
      <c r="Q107">
        <f>MAX(M107,N108,O109)/MIN(M107,N108,O109)</f>
        <v>6.5789103410788252</v>
      </c>
      <c r="S107" s="3">
        <f t="shared" ca="1" si="11"/>
        <v>8.5657725473492619</v>
      </c>
      <c r="T107" s="3">
        <f t="shared" ca="1" si="10"/>
        <v>3.1766095061888357E-2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M108">
        <v>0</v>
      </c>
      <c r="N108">
        <v>1.9213521116360994</v>
      </c>
      <c r="O108">
        <v>0</v>
      </c>
      <c r="S108" s="3">
        <f t="shared" ca="1" si="11"/>
        <v>5.2210583961793118</v>
      </c>
      <c r="T108" s="3">
        <f t="shared" ca="1" si="10"/>
        <v>1.9362250914312061E-2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M109">
        <v>0</v>
      </c>
      <c r="N109">
        <v>0</v>
      </c>
      <c r="O109">
        <v>0.43809439140407369</v>
      </c>
      <c r="S109" s="3">
        <f t="shared" ca="1" si="11"/>
        <v>6.8911211698737791</v>
      </c>
      <c r="T109" s="3">
        <f t="shared" ca="1" si="10"/>
        <v>2.5555664588939285E-2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S110" s="3">
        <f t="shared" ca="1" si="11"/>
        <v>9.9092391709234864</v>
      </c>
      <c r="T110" s="3">
        <f t="shared" ca="1" si="10"/>
        <v>3.6748329675407206E-2</v>
      </c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array" ref="M111:O113">SVDD(B111:K113)</f>
        <v>2.7845138134029295</v>
      </c>
      <c r="N111">
        <v>0</v>
      </c>
      <c r="O111">
        <v>0</v>
      </c>
      <c r="Q111">
        <f>MAX(M111,N112,O113)/MIN(M111,N112,O113)</f>
        <v>3.1635782706465303</v>
      </c>
      <c r="S111" s="3">
        <f t="shared" ca="1" si="11"/>
        <v>7.5518030681261905</v>
      </c>
      <c r="T111" s="3">
        <f t="shared" ca="1" si="10"/>
        <v>2.8005797822053164E-2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M112">
        <v>0</v>
      </c>
      <c r="N112">
        <v>2.0054269632784743</v>
      </c>
      <c r="O112">
        <v>0</v>
      </c>
      <c r="S112" s="3">
        <f t="shared" ca="1" si="11"/>
        <v>25.738458659751533</v>
      </c>
      <c r="T112" s="3">
        <f t="shared" ca="1" si="10"/>
        <v>9.5450856301941625E-2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M113">
        <v>0</v>
      </c>
      <c r="N113">
        <v>0</v>
      </c>
      <c r="O113">
        <v>0.8801785747611256</v>
      </c>
      <c r="S113" s="3">
        <f t="shared" ca="1" si="11"/>
        <v>8.2412886610281166</v>
      </c>
      <c r="T113" s="3">
        <f t="shared" ca="1" si="10"/>
        <v>3.0562749313218177E-2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S114" s="3">
        <f t="shared" ca="1" si="11"/>
        <v>5.1379725144449369</v>
      </c>
      <c r="T114" s="3">
        <f t="shared" ca="1" si="10"/>
        <v>1.9054127624452848E-2</v>
      </c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array" ref="M115:O117">SVDD(B115:K117)</f>
        <v>3.4360681998087372</v>
      </c>
      <c r="N115">
        <v>0</v>
      </c>
      <c r="O115">
        <v>0</v>
      </c>
      <c r="Q115">
        <f>MAX(M115,N116,O117)/MIN(M115,N116,O117)</f>
        <v>16.194013576122387</v>
      </c>
      <c r="S115" s="3">
        <f t="shared" ca="1" si="11"/>
        <v>5.810361971956044</v>
      </c>
      <c r="T115" s="3">
        <f t="shared" ca="1" si="10"/>
        <v>2.1547678242081508E-2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M116">
        <v>0</v>
      </c>
      <c r="N116">
        <v>1.6531028143665127</v>
      </c>
      <c r="O116">
        <v>0</v>
      </c>
      <c r="S116" s="3">
        <f t="shared" ca="1" si="11"/>
        <v>4.710506893207592</v>
      </c>
      <c r="T116" s="3">
        <f t="shared" ca="1" si="10"/>
        <v>1.7468874982632849E-2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M117">
        <v>0</v>
      </c>
      <c r="N117">
        <v>0</v>
      </c>
      <c r="O117">
        <v>0.21218138317946839</v>
      </c>
      <c r="S117" s="3">
        <f t="shared" ca="1" si="11"/>
        <v>6.8145757617665703</v>
      </c>
      <c r="T117" s="3">
        <f t="shared" ca="1" si="10"/>
        <v>2.5271796590221867E-2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S118" s="3">
        <f t="shared" ca="1" si="11"/>
        <v>8.9936365913164718</v>
      </c>
      <c r="T118" s="3">
        <f t="shared" ca="1" si="10"/>
        <v>3.3352825251033107E-2</v>
      </c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array" ref="M119:O121">SVDD(B119:K121)</f>
        <v>3.5704860045564057</v>
      </c>
      <c r="N119">
        <v>0</v>
      </c>
      <c r="O119">
        <v>0</v>
      </c>
      <c r="Q119">
        <f>MAX(M119,N120,O121)/MIN(M119,N120,O121)</f>
        <v>21.15355593936761</v>
      </c>
      <c r="S119" s="3">
        <f t="shared" ca="1" si="11"/>
        <v>4.2900638844026995</v>
      </c>
      <c r="T119" s="3">
        <f t="shared" ca="1" si="10"/>
        <v>1.5909665639637201E-2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M120">
        <v>0</v>
      </c>
      <c r="N120">
        <v>1.4720499727800069</v>
      </c>
      <c r="O120">
        <v>0</v>
      </c>
      <c r="S120" s="3">
        <f t="shared" ca="1" si="11"/>
        <v>10.794703070737476</v>
      </c>
      <c r="T120" s="3">
        <f t="shared" ca="1" si="10"/>
        <v>4.0032065060613756E-2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M121">
        <v>0</v>
      </c>
      <c r="N121">
        <v>0</v>
      </c>
      <c r="O121">
        <v>0.16878892677857479</v>
      </c>
      <c r="S121" s="3">
        <f t="shared" ca="1" si="11"/>
        <v>13.028459479036709</v>
      </c>
      <c r="T121" s="3">
        <f t="shared" ca="1" si="10"/>
        <v>4.831593181272522E-2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S122" s="3">
        <f t="shared" ca="1" si="11"/>
        <v>5.1194752338322145</v>
      </c>
      <c r="T122" s="3">
        <f t="shared" ca="1" si="10"/>
        <v>1.8985530615708787E-2</v>
      </c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array" ref="M123:O125">SVDD(B123:K125)</f>
        <v>3.3374688467950961</v>
      </c>
      <c r="N123">
        <v>0</v>
      </c>
      <c r="O123">
        <v>0</v>
      </c>
      <c r="Q123">
        <f>MAX(M123,N124,O125)/MIN(M123,N124,O125)</f>
        <v>5.3120058983562757</v>
      </c>
      <c r="S123" s="3">
        <f t="shared" ca="1" si="11"/>
        <v>177.60466000869823</v>
      </c>
      <c r="T123" s="3">
        <f t="shared" ca="1" si="10"/>
        <v>0.65864537986320526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M124">
        <v>0</v>
      </c>
      <c r="N124">
        <v>1.5723901061903838</v>
      </c>
      <c r="O124">
        <v>0</v>
      </c>
      <c r="S124" s="3">
        <f t="shared" ca="1" si="11"/>
        <v>40.369275445344705</v>
      </c>
      <c r="T124" s="3">
        <f t="shared" ca="1" si="10"/>
        <v>0.14970911663691269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M125">
        <v>0</v>
      </c>
      <c r="N125">
        <v>0</v>
      </c>
      <c r="O125">
        <v>0.62828786538580994</v>
      </c>
      <c r="S125" s="3">
        <f t="shared" ca="1" si="11"/>
        <v>172.0082323692053</v>
      </c>
      <c r="T125" s="3">
        <f t="shared" ca="1" si="10"/>
        <v>0.63789107528408984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S126" s="3">
        <f t="shared" ca="1" si="11"/>
        <v>12.984376742891696</v>
      </c>
      <c r="T126" s="3">
        <f t="shared" ca="1" si="10"/>
        <v>4.8152451358483651E-2</v>
      </c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array" ref="M127:O129">SVDD(B127:K129)</f>
        <v>3.418748904550704</v>
      </c>
      <c r="N127">
        <v>0</v>
      </c>
      <c r="O127">
        <v>0</v>
      </c>
      <c r="Q127">
        <f>MAX(M127,N128,O129)/MIN(M127,N128,O129)</f>
        <v>13.882516621605925</v>
      </c>
      <c r="S127" s="3">
        <f t="shared" ca="1" si="11"/>
        <v>40.88530037383439</v>
      </c>
      <c r="T127" s="3">
        <f t="shared" ca="1" si="10"/>
        <v>0.15162279072084342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M128">
        <v>0</v>
      </c>
      <c r="N128">
        <v>1.8647554085992226</v>
      </c>
      <c r="O128">
        <v>0</v>
      </c>
      <c r="S128" s="3">
        <f t="shared" ca="1" si="11"/>
        <v>237.13303108212696</v>
      </c>
      <c r="T128" s="3">
        <f t="shared" ca="1" si="10"/>
        <v>0.87940584063251204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M129">
        <v>0</v>
      </c>
      <c r="N129">
        <v>0</v>
      </c>
      <c r="O129">
        <v>0.246262907348511</v>
      </c>
      <c r="S129" s="3">
        <f t="shared" ca="1" si="11"/>
        <v>10.770179532811747</v>
      </c>
      <c r="T129" s="3">
        <f t="shared" ca="1" si="10"/>
        <v>3.9941119727580875E-2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S130" s="3">
        <f t="shared" ca="1" si="11"/>
        <v>32.088271263260225</v>
      </c>
      <c r="T130" s="3">
        <f t="shared" ca="1" si="10"/>
        <v>0.11899908264968116</v>
      </c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array" ref="M131:O133">SVDD(B131:K133)</f>
        <v>3.4450092607058704</v>
      </c>
      <c r="N131">
        <v>0</v>
      </c>
      <c r="O131">
        <v>0</v>
      </c>
      <c r="Q131">
        <f>MAX(M131,N132,O133)/MIN(M131,N132,O133)</f>
        <v>4.7226020324850646</v>
      </c>
      <c r="S131" s="3">
        <f t="shared" ca="1" si="11"/>
        <v>10.941950508120014</v>
      </c>
      <c r="T131" s="3">
        <f t="shared" ca="1" si="10"/>
        <v>4.0578130937060662E-2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M132">
        <v>0</v>
      </c>
      <c r="N132">
        <v>1.7846013826103262</v>
      </c>
      <c r="O132">
        <v>0</v>
      </c>
      <c r="S132" s="3">
        <f t="shared" ca="1" si="11"/>
        <v>7.2014361283888002</v>
      </c>
      <c r="T132" s="3">
        <f t="shared" ref="T132:T195" ca="1" si="12">S132/$U$3</f>
        <v>2.6706464988649242E-2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M133">
        <v>0</v>
      </c>
      <c r="N133">
        <v>0</v>
      </c>
      <c r="O133">
        <v>0.72947270106794992</v>
      </c>
      <c r="S133" s="3">
        <f t="shared" ref="S133:S196" ca="1" si="13">OFFSET($Q$3,4*(ROW(A131)-1),0,1,1)</f>
        <v>69.431742912131241</v>
      </c>
      <c r="T133" s="3">
        <f t="shared" ca="1" si="12"/>
        <v>0.25748703149278518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S134" s="3">
        <f t="shared" ca="1" si="13"/>
        <v>228.27570493219164</v>
      </c>
      <c r="T134" s="3">
        <f t="shared" ca="1" si="12"/>
        <v>0.84655852150073518</v>
      </c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array" ref="M135:O137">SVDD(B135:K137)</f>
        <v>3.5387380821554189</v>
      </c>
      <c r="N135">
        <v>0</v>
      </c>
      <c r="O135">
        <v>0</v>
      </c>
      <c r="Q135">
        <f>MAX(M135,N136,O137)/MIN(M135,N136,O137)</f>
        <v>13.789128369163835</v>
      </c>
      <c r="S135" s="3">
        <f t="shared" ca="1" si="13"/>
        <v>14.252081848226494</v>
      </c>
      <c r="T135" s="3">
        <f t="shared" ca="1" si="12"/>
        <v>5.2853725022231381E-2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M136">
        <v>0</v>
      </c>
      <c r="N136">
        <v>1.4348501140821788</v>
      </c>
      <c r="O136">
        <v>0</v>
      </c>
      <c r="S136" s="3">
        <f t="shared" ca="1" si="13"/>
        <v>37.594369194572131</v>
      </c>
      <c r="T136" s="3">
        <f t="shared" ca="1" si="12"/>
        <v>0.13941840026981189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M137">
        <v>0</v>
      </c>
      <c r="N137">
        <v>0</v>
      </c>
      <c r="O137">
        <v>0.25663247069836409</v>
      </c>
      <c r="S137" s="3">
        <f t="shared" ca="1" si="13"/>
        <v>6.2549154864123224</v>
      </c>
      <c r="T137" s="3">
        <f t="shared" ca="1" si="12"/>
        <v>2.319630119141312E-2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S138" s="3">
        <f t="shared" ca="1" si="13"/>
        <v>7.9257540982845152</v>
      </c>
      <c r="T138" s="3">
        <f t="shared" ca="1" si="12"/>
        <v>2.9392592055362154E-2</v>
      </c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array" ref="M139:O141">SVDD(B139:K141)</f>
        <v>3.9134147348340691</v>
      </c>
      <c r="N139">
        <v>0</v>
      </c>
      <c r="O139">
        <v>0</v>
      </c>
      <c r="Q139">
        <f>MAX(M139,N140,O141)/MIN(M139,N140,O141)</f>
        <v>6.4208801705859262</v>
      </c>
      <c r="S139" s="3">
        <f t="shared" ca="1" si="13"/>
        <v>49.833318593905744</v>
      </c>
      <c r="T139" s="3">
        <f t="shared" ca="1" si="12"/>
        <v>0.18480644062785115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M140">
        <v>0</v>
      </c>
      <c r="N140">
        <v>1.1639885101048859</v>
      </c>
      <c r="O140">
        <v>0</v>
      </c>
      <c r="S140" s="3">
        <f t="shared" ca="1" si="13"/>
        <v>6.749149426448394</v>
      </c>
      <c r="T140" s="3">
        <f t="shared" ca="1" si="12"/>
        <v>2.5029163578922573E-2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M141">
        <v>0</v>
      </c>
      <c r="N141">
        <v>0</v>
      </c>
      <c r="O141">
        <v>0.60948259909310176</v>
      </c>
      <c r="S141" s="3">
        <f t="shared" ca="1" si="13"/>
        <v>10.919007093562509</v>
      </c>
      <c r="T141" s="3">
        <f t="shared" ca="1" si="12"/>
        <v>4.0493045478177732E-2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S142" s="3">
        <f t="shared" ca="1" si="13"/>
        <v>5.9501735403854479</v>
      </c>
      <c r="T142" s="3">
        <f t="shared" ca="1" si="12"/>
        <v>2.2066168261391506E-2</v>
      </c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array" ref="M143:O145">SVDD(B143:K145)</f>
        <v>2.6417157160495068</v>
      </c>
      <c r="N143">
        <v>0</v>
      </c>
      <c r="O143">
        <v>0</v>
      </c>
      <c r="Q143">
        <f>MAX(M143,N144,O145)/MIN(M143,N144,O145)</f>
        <v>4.045879529231728</v>
      </c>
      <c r="S143" s="3">
        <f t="shared" ca="1" si="13"/>
        <v>5.9223110259446923</v>
      </c>
      <c r="T143" s="3">
        <f t="shared" ca="1" si="12"/>
        <v>2.1962840362186178E-2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M144">
        <v>0</v>
      </c>
      <c r="N144">
        <v>0.85312275329735721</v>
      </c>
      <c r="O144">
        <v>0</v>
      </c>
      <c r="S144" s="3">
        <f t="shared" ca="1" si="13"/>
        <v>10.495580699246693</v>
      </c>
      <c r="T144" s="3">
        <f t="shared" ca="1" si="12"/>
        <v>3.892277227524156E-2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M145">
        <v>0</v>
      </c>
      <c r="N145">
        <v>0</v>
      </c>
      <c r="O145">
        <v>0.65293978650697548</v>
      </c>
      <c r="S145" s="3">
        <f t="shared" ca="1" si="13"/>
        <v>7.0240332854805123</v>
      </c>
      <c r="T145" s="3">
        <f t="shared" ca="1" si="12"/>
        <v>2.6048568045796396E-2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S146" s="3">
        <f t="shared" ca="1" si="13"/>
        <v>5.6271285163995781</v>
      </c>
      <c r="T146" s="3">
        <f t="shared" ca="1" si="12"/>
        <v>2.0868158521525047E-2</v>
      </c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array" ref="M147:O149">SVDD(B147:K149)</f>
        <v>3.8436971521941241</v>
      </c>
      <c r="N147">
        <v>0</v>
      </c>
      <c r="O147">
        <v>0</v>
      </c>
      <c r="Q147">
        <f>MAX(M147,N148,O149)/MIN(M147,N148,O149)</f>
        <v>6.5541322768243271</v>
      </c>
      <c r="S147" s="3">
        <f t="shared" ca="1" si="13"/>
        <v>4.8997062053036835</v>
      </c>
      <c r="T147" s="3">
        <f t="shared" ca="1" si="12"/>
        <v>1.8170519031720771E-2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M148">
        <v>0</v>
      </c>
      <c r="N148">
        <v>0.83817950598003177</v>
      </c>
      <c r="O148">
        <v>0</v>
      </c>
      <c r="S148" s="3">
        <f t="shared" ca="1" si="13"/>
        <v>6.5861271662945571</v>
      </c>
      <c r="T148" s="3">
        <f t="shared" ca="1" si="12"/>
        <v>2.442459690561612E-2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M149">
        <v>0</v>
      </c>
      <c r="N149">
        <v>0</v>
      </c>
      <c r="O149">
        <v>0.586454009447687</v>
      </c>
      <c r="S149" s="3">
        <f t="shared" ca="1" si="13"/>
        <v>6.7013902944805617</v>
      </c>
      <c r="T149" s="3">
        <f t="shared" ca="1" si="12"/>
        <v>2.4852049241858729E-2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S150" s="3">
        <f t="shared" ca="1" si="13"/>
        <v>7.0321257689458081</v>
      </c>
      <c r="T150" s="3">
        <f t="shared" ca="1" si="12"/>
        <v>2.6078578952299498E-2</v>
      </c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array" ref="M151:O153">SVDD(B151:K153)</f>
        <v>2.6615519805018564</v>
      </c>
      <c r="N151">
        <v>0</v>
      </c>
      <c r="O151">
        <v>0</v>
      </c>
      <c r="Q151">
        <f>MAX(M151,N152,O153)/MIN(M151,N152,O153)</f>
        <v>4.0309345388759619</v>
      </c>
      <c r="S151" s="3">
        <f t="shared" ca="1" si="13"/>
        <v>13.883112073102259</v>
      </c>
      <c r="T151" s="3">
        <f t="shared" ca="1" si="12"/>
        <v>5.1485403731096113E-2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M152">
        <v>0</v>
      </c>
      <c r="N152">
        <v>2.1195252843004391</v>
      </c>
      <c r="O152">
        <v>0</v>
      </c>
      <c r="S152" s="3">
        <f t="shared" ca="1" si="13"/>
        <v>10.942110783080427</v>
      </c>
      <c r="T152" s="3">
        <f t="shared" ca="1" si="12"/>
        <v>4.0578725315396108E-2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M153">
        <v>0</v>
      </c>
      <c r="N153">
        <v>0</v>
      </c>
      <c r="O153">
        <v>0.66028161827803789</v>
      </c>
      <c r="S153" s="3">
        <f t="shared" ca="1" si="13"/>
        <v>6.9655714964257749</v>
      </c>
      <c r="T153" s="3">
        <f t="shared" ca="1" si="12"/>
        <v>2.5831762995424664E-2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S154" s="3">
        <f t="shared" ca="1" si="13"/>
        <v>4.4447880023870185</v>
      </c>
      <c r="T154" s="3">
        <f t="shared" ca="1" si="12"/>
        <v>1.648345872287494E-2</v>
      </c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array" ref="M155:O157">SVDD(B155:K157)</f>
        <v>3.499753427348701</v>
      </c>
      <c r="N155">
        <v>0</v>
      </c>
      <c r="O155">
        <v>0</v>
      </c>
      <c r="Q155">
        <f>MAX(M155,N156,O157)/MIN(M155,N156,O157)</f>
        <v>5.3159412452454919</v>
      </c>
      <c r="S155" s="3">
        <f t="shared" ca="1" si="13"/>
        <v>10.896753884057729</v>
      </c>
      <c r="T155" s="3">
        <f t="shared" ca="1" si="12"/>
        <v>4.0410519638896636E-2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M156">
        <v>0</v>
      </c>
      <c r="N156">
        <v>1.6025029892292972</v>
      </c>
      <c r="O156">
        <v>0</v>
      </c>
      <c r="S156" s="3">
        <f t="shared" ca="1" si="13"/>
        <v>4.5839562477202325</v>
      </c>
      <c r="T156" s="3">
        <f t="shared" ca="1" si="12"/>
        <v>1.6999562983922491E-2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M157">
        <v>0</v>
      </c>
      <c r="N157">
        <v>0</v>
      </c>
      <c r="O157">
        <v>0.65835066000378284</v>
      </c>
      <c r="S157" s="3">
        <f t="shared" ca="1" si="13"/>
        <v>9.2996464166492459</v>
      </c>
      <c r="T157" s="3">
        <f t="shared" ca="1" si="12"/>
        <v>3.4487660100739788E-2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S158" s="3">
        <f t="shared" ca="1" si="13"/>
        <v>197.45786878696865</v>
      </c>
      <c r="T158" s="3">
        <f t="shared" ca="1" si="12"/>
        <v>0.73227083674382443</v>
      </c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array" ref="M159:O161">SVDD(B159:K161)</f>
        <v>3.2921984873994838</v>
      </c>
      <c r="N159">
        <v>0</v>
      </c>
      <c r="O159">
        <v>0</v>
      </c>
      <c r="Q159">
        <f>MAX(M159,N160,O161)/MIN(M159,N160,O161)</f>
        <v>5.1732648642378285</v>
      </c>
      <c r="S159" s="3">
        <f t="shared" ca="1" si="13"/>
        <v>131.53204865985026</v>
      </c>
      <c r="T159" s="3">
        <f t="shared" ca="1" si="12"/>
        <v>0.48778549025408341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M160">
        <v>0</v>
      </c>
      <c r="N160">
        <v>1.9675547628399761</v>
      </c>
      <c r="O160">
        <v>0</v>
      </c>
      <c r="S160" s="3">
        <f t="shared" ca="1" si="13"/>
        <v>125.15659561929162</v>
      </c>
      <c r="T160" s="3">
        <f t="shared" ca="1" si="12"/>
        <v>0.46414217656235307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M161">
        <v>0</v>
      </c>
      <c r="N161">
        <v>0</v>
      </c>
      <c r="O161">
        <v>0.63638699618070294</v>
      </c>
      <c r="S161" s="3">
        <f t="shared" ca="1" si="13"/>
        <v>11.323295361557118</v>
      </c>
      <c r="T161" s="3">
        <f t="shared" ca="1" si="12"/>
        <v>4.1992345101478749E-2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S162" s="3">
        <f t="shared" ca="1" si="13"/>
        <v>101.58825718762284</v>
      </c>
      <c r="T162" s="3">
        <f t="shared" ca="1" si="12"/>
        <v>0.37673919277628115</v>
      </c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array" ref="M163:O165">SVDD(B163:K165)</f>
        <v>3.1487274990450986</v>
      </c>
      <c r="N163">
        <v>0</v>
      </c>
      <c r="O163">
        <v>0</v>
      </c>
      <c r="Q163">
        <f>MAX(M163,N164,O165)/MIN(M163,N164,O165)</f>
        <v>5.3189713164394092</v>
      </c>
      <c r="S163" s="3">
        <f t="shared" ca="1" si="13"/>
        <v>269.6514170426355</v>
      </c>
      <c r="T163" s="3">
        <f t="shared" ca="1" si="12"/>
        <v>1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M164">
        <v>0</v>
      </c>
      <c r="N164">
        <v>1.0120154315166527</v>
      </c>
      <c r="O164">
        <v>0</v>
      </c>
      <c r="S164" s="3">
        <f t="shared" ca="1" si="13"/>
        <v>19.524354816003182</v>
      </c>
      <c r="T164" s="3">
        <f t="shared" ca="1" si="12"/>
        <v>7.2405904742255153E-2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M165">
        <v>0</v>
      </c>
      <c r="N165">
        <v>0</v>
      </c>
      <c r="O165">
        <v>0.59198053753613755</v>
      </c>
      <c r="S165" s="3">
        <f t="shared" ca="1" si="13"/>
        <v>57.307011254448241</v>
      </c>
      <c r="T165" s="3">
        <f t="shared" ca="1" si="12"/>
        <v>0.21252256666386157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S166" s="3">
        <f t="shared" ca="1" si="13"/>
        <v>7.3302861116818709</v>
      </c>
      <c r="T166" s="3">
        <f t="shared" ca="1" si="12"/>
        <v>2.7184304062169474E-2</v>
      </c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array" ref="M167:O169">SVDD(B167:K169)</f>
        <v>2.3072516226142086</v>
      </c>
      <c r="N167">
        <v>0</v>
      </c>
      <c r="O167">
        <v>0</v>
      </c>
      <c r="Q167">
        <f>MAX(M167,N168,O169)/MIN(M167,N168,O169)</f>
        <v>14.85523525458103</v>
      </c>
      <c r="S167" s="3">
        <f t="shared" ca="1" si="13"/>
        <v>8.4963031929361694</v>
      </c>
      <c r="T167" s="3">
        <f t="shared" ca="1" si="12"/>
        <v>3.1508468548462294E-2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M168">
        <v>0</v>
      </c>
      <c r="N168">
        <v>1.4605838672752147</v>
      </c>
      <c r="O168">
        <v>0</v>
      </c>
      <c r="S168" s="3">
        <f t="shared" ca="1" si="13"/>
        <v>67.763996770762134</v>
      </c>
      <c r="T168" s="3">
        <f t="shared" ca="1" si="12"/>
        <v>0.2513022090295477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M169">
        <v>0</v>
      </c>
      <c r="N169">
        <v>0</v>
      </c>
      <c r="O169">
        <v>0.15531572425974893</v>
      </c>
      <c r="S169" s="3">
        <f t="shared" ca="1" si="13"/>
        <v>137.96747234834424</v>
      </c>
      <c r="T169" s="3">
        <f t="shared" ca="1" si="12"/>
        <v>0.51165120458658575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S170" s="3">
        <f t="shared" ca="1" si="13"/>
        <v>8.9570652746343455</v>
      </c>
      <c r="T170" s="3">
        <f t="shared" ca="1" si="12"/>
        <v>3.3217200832355034E-2</v>
      </c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array" ref="M171:O173">SVDD(B171:K173)</f>
        <v>2.9900320657414969</v>
      </c>
      <c r="N171">
        <v>0</v>
      </c>
      <c r="O171">
        <v>0</v>
      </c>
      <c r="Q171">
        <f>MAX(M171,N172,O173)/MIN(M171,N172,O173)</f>
        <v>7.8822944284939442</v>
      </c>
      <c r="S171" s="3">
        <f t="shared" ca="1" si="13"/>
        <v>54.227302279416904</v>
      </c>
      <c r="T171" s="3">
        <f t="shared" ca="1" si="12"/>
        <v>0.2011014919711801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M172">
        <v>0</v>
      </c>
      <c r="N172">
        <v>1.278338202753706</v>
      </c>
      <c r="O172">
        <v>0</v>
      </c>
      <c r="S172" s="3">
        <f t="shared" ca="1" si="13"/>
        <v>5.9589381025828034</v>
      </c>
      <c r="T172" s="3">
        <f t="shared" ca="1" si="12"/>
        <v>2.209867156618953E-2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M173">
        <v>0</v>
      </c>
      <c r="N173">
        <v>0</v>
      </c>
      <c r="O173">
        <v>0.37933524215141468</v>
      </c>
      <c r="S173" s="3">
        <f t="shared" ca="1" si="13"/>
        <v>7.5706772691542605</v>
      </c>
      <c r="T173" s="3">
        <f t="shared" ca="1" si="12"/>
        <v>2.8075792636970399E-2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S174" s="3">
        <f t="shared" ca="1" si="13"/>
        <v>51.984148807073701</v>
      </c>
      <c r="T174" s="3">
        <f t="shared" ca="1" si="12"/>
        <v>0.19278277628652071</v>
      </c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array" ref="M175:O177">SVDD(B175:K177)</f>
        <v>2.9671005918613447</v>
      </c>
      <c r="N175">
        <v>0</v>
      </c>
      <c r="O175">
        <v>0</v>
      </c>
      <c r="Q175">
        <f>MAX(M175,N176,O177)/MIN(M175,N176,O177)</f>
        <v>31.150944964544813</v>
      </c>
      <c r="S175" s="3">
        <f t="shared" ca="1" si="13"/>
        <v>8.7365387211630789</v>
      </c>
      <c r="T175" s="3">
        <f t="shared" ca="1" si="12"/>
        <v>3.2399379973522317E-2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M176">
        <v>0</v>
      </c>
      <c r="N176">
        <v>1.3306738069337203</v>
      </c>
      <c r="O176">
        <v>0</v>
      </c>
      <c r="S176" s="3">
        <f t="shared" ca="1" si="13"/>
        <v>8.8191567327495761</v>
      </c>
      <c r="T176" s="3">
        <f t="shared" ca="1" si="12"/>
        <v>3.2705768170894309E-2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M177">
        <v>0</v>
      </c>
      <c r="N177">
        <v>0</v>
      </c>
      <c r="O177">
        <v>9.5249135948794514E-2</v>
      </c>
      <c r="S177" s="3">
        <f t="shared" ca="1" si="13"/>
        <v>9.0969079841042859</v>
      </c>
      <c r="T177" s="3">
        <f t="shared" ca="1" si="12"/>
        <v>3.3735806337950536E-2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S178" s="3">
        <f t="shared" ca="1" si="13"/>
        <v>6.7439838835765089</v>
      </c>
      <c r="T178" s="3">
        <f t="shared" ca="1" si="12"/>
        <v>2.5010007206860682E-2</v>
      </c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array" ref="M179:O181">SVDD(B179:K181)</f>
        <v>3.3302603597440386</v>
      </c>
      <c r="N179">
        <v>0</v>
      </c>
      <c r="O179">
        <v>0</v>
      </c>
      <c r="Q179">
        <f>MAX(M179,N180,O181)/MIN(M179,N180,O181)</f>
        <v>5.1696480384522427</v>
      </c>
      <c r="S179" s="3">
        <f t="shared" ca="1" si="13"/>
        <v>24.854741469633339</v>
      </c>
      <c r="T179" s="3">
        <f t="shared" ca="1" si="12"/>
        <v>9.2173598574872215E-2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M180">
        <v>0</v>
      </c>
      <c r="N180">
        <v>1.9138671650549792</v>
      </c>
      <c r="O180">
        <v>0</v>
      </c>
      <c r="S180" s="3">
        <f t="shared" ca="1" si="13"/>
        <v>6.7600261934823944</v>
      </c>
      <c r="T180" s="3">
        <f t="shared" ca="1" si="12"/>
        <v>2.5069499977497037E-2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M181">
        <v>0</v>
      </c>
      <c r="N181">
        <v>0</v>
      </c>
      <c r="O181">
        <v>0.6441947952690984</v>
      </c>
      <c r="S181" s="3">
        <f t="shared" ca="1" si="13"/>
        <v>7.6432814060471879</v>
      </c>
      <c r="T181" s="3">
        <f t="shared" ca="1" si="12"/>
        <v>2.8345044464716026E-2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S182" s="3">
        <f t="shared" ca="1" si="13"/>
        <v>30.406937748135228</v>
      </c>
      <c r="T182" s="3">
        <f t="shared" ca="1" si="12"/>
        <v>0.11276387152576128</v>
      </c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array" ref="M183:O185">SVDD(B183:K185)</f>
        <v>4.0661822175536635</v>
      </c>
      <c r="N183">
        <v>0</v>
      </c>
      <c r="O183">
        <v>0</v>
      </c>
      <c r="Q183">
        <f>MAX(M183,N184,O185)/MIN(M183,N184,O185)</f>
        <v>7.1651302544625262</v>
      </c>
      <c r="S183" s="3">
        <f t="shared" ca="1" si="13"/>
        <v>7.3872884282208222</v>
      </c>
      <c r="T183" s="3">
        <f t="shared" ca="1" si="12"/>
        <v>2.7395696671057335E-2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M184">
        <v>0</v>
      </c>
      <c r="N184">
        <v>1.245036688580385</v>
      </c>
      <c r="O184">
        <v>0</v>
      </c>
      <c r="S184" s="3">
        <f t="shared" ca="1" si="13"/>
        <v>11.407017699081383</v>
      </c>
      <c r="T184" s="3">
        <f t="shared" ca="1" si="12"/>
        <v>4.230282868225306E-2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M185">
        <v>0</v>
      </c>
      <c r="N185">
        <v>0</v>
      </c>
      <c r="O185">
        <v>0.56749592444899355</v>
      </c>
      <c r="S185" s="3">
        <f t="shared" ca="1" si="13"/>
        <v>7.7042383117965842</v>
      </c>
      <c r="T185" s="3">
        <f t="shared" ca="1" si="12"/>
        <v>2.857110263425184E-2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S186" s="3">
        <f t="shared" ca="1" si="13"/>
        <v>4.6357090519507596</v>
      </c>
      <c r="T186" s="3">
        <f t="shared" ca="1" si="12"/>
        <v>1.7191487820803077E-2</v>
      </c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array" ref="M187:O189">SVDD(B187:K189)</f>
        <v>3.8892183765281794</v>
      </c>
      <c r="N187">
        <v>0</v>
      </c>
      <c r="O187">
        <v>0</v>
      </c>
      <c r="Q187">
        <f>MAX(M187,N188,O189)/MIN(M187,N188,O189)</f>
        <v>5.0196527057554077</v>
      </c>
      <c r="S187" s="3">
        <f t="shared" ca="1" si="13"/>
        <v>8.6702125209460892</v>
      </c>
      <c r="T187" s="3">
        <f t="shared" ca="1" si="12"/>
        <v>3.2153409820854795E-2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M188">
        <v>0</v>
      </c>
      <c r="N188">
        <v>1.5952396003055305</v>
      </c>
      <c r="O188">
        <v>0</v>
      </c>
      <c r="S188" s="3">
        <f t="shared" ca="1" si="13"/>
        <v>10.82052253532785</v>
      </c>
      <c r="T188" s="3">
        <f t="shared" ca="1" si="12"/>
        <v>4.0127816326724443E-2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M189">
        <v>0</v>
      </c>
      <c r="N189">
        <v>0</v>
      </c>
      <c r="O189">
        <v>0.77479829870877304</v>
      </c>
      <c r="S189" s="3">
        <f t="shared" ca="1" si="13"/>
        <v>12.491015365653295</v>
      </c>
      <c r="T189" s="3">
        <f t="shared" ca="1" si="12"/>
        <v>4.6322824862731198E-2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S190" s="3">
        <f t="shared" ca="1" si="13"/>
        <v>13.999889977775659</v>
      </c>
      <c r="T190" s="3">
        <f t="shared" ca="1" si="12"/>
        <v>5.1918473603133668E-2</v>
      </c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array" ref="M191:O193">SVDD(B191:K193)</f>
        <v>3.4454962580752952</v>
      </c>
      <c r="N191">
        <v>0</v>
      </c>
      <c r="O191">
        <v>0</v>
      </c>
      <c r="Q191">
        <f>MAX(M191,N192,O193)/MIN(M191,N192,O193)</f>
        <v>8.0131744696932721</v>
      </c>
      <c r="S191" s="3">
        <f t="shared" ca="1" si="13"/>
        <v>4.0498565184144342</v>
      </c>
      <c r="T191" s="3">
        <f t="shared" ca="1" si="12"/>
        <v>1.5018858654001056E-2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M192">
        <v>0</v>
      </c>
      <c r="N192">
        <v>1.5941821282006237</v>
      </c>
      <c r="O192">
        <v>0</v>
      </c>
      <c r="S192" s="3">
        <f t="shared" ca="1" si="13"/>
        <v>4.3692129899913237</v>
      </c>
      <c r="T192" s="3">
        <f t="shared" ca="1" si="12"/>
        <v>1.6203189428448256E-2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M193">
        <v>0</v>
      </c>
      <c r="N193">
        <v>0</v>
      </c>
      <c r="O193">
        <v>0.4299789391965132</v>
      </c>
      <c r="S193" s="3">
        <f t="shared" ca="1" si="13"/>
        <v>78.646767274648326</v>
      </c>
      <c r="T193" s="3">
        <f t="shared" ca="1" si="12"/>
        <v>0.29166087142131808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S194" s="3">
        <f t="shared" ca="1" si="13"/>
        <v>164.28773400149754</v>
      </c>
      <c r="T194" s="3">
        <f t="shared" ca="1" si="12"/>
        <v>0.60925967236998224</v>
      </c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array" ref="M195:O197">SVDD(B195:K197)</f>
        <v>3.4752349201230679</v>
      </c>
      <c r="N195">
        <v>0</v>
      </c>
      <c r="O195">
        <v>0</v>
      </c>
      <c r="Q195">
        <f>MAX(M195,N196,O197)/MIN(M195,N196,O197)</f>
        <v>35.423022168475093</v>
      </c>
      <c r="S195" s="3">
        <f t="shared" ca="1" si="13"/>
        <v>48.188025421310236</v>
      </c>
      <c r="T195" s="3">
        <f t="shared" ca="1" si="12"/>
        <v>0.17870488480945407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M196">
        <v>0</v>
      </c>
      <c r="N196">
        <v>1.5414200921863905</v>
      </c>
      <c r="O196">
        <v>0</v>
      </c>
      <c r="S196" s="3">
        <f t="shared" ca="1" si="13"/>
        <v>5.3852378456834185</v>
      </c>
      <c r="T196" s="3">
        <f t="shared" ref="T196:T259" ca="1" si="14">S196/$U$3</f>
        <v>1.9971109014539093E-2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M197">
        <v>0</v>
      </c>
      <c r="N197">
        <v>0</v>
      </c>
      <c r="O197">
        <v>9.8106674907480707E-2</v>
      </c>
      <c r="S197" s="3">
        <f t="shared" ref="S197:S260" ca="1" si="15">OFFSET($Q$3,4*(ROW(A195)-1),0,1,1)</f>
        <v>60.784735341936909</v>
      </c>
      <c r="T197" s="3">
        <f t="shared" ca="1" si="14"/>
        <v>0.22541967703557822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S198" s="3">
        <f t="shared" ca="1" si="15"/>
        <v>43.634163887742503</v>
      </c>
      <c r="T198" s="3">
        <f t="shared" ca="1" si="14"/>
        <v>0.16181692781849299</v>
      </c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array" ref="M199:O201">SVDD(B199:K201)</f>
        <v>3.9812230661769319</v>
      </c>
      <c r="N199">
        <v>0</v>
      </c>
      <c r="O199">
        <v>0</v>
      </c>
      <c r="Q199">
        <f>MAX(M199,N200,O201)/MIN(M199,N200,O201)</f>
        <v>6.0247613775243192</v>
      </c>
      <c r="S199" s="3">
        <f t="shared" ca="1" si="15"/>
        <v>15.843396978505577</v>
      </c>
      <c r="T199" s="3">
        <f t="shared" ca="1" si="14"/>
        <v>5.8755103727122351E-2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M200">
        <v>0</v>
      </c>
      <c r="N200">
        <v>1.1889275776559798</v>
      </c>
      <c r="O200">
        <v>0</v>
      </c>
      <c r="S200" s="3">
        <f t="shared" ca="1" si="15"/>
        <v>47.083606103164364</v>
      </c>
      <c r="T200" s="3">
        <f t="shared" ca="1" si="14"/>
        <v>0.17460915510679409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M201">
        <v>0</v>
      </c>
      <c r="N201">
        <v>0</v>
      </c>
      <c r="O201">
        <v>0.6608100830398177</v>
      </c>
      <c r="S201" s="3">
        <f t="shared" ca="1" si="15"/>
        <v>4.2316219886590369</v>
      </c>
      <c r="T201" s="3">
        <f t="shared" ca="1" si="14"/>
        <v>1.569293436344138E-2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S202" s="3">
        <f t="shared" ca="1" si="15"/>
        <v>3.7419183861965877</v>
      </c>
      <c r="T202" s="3">
        <f t="shared" ca="1" si="14"/>
        <v>1.3876872694516344E-2</v>
      </c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array" ref="M203:O205">SVDD(B203:K205)</f>
        <v>3.6377802542283053</v>
      </c>
      <c r="N203">
        <v>0</v>
      </c>
      <c r="O203">
        <v>0</v>
      </c>
      <c r="Q203">
        <f>MAX(M203,N204,O205)/MIN(M203,N204,O205)</f>
        <v>163.93051054852472</v>
      </c>
      <c r="S203" s="3">
        <f t="shared" ca="1" si="15"/>
        <v>73.679012294102208</v>
      </c>
      <c r="T203" s="3">
        <f t="shared" ca="1" si="14"/>
        <v>0.27323799408201355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M204">
        <v>0</v>
      </c>
      <c r="N204">
        <v>1.0986683080343773</v>
      </c>
      <c r="O204">
        <v>0</v>
      </c>
      <c r="S204" s="3">
        <f t="shared" ca="1" si="15"/>
        <v>32.69671686372822</v>
      </c>
      <c r="T204" s="3">
        <f t="shared" ca="1" si="14"/>
        <v>0.12125549801415815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M205">
        <v>0</v>
      </c>
      <c r="N205">
        <v>0</v>
      </c>
      <c r="O205">
        <v>2.2190989597092078E-2</v>
      </c>
      <c r="S205" s="3">
        <f t="shared" ca="1" si="15"/>
        <v>5.148520595378665</v>
      </c>
      <c r="T205" s="3">
        <f t="shared" ca="1" si="14"/>
        <v>1.9093245093403738E-2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S206" s="3">
        <f t="shared" ca="1" si="15"/>
        <v>96.954240197925813</v>
      </c>
      <c r="T206" s="3">
        <f t="shared" ca="1" si="14"/>
        <v>0.35955397995403837</v>
      </c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array" ref="M207:O209">SVDD(B207:K209)</f>
        <v>2.3751718679337839</v>
      </c>
      <c r="N207">
        <v>0</v>
      </c>
      <c r="O207">
        <v>0</v>
      </c>
      <c r="Q207">
        <f>MAX(M207,N208,O209)/MIN(M207,N208,O209)</f>
        <v>47.204073716051319</v>
      </c>
      <c r="S207" s="3">
        <f t="shared" ca="1" si="15"/>
        <v>8.4915819675423769</v>
      </c>
      <c r="T207" s="3">
        <f t="shared" ca="1" si="14"/>
        <v>3.1490959924010874E-2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M208">
        <v>0</v>
      </c>
      <c r="N208">
        <v>2.233556281085284</v>
      </c>
      <c r="O208">
        <v>0</v>
      </c>
      <c r="S208" s="3">
        <f t="shared" ca="1" si="15"/>
        <v>6.3895223243581478</v>
      </c>
      <c r="T208" s="3">
        <f t="shared" ca="1" si="14"/>
        <v>2.369548951173462E-2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M209">
        <v>0</v>
      </c>
      <c r="N209">
        <v>0</v>
      </c>
      <c r="O209">
        <v>5.0317095135077886E-2</v>
      </c>
      <c r="S209" s="3">
        <f t="shared" ca="1" si="15"/>
        <v>36.278174600082131</v>
      </c>
      <c r="T209" s="3">
        <f t="shared" ca="1" si="14"/>
        <v>0.13453730374554668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S210" s="3">
        <f t="shared" ca="1" si="15"/>
        <v>4.1592918598828774</v>
      </c>
      <c r="T210" s="3">
        <f t="shared" ca="1" si="14"/>
        <v>1.5424698692479847E-2</v>
      </c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array" ref="M211:O213">SVDD(B211:K213)</f>
        <v>3.3259671650553737</v>
      </c>
      <c r="N211">
        <v>0</v>
      </c>
      <c r="O211">
        <v>0</v>
      </c>
      <c r="Q211">
        <f>MAX(M211,N212,O213)/MIN(M211,N212,O213)</f>
        <v>181.92329907450147</v>
      </c>
      <c r="S211" s="3">
        <f t="shared" ca="1" si="15"/>
        <v>3.3404308278328063</v>
      </c>
      <c r="T211" s="3">
        <f t="shared" ca="1" si="14"/>
        <v>1.2387959479199174E-2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M212">
        <v>0</v>
      </c>
      <c r="N212">
        <v>1.675664743468094</v>
      </c>
      <c r="O212">
        <v>0</v>
      </c>
      <c r="S212" s="3">
        <f t="shared" ca="1" si="15"/>
        <v>8.7574243061677581</v>
      </c>
      <c r="T212" s="3">
        <f t="shared" ca="1" si="14"/>
        <v>3.2476833988909069E-2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M213">
        <v>0</v>
      </c>
      <c r="N213">
        <v>0</v>
      </c>
      <c r="O213">
        <v>1.8282249618248838E-2</v>
      </c>
      <c r="S213" s="3">
        <f t="shared" ca="1" si="15"/>
        <v>6.2941290610552088</v>
      </c>
      <c r="T213" s="3">
        <f t="shared" ca="1" si="14"/>
        <v>2.3341724401396424E-2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S214" s="3">
        <f t="shared" ca="1" si="15"/>
        <v>14.934482625686957</v>
      </c>
      <c r="T214" s="3">
        <f t="shared" ca="1" si="14"/>
        <v>5.5384402535239102E-2</v>
      </c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array" ref="M215:O217">SVDD(B215:K217)</f>
        <v>3.1222579643854318</v>
      </c>
      <c r="N215">
        <v>0</v>
      </c>
      <c r="O215">
        <v>0</v>
      </c>
      <c r="Q215">
        <f>MAX(M215,N216,O217)/MIN(M215,N216,O217)</f>
        <v>15.439891932673806</v>
      </c>
      <c r="S215" s="3">
        <f t="shared" ca="1" si="15"/>
        <v>6.4291447550836223</v>
      </c>
      <c r="T215" s="3">
        <f t="shared" ca="1" si="14"/>
        <v>2.3842428961043022E-2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M216">
        <v>0</v>
      </c>
      <c r="N216">
        <v>1.9864470575439508</v>
      </c>
      <c r="O216">
        <v>0</v>
      </c>
      <c r="S216" s="3">
        <f t="shared" ca="1" si="15"/>
        <v>8.8426748976303085</v>
      </c>
      <c r="T216" s="3">
        <f t="shared" ca="1" si="14"/>
        <v>3.2792985086490992E-2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M217">
        <v>0</v>
      </c>
      <c r="N217">
        <v>0</v>
      </c>
      <c r="O217">
        <v>0.20222019545215394</v>
      </c>
      <c r="S217" s="3">
        <f t="shared" ca="1" si="15"/>
        <v>3.9231362593986283</v>
      </c>
      <c r="T217" s="3">
        <f t="shared" ca="1" si="14"/>
        <v>1.4548917644954664E-2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S218" s="3">
        <f t="shared" ca="1" si="15"/>
        <v>6.0358778218424316</v>
      </c>
      <c r="T218" s="3">
        <f t="shared" ca="1" si="14"/>
        <v>2.2384001864481501E-2</v>
      </c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array" ref="M219:O221">SVDD(B219:K221)</f>
        <v>3.7358412624229818</v>
      </c>
      <c r="N219">
        <v>0</v>
      </c>
      <c r="O219">
        <v>0</v>
      </c>
      <c r="Q219">
        <f>MAX(M219,N220,O221)/MIN(M219,N220,O221)</f>
        <v>146.1291626076848</v>
      </c>
      <c r="S219" s="3">
        <f t="shared" ca="1" si="15"/>
        <v>12.851721807810179</v>
      </c>
      <c r="T219" s="3">
        <f t="shared" ca="1" si="14"/>
        <v>4.7660501653429659E-2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M220">
        <v>0</v>
      </c>
      <c r="N220">
        <v>2.088840255835803</v>
      </c>
      <c r="O220">
        <v>0</v>
      </c>
      <c r="S220" s="3">
        <f t="shared" ca="1" si="15"/>
        <v>5.786596154939649</v>
      </c>
      <c r="T220" s="3">
        <f t="shared" ca="1" si="14"/>
        <v>2.1459542910633806E-2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M221">
        <v>0</v>
      </c>
      <c r="N221">
        <v>0</v>
      </c>
      <c r="O221">
        <v>2.5565336827753211E-2</v>
      </c>
      <c r="S221" s="3">
        <f t="shared" ca="1" si="15"/>
        <v>19.734340626295541</v>
      </c>
      <c r="T221" s="3">
        <f t="shared" ca="1" si="14"/>
        <v>7.3184635344138674E-2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S222" s="3">
        <f t="shared" ca="1" si="15"/>
        <v>6.7647735369449515</v>
      </c>
      <c r="T222" s="3">
        <f t="shared" ca="1" si="14"/>
        <v>2.508710546058562E-2</v>
      </c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array" ref="M223:O225">SVDD(B223:K225)</f>
        <v>4.3909321008022602</v>
      </c>
      <c r="N223">
        <v>0</v>
      </c>
      <c r="O223">
        <v>0</v>
      </c>
      <c r="Q223">
        <f>MAX(M223,N224,O225)/MIN(M223,N224,O225)</f>
        <v>217.91974984155769</v>
      </c>
      <c r="S223" s="3">
        <f t="shared" ca="1" si="15"/>
        <v>14.966921549735527</v>
      </c>
      <c r="T223" s="3">
        <f t="shared" ca="1" si="14"/>
        <v>5.5504702010778076E-2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M224">
        <v>0</v>
      </c>
      <c r="N224">
        <v>1.5090472867106322</v>
      </c>
      <c r="O224">
        <v>0</v>
      </c>
      <c r="S224" s="3">
        <f t="shared" ca="1" si="15"/>
        <v>3.7361479571893801</v>
      </c>
      <c r="T224" s="3">
        <f t="shared" ca="1" si="14"/>
        <v>1.3855473107336369E-2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M225">
        <v>0</v>
      </c>
      <c r="N225">
        <v>0</v>
      </c>
      <c r="O225">
        <v>2.0149307733671514E-2</v>
      </c>
      <c r="S225" s="3">
        <f t="shared" ca="1" si="15"/>
        <v>7.2285145416857297</v>
      </c>
      <c r="T225" s="3">
        <f t="shared" ca="1" si="14"/>
        <v>2.6806885055392846E-2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S226" s="3">
        <f t="shared" ca="1" si="15"/>
        <v>6.3213261641669307</v>
      </c>
      <c r="T226" s="3">
        <f t="shared" ca="1" si="14"/>
        <v>2.344258462831458E-2</v>
      </c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array" ref="M227:O229">SVDD(B227:K229)</f>
        <v>4.173255001618184</v>
      </c>
      <c r="N227">
        <v>0</v>
      </c>
      <c r="O227">
        <v>0</v>
      </c>
      <c r="Q227">
        <f>MAX(M227,N228,O229)/MIN(M227,N228,O229)</f>
        <v>19.326504194772792</v>
      </c>
      <c r="S227" s="3">
        <f t="shared" ca="1" si="15"/>
        <v>3.3117446814924647</v>
      </c>
      <c r="T227" s="3">
        <f t="shared" ca="1" si="14"/>
        <v>1.2281577148058649E-2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M228">
        <v>0</v>
      </c>
      <c r="N228">
        <v>1.9900615706110933</v>
      </c>
      <c r="O228">
        <v>0</v>
      </c>
      <c r="S228" s="3">
        <f t="shared" ca="1" si="15"/>
        <v>224.43467682103</v>
      </c>
      <c r="T228" s="3">
        <f t="shared" ca="1" si="14"/>
        <v>0.83231410122923211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M229">
        <v>0</v>
      </c>
      <c r="N229">
        <v>0</v>
      </c>
      <c r="O229">
        <v>0.21593429207683185</v>
      </c>
      <c r="S229" s="3">
        <f t="shared" ca="1" si="15"/>
        <v>158.60090624245987</v>
      </c>
      <c r="T229" s="3">
        <f t="shared" ca="1" si="14"/>
        <v>0.58817011971193511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S230" s="3">
        <f t="shared" ca="1" si="15"/>
        <v>45.103625783121565</v>
      </c>
      <c r="T230" s="3">
        <f t="shared" ca="1" si="14"/>
        <v>0.16726641483211668</v>
      </c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array" ref="M231:O233">SVDD(B231:K233)</f>
        <v>3.6353661072990926</v>
      </c>
      <c r="N231">
        <v>0</v>
      </c>
      <c r="O231">
        <v>0</v>
      </c>
      <c r="Q231">
        <f>MAX(M231,N232,O233)/MIN(M231,N232,O233)</f>
        <v>55.666737264417236</v>
      </c>
      <c r="S231" s="3">
        <f t="shared" ca="1" si="15"/>
        <v>5.2656851392909605</v>
      </c>
      <c r="T231" s="3">
        <f t="shared" ca="1" si="14"/>
        <v>1.9527748813789415E-2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M232">
        <v>0</v>
      </c>
      <c r="N232">
        <v>2.1282622093756625</v>
      </c>
      <c r="O232">
        <v>0</v>
      </c>
      <c r="S232" s="3">
        <f t="shared" ca="1" si="15"/>
        <v>239.86414802535919</v>
      </c>
      <c r="T232" s="3">
        <f t="shared" ca="1" si="14"/>
        <v>0.8895341647228705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M233">
        <v>0</v>
      </c>
      <c r="N233">
        <v>0</v>
      </c>
      <c r="O233">
        <v>6.5305895152990345E-2</v>
      </c>
      <c r="S233" s="3">
        <f t="shared" ca="1" si="15"/>
        <v>71.353995389119376</v>
      </c>
      <c r="T233" s="3">
        <f t="shared" ca="1" si="14"/>
        <v>0.26461568854962608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S234" s="3">
        <f t="shared" ca="1" si="15"/>
        <v>10.585878351192873</v>
      </c>
      <c r="T234" s="3">
        <f t="shared" ca="1" si="14"/>
        <v>3.9257640353950386E-2</v>
      </c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array" ref="M235:O237">SVDD(B235:K237)</f>
        <v>3.5503219103127788</v>
      </c>
      <c r="N235">
        <v>0</v>
      </c>
      <c r="O235">
        <v>0</v>
      </c>
      <c r="Q235">
        <f>MAX(M235,N236,O237)/MIN(M235,N236,O237)</f>
        <v>7.0831457304138894</v>
      </c>
      <c r="S235" s="3">
        <f t="shared" ca="1" si="15"/>
        <v>36.296242455828683</v>
      </c>
      <c r="T235" s="3">
        <f t="shared" ca="1" si="14"/>
        <v>0.13460430823580563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M236">
        <v>0</v>
      </c>
      <c r="N236">
        <v>2.1814547442452348</v>
      </c>
      <c r="O236">
        <v>0</v>
      </c>
      <c r="S236" s="3">
        <f t="shared" ca="1" si="15"/>
        <v>4.8507419329223804</v>
      </c>
      <c r="T236" s="3">
        <f t="shared" ca="1" si="14"/>
        <v>1.7988935441623929E-2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M237">
        <v>0</v>
      </c>
      <c r="N237">
        <v>0</v>
      </c>
      <c r="O237">
        <v>0.5012351920232655</v>
      </c>
      <c r="S237" s="3">
        <f t="shared" ca="1" si="15"/>
        <v>4.8497905953248415</v>
      </c>
      <c r="T237" s="3">
        <f t="shared" ca="1" si="14"/>
        <v>1.7985407414187721E-2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S238" s="3">
        <f t="shared" ca="1" si="15"/>
        <v>140.79285134726453</v>
      </c>
      <c r="T238" s="3">
        <f t="shared" ca="1" si="14"/>
        <v>0.52212909871340785</v>
      </c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array" ref="M239:O241">SVDD(B239:K241)</f>
        <v>4.1446192284938004</v>
      </c>
      <c r="N239">
        <v>0</v>
      </c>
      <c r="O239">
        <v>0</v>
      </c>
      <c r="Q239">
        <f>MAX(M239,N240,O241)/MIN(M239,N240,O241)</f>
        <v>9.7156896322241337</v>
      </c>
      <c r="S239" s="3">
        <f t="shared" ca="1" si="15"/>
        <v>33.187408531575741</v>
      </c>
      <c r="T239" s="3">
        <f t="shared" ca="1" si="14"/>
        <v>0.12307522391520889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M240">
        <v>0</v>
      </c>
      <c r="N240">
        <v>1.8688008485652368</v>
      </c>
      <c r="O240">
        <v>0</v>
      </c>
      <c r="S240" s="3">
        <f t="shared" ca="1" si="15"/>
        <v>4.219630757696768</v>
      </c>
      <c r="T240" s="3">
        <f t="shared" ca="1" si="14"/>
        <v>1.5648464984812552E-2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M241">
        <v>0</v>
      </c>
      <c r="N241">
        <v>0</v>
      </c>
      <c r="O241">
        <v>0.4265903281582088</v>
      </c>
      <c r="S241" s="3">
        <f t="shared" ca="1" si="15"/>
        <v>50.60497475893002</v>
      </c>
      <c r="T241" s="3">
        <f t="shared" ca="1" si="14"/>
        <v>0.18766812099091879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S242" s="3">
        <f t="shared" ca="1" si="15"/>
        <v>6.5598686781141424</v>
      </c>
      <c r="T242" s="3">
        <f t="shared" ca="1" si="14"/>
        <v>2.4327217524234036E-2</v>
      </c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array" ref="M243:O245">SVDD(B243:K245)</f>
        <v>3.1887934281590558</v>
      </c>
      <c r="N243">
        <v>0</v>
      </c>
      <c r="O243">
        <v>0</v>
      </c>
      <c r="Q243">
        <f>MAX(M243,N244,O245)/MIN(M243,N244,O245)</f>
        <v>61.048275678723819</v>
      </c>
      <c r="S243" s="3">
        <f t="shared" ca="1" si="15"/>
        <v>3.4548303420400943</v>
      </c>
      <c r="T243" s="3">
        <f t="shared" ca="1" si="14"/>
        <v>1.281220911030421E-2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M244">
        <v>0</v>
      </c>
      <c r="N244">
        <v>1.9020792020520054</v>
      </c>
      <c r="O244">
        <v>0</v>
      </c>
      <c r="S244" s="3">
        <f t="shared" ca="1" si="15"/>
        <v>30.281771509141016</v>
      </c>
      <c r="T244" s="3">
        <f t="shared" ca="1" si="14"/>
        <v>0.11229969358682459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M245">
        <v>0</v>
      </c>
      <c r="N245">
        <v>0</v>
      </c>
      <c r="O245">
        <v>5.2233963903265415E-2</v>
      </c>
      <c r="S245" s="3">
        <f t="shared" ca="1" si="15"/>
        <v>4.03095078437841</v>
      </c>
      <c r="T245" s="3">
        <f t="shared" ca="1" si="14"/>
        <v>1.4948746899190457E-2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S246" s="3">
        <f t="shared" ca="1" si="15"/>
        <v>4.9220112115840484</v>
      </c>
      <c r="T246" s="3">
        <f t="shared" ca="1" si="14"/>
        <v>1.8253236958906145E-2</v>
      </c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array" ref="M247:O249">SVDD(B247:K249)</f>
        <v>3.9391757108733039</v>
      </c>
      <c r="N247">
        <v>0</v>
      </c>
      <c r="O247">
        <v>0</v>
      </c>
      <c r="Q247">
        <f>MAX(M247,N248,O249)/MIN(M247,N248,O249)</f>
        <v>260.13612317407507</v>
      </c>
      <c r="S247" s="3">
        <f t="shared" ca="1" si="15"/>
        <v>3.192686173777497</v>
      </c>
      <c r="T247" s="3">
        <f t="shared" ca="1" si="14"/>
        <v>1.1840049678925628E-2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M248">
        <v>0</v>
      </c>
      <c r="N248">
        <v>1.2284949753685592</v>
      </c>
      <c r="O248">
        <v>0</v>
      </c>
      <c r="S248" s="3">
        <f t="shared" ca="1" si="15"/>
        <v>7.0041428438146252</v>
      </c>
      <c r="T248" s="3">
        <f t="shared" ca="1" si="14"/>
        <v>2.597480451106688E-2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M249">
        <v>0</v>
      </c>
      <c r="N249">
        <v>0</v>
      </c>
      <c r="O249">
        <v>1.5142747815294106E-2</v>
      </c>
      <c r="S249" s="3">
        <f t="shared" ca="1" si="15"/>
        <v>56.052615737066397</v>
      </c>
      <c r="T249" s="3">
        <f t="shared" ca="1" si="14"/>
        <v>0.20787065149449493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S250" s="3">
        <f t="shared" ca="1" si="15"/>
        <v>5.419435186320845</v>
      </c>
      <c r="T250" s="3">
        <f t="shared" ca="1" si="14"/>
        <v>2.0097929563129127E-2</v>
      </c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array" ref="M251:O253">SVDD(B251:K253)</f>
        <v>3.7615285324250811</v>
      </c>
      <c r="N251">
        <v>0</v>
      </c>
      <c r="O251">
        <v>0</v>
      </c>
      <c r="Q251">
        <f>MAX(M251,N252,O253)/MIN(M251,N252,O253)</f>
        <v>14.257360877780899</v>
      </c>
      <c r="S251" s="3">
        <f t="shared" ca="1" si="15"/>
        <v>36.073373244134935</v>
      </c>
      <c r="T251" s="3">
        <f t="shared" ca="1" si="14"/>
        <v>0.13377779964876377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M252">
        <v>0</v>
      </c>
      <c r="N252">
        <v>1.6349148435416814</v>
      </c>
      <c r="O252">
        <v>0</v>
      </c>
      <c r="S252" s="3">
        <f t="shared" ca="1" si="15"/>
        <v>4.2833537339026497</v>
      </c>
      <c r="T252" s="3">
        <f t="shared" ca="1" si="14"/>
        <v>1.5884781103247064E-2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M253">
        <v>0</v>
      </c>
      <c r="N253">
        <v>0</v>
      </c>
      <c r="O253">
        <v>0.26383063209735824</v>
      </c>
      <c r="S253" s="3">
        <f t="shared" ca="1" si="15"/>
        <v>5.8408590968447793</v>
      </c>
      <c r="T253" s="3">
        <f t="shared" ca="1" si="14"/>
        <v>2.1660776571855587E-2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S254" s="3">
        <f t="shared" ca="1" si="15"/>
        <v>26.830345051733651</v>
      </c>
      <c r="T254" s="3">
        <f t="shared" ca="1" si="14"/>
        <v>9.950010775389849E-2</v>
      </c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array" ref="M255:O257">SVDD(B255:K257)</f>
        <v>3.4478053409161822</v>
      </c>
      <c r="N255">
        <v>0</v>
      </c>
      <c r="O255">
        <v>0</v>
      </c>
      <c r="Q255">
        <f>MAX(M255,N256,O257)/MIN(M255,N256,O257)</f>
        <v>57.569430554194433</v>
      </c>
      <c r="S255" s="3">
        <f t="shared" ca="1" si="15"/>
        <v>4.3628626309739627</v>
      </c>
      <c r="T255" s="3">
        <f t="shared" ca="1" si="14"/>
        <v>1.6179639175729368E-2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M256">
        <v>0</v>
      </c>
      <c r="N256">
        <v>1.1520951650654525</v>
      </c>
      <c r="O256">
        <v>0</v>
      </c>
      <c r="S256" s="3">
        <f t="shared" ca="1" si="15"/>
        <v>24.358968305381115</v>
      </c>
      <c r="T256" s="3">
        <f t="shared" ca="1" si="14"/>
        <v>9.0335027987372432E-2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M257">
        <v>0</v>
      </c>
      <c r="N257">
        <v>0</v>
      </c>
      <c r="O257">
        <v>5.9889516149903614E-2</v>
      </c>
      <c r="S257" s="3">
        <f t="shared" ca="1" si="15"/>
        <v>4.1529536305295807</v>
      </c>
      <c r="T257" s="3">
        <f t="shared" ca="1" si="14"/>
        <v>1.5401193422517572E-2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S258" s="3">
        <f t="shared" ca="1" si="15"/>
        <v>17.192251347660161</v>
      </c>
      <c r="T258" s="3">
        <f t="shared" ca="1" si="14"/>
        <v>6.3757318749568581E-2</v>
      </c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array" ref="M259:O261">SVDD(B259:K261)</f>
        <v>3.5060254604187979</v>
      </c>
      <c r="N259">
        <v>0</v>
      </c>
      <c r="O259">
        <v>0</v>
      </c>
      <c r="Q259">
        <f>MAX(M259,N260,O261)/MIN(M259,N260,O261)</f>
        <v>21.084377731420556</v>
      </c>
      <c r="S259" s="3">
        <f t="shared" ca="1" si="15"/>
        <v>3.5188407213414505</v>
      </c>
      <c r="T259" s="3">
        <f t="shared" ca="1" si="14"/>
        <v>1.3049591060688084E-2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M260">
        <v>0</v>
      </c>
      <c r="N260">
        <v>0.87379738426364262</v>
      </c>
      <c r="O260">
        <v>0</v>
      </c>
      <c r="S260" s="3">
        <f t="shared" ca="1" si="15"/>
        <v>2.924045855301256</v>
      </c>
      <c r="T260" s="3">
        <f t="shared" ref="T260:T282" ca="1" si="16">S260/$U$3</f>
        <v>1.0843799329409515E-2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M261">
        <v>0</v>
      </c>
      <c r="N261">
        <v>0</v>
      </c>
      <c r="O261">
        <v>0.16628546049969578</v>
      </c>
      <c r="S261" s="3">
        <f t="shared" ref="S261:S282" ca="1" si="17">OFFSET($Q$3,4*(ROW(A259)-1),0,1,1)</f>
        <v>10.016748055034617</v>
      </c>
      <c r="T261" s="3">
        <f t="shared" ca="1" si="16"/>
        <v>3.7147025463066023E-2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S262" s="3">
        <f t="shared" ca="1" si="17"/>
        <v>2.6371409437012217</v>
      </c>
      <c r="T262" s="3">
        <f t="shared" ca="1" si="16"/>
        <v>9.7798148907344857E-3</v>
      </c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array" ref="M263:O265">SVDD(B263:K265)</f>
        <v>3.9376900015251026</v>
      </c>
      <c r="N263">
        <v>0</v>
      </c>
      <c r="O263">
        <v>0</v>
      </c>
      <c r="Q263">
        <f>MAX(M263,N264,O265)/MIN(M263,N264,O265)</f>
        <v>10.129333707431407</v>
      </c>
      <c r="S263" s="3">
        <f t="shared" ca="1" si="17"/>
        <v>25.137148500155071</v>
      </c>
      <c r="T263" s="3">
        <f t="shared" ca="1" si="16"/>
        <v>9.3220902659601271E-2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M264">
        <v>0</v>
      </c>
      <c r="N264">
        <v>0.81508417720246762</v>
      </c>
      <c r="O264">
        <v>0</v>
      </c>
      <c r="S264" s="3">
        <f t="shared" ca="1" si="17"/>
        <v>17.824556031938322</v>
      </c>
      <c r="T264" s="3">
        <f t="shared" ca="1" si="16"/>
        <v>6.6102215324609331E-2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M265">
        <v>0</v>
      </c>
      <c r="N265">
        <v>0</v>
      </c>
      <c r="O265">
        <v>0.38874126524592711</v>
      </c>
      <c r="S265" s="3">
        <f t="shared" ca="1" si="17"/>
        <v>6.3519339552162419</v>
      </c>
      <c r="T265" s="3">
        <f t="shared" ca="1" si="16"/>
        <v>2.3556093362609387E-2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S266" s="3">
        <f t="shared" ca="1" si="17"/>
        <v>6.7581024047197422</v>
      </c>
      <c r="T266" s="3">
        <f t="shared" ca="1" si="16"/>
        <v>2.5062365623137801E-2</v>
      </c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array" ref="M267:O269">SVDD(B267:K269)</f>
        <v>4.208853480786293</v>
      </c>
      <c r="N267">
        <v>0</v>
      </c>
      <c r="O267">
        <v>0</v>
      </c>
      <c r="Q267">
        <f>MAX(M267,N268,O269)/MIN(M267,N268,O269)</f>
        <v>69.686929720832254</v>
      </c>
      <c r="S267" s="3">
        <f t="shared" ca="1" si="17"/>
        <v>15.943376904367916</v>
      </c>
      <c r="T267" s="3">
        <f t="shared" ca="1" si="16"/>
        <v>5.9125878436778453E-2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M268">
        <v>0</v>
      </c>
      <c r="N268">
        <v>1.7854541681015512</v>
      </c>
      <c r="O268">
        <v>0</v>
      </c>
      <c r="S268" s="3">
        <f t="shared" ca="1" si="17"/>
        <v>24.496849285008604</v>
      </c>
      <c r="T268" s="3">
        <f t="shared" ca="1" si="16"/>
        <v>9.0846358434435087E-2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M269">
        <v>0</v>
      </c>
      <c r="N269">
        <v>0</v>
      </c>
      <c r="O269">
        <v>6.0396598008365054E-2</v>
      </c>
      <c r="S269" s="3">
        <f t="shared" ca="1" si="17"/>
        <v>9.6791251203091573</v>
      </c>
      <c r="T269" s="3">
        <f t="shared" ca="1" si="16"/>
        <v>3.5894953664488839E-2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S270" s="3">
        <f t="shared" ca="1" si="17"/>
        <v>4.3629764122752031</v>
      </c>
      <c r="T270" s="3">
        <f t="shared" ca="1" si="16"/>
        <v>1.6180061132722912E-2</v>
      </c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array" ref="M271:O273">SVDD(B271:K273)</f>
        <v>4.0916777949238137</v>
      </c>
      <c r="N271">
        <v>0</v>
      </c>
      <c r="O271">
        <v>0</v>
      </c>
      <c r="Q271">
        <f>MAX(M271,N272,O273)/MIN(M271,N272,O273)</f>
        <v>7.5202849841374082</v>
      </c>
      <c r="S271" s="3">
        <f t="shared" ca="1" si="17"/>
        <v>7.1527228788070749</v>
      </c>
      <c r="T271" s="3">
        <f t="shared" ca="1" si="16"/>
        <v>2.6525812314482047E-2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M272">
        <v>0</v>
      </c>
      <c r="N272">
        <v>1.9321494096471494</v>
      </c>
      <c r="O272">
        <v>0</v>
      </c>
      <c r="S272" s="3">
        <f t="shared" ca="1" si="17"/>
        <v>3.4260548117406784</v>
      </c>
      <c r="T272" s="3">
        <f t="shared" ca="1" si="16"/>
        <v>1.2705495299507265E-2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M273">
        <v>0</v>
      </c>
      <c r="N273">
        <v>0</v>
      </c>
      <c r="O273">
        <v>0.54408547063767121</v>
      </c>
      <c r="S273" s="3">
        <f t="shared" ca="1" si="17"/>
        <v>12.052974511161958</v>
      </c>
      <c r="T273" s="3">
        <f t="shared" ca="1" si="16"/>
        <v>4.4698354057810204E-2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S274" s="3">
        <f t="shared" ca="1" si="17"/>
        <v>6.7097872866034241</v>
      </c>
      <c r="T274" s="3">
        <f t="shared" ca="1" si="16"/>
        <v>2.4883189416143571E-2</v>
      </c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array" ref="M275:O277">SVDD(B275:K277)</f>
        <v>4.6511626794770677</v>
      </c>
      <c r="N275">
        <v>0</v>
      </c>
      <c r="O275">
        <v>0</v>
      </c>
      <c r="Q275">
        <f>MAX(M275,N276,O277)/MIN(M275,N276,O277)</f>
        <v>12.993790662547674</v>
      </c>
      <c r="S275" s="3">
        <f t="shared" ca="1" si="17"/>
        <v>5.3145671885539381</v>
      </c>
      <c r="T275" s="3">
        <f t="shared" ca="1" si="16"/>
        <v>1.9709027480147207E-2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M276">
        <v>0</v>
      </c>
      <c r="N276">
        <v>1.4990364845983688</v>
      </c>
      <c r="O276">
        <v>0</v>
      </c>
      <c r="S276" s="3">
        <f t="shared" ca="1" si="17"/>
        <v>6.5639415210372487</v>
      </c>
      <c r="T276" s="3">
        <f t="shared" ca="1" si="16"/>
        <v>2.4342321627775467E-2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M277">
        <v>0</v>
      </c>
      <c r="N277">
        <v>0</v>
      </c>
      <c r="O277">
        <v>0.3579527175917363</v>
      </c>
      <c r="S277" s="3">
        <f t="shared" ca="1" si="17"/>
        <v>11.371524440135662</v>
      </c>
      <c r="T277" s="3">
        <f t="shared" ca="1" si="16"/>
        <v>4.2171202231574667E-2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S278" s="3">
        <f t="shared" ca="1" si="17"/>
        <v>4.1926628043159502</v>
      </c>
      <c r="T278" s="3">
        <f t="shared" ca="1" si="16"/>
        <v>1.5548454557733824E-2</v>
      </c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array" ref="M279:O281">SVDD(B279:K281)</f>
        <v>4.3385735959426395</v>
      </c>
      <c r="N279">
        <v>0</v>
      </c>
      <c r="O279">
        <v>0</v>
      </c>
      <c r="Q279">
        <f>MAX(M279,N280,O281)/MIN(M279,N280,O281)</f>
        <v>7.6443704931894123</v>
      </c>
      <c r="S279" s="3">
        <f t="shared" ca="1" si="17"/>
        <v>4.4257581477671515</v>
      </c>
      <c r="T279" s="3">
        <f t="shared" ca="1" si="16"/>
        <v>1.641288666792869E-2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M280">
        <v>0</v>
      </c>
      <c r="N280">
        <v>1.0271107552644356</v>
      </c>
      <c r="O280">
        <v>0</v>
      </c>
      <c r="S280" s="3">
        <f t="shared" ca="1" si="17"/>
        <v>5.4665006426689224</v>
      </c>
      <c r="T280" s="3">
        <f t="shared" ca="1" si="16"/>
        <v>2.0272471410022648E-2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M281">
        <v>0</v>
      </c>
      <c r="N281">
        <v>0</v>
      </c>
      <c r="O281">
        <v>0.56755145499658843</v>
      </c>
      <c r="S281" s="3">
        <f t="shared" ca="1" si="17"/>
        <v>3.6867590827759233</v>
      </c>
      <c r="T281" s="3">
        <f t="shared" ca="1" si="16"/>
        <v>1.3672314884193609E-2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S282" s="3">
        <f t="shared" ca="1" si="17"/>
        <v>5.7546576064586263</v>
      </c>
      <c r="T282" s="3">
        <f t="shared" ca="1" si="16"/>
        <v>2.1341099073656038E-2</v>
      </c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array" ref="M283:O285">SVDD(B283:K285)</f>
        <v>3.5781627058404011</v>
      </c>
      <c r="N283">
        <v>0</v>
      </c>
      <c r="O283">
        <v>0</v>
      </c>
      <c r="Q283">
        <f>MAX(M283,N284,O285)/MIN(M283,N284,O285)</f>
        <v>6.5423856740565105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M284">
        <v>0</v>
      </c>
      <c r="N284">
        <v>0.75205823795785876</v>
      </c>
      <c r="O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M285">
        <v>0</v>
      </c>
      <c r="N285">
        <v>0</v>
      </c>
      <c r="O285">
        <v>0.54692017317618846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array" ref="M287:O289">SVDD(B287:K289)</f>
        <v>2.5828904892821356</v>
      </c>
      <c r="N287">
        <v>0</v>
      </c>
      <c r="O287">
        <v>0</v>
      </c>
      <c r="Q287">
        <f>MAX(M287,N288,O289)/MIN(M287,N288,O289)</f>
        <v>3.8020673386262636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M288">
        <v>0</v>
      </c>
      <c r="N288">
        <v>1.0766349074191202</v>
      </c>
      <c r="O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M289">
        <v>0</v>
      </c>
      <c r="N289">
        <v>0</v>
      </c>
      <c r="O289">
        <v>0.67933843860202847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array" ref="M291:O293">SVDD(B291:K293)</f>
        <v>3.6205856125087741</v>
      </c>
      <c r="N291">
        <v>0</v>
      </c>
      <c r="O291">
        <v>0</v>
      </c>
      <c r="Q291">
        <f>MAX(M291,N292,O293)/MIN(M291,N292,O293)</f>
        <v>5.3433784035526699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M292">
        <v>0</v>
      </c>
      <c r="N292">
        <v>1.5183173104512084</v>
      </c>
      <c r="O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M293">
        <v>0</v>
      </c>
      <c r="N293">
        <v>0</v>
      </c>
      <c r="O293">
        <v>0.67758360704934228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array" ref="M295:O297">SVDD(B295:K297)</f>
        <v>2.6664591742679331</v>
      </c>
      <c r="N295">
        <v>0</v>
      </c>
      <c r="O295">
        <v>0</v>
      </c>
      <c r="Q295">
        <f>MAX(M295,N296,O297)/MIN(M295,N296,O297)</f>
        <v>3.9017824992896908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M296">
        <v>0</v>
      </c>
      <c r="N296">
        <v>2.0261631329436454</v>
      </c>
      <c r="O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M297">
        <v>0</v>
      </c>
      <c r="N297">
        <v>0</v>
      </c>
      <c r="O297">
        <v>0.68339513408380781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array" ref="M299:O301">SVDD(B299:K301)</f>
        <v>3.167136784636424</v>
      </c>
      <c r="N299">
        <v>0</v>
      </c>
      <c r="O299">
        <v>0</v>
      </c>
      <c r="Q299">
        <f>MAX(M299,N300,O301)/MIN(M299,N300,O301)</f>
        <v>4.8258757624698037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M300">
        <v>0</v>
      </c>
      <c r="N300">
        <v>1.9832140888955183</v>
      </c>
      <c r="O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M301">
        <v>0</v>
      </c>
      <c r="N301">
        <v>0</v>
      </c>
      <c r="O301">
        <v>0.65628228751076167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array" ref="M303:O305">SVDD(B303:K305)</f>
        <v>2.7997319265066563</v>
      </c>
      <c r="N303">
        <v>0</v>
      </c>
      <c r="O303">
        <v>0</v>
      </c>
      <c r="Q303">
        <f>MAX(M303,N304,O305)/MIN(M303,N304,O305)</f>
        <v>4.2196534208925307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M304">
        <v>0</v>
      </c>
      <c r="N304">
        <v>1.206540208062431</v>
      </c>
      <c r="O304">
        <v>0</v>
      </c>
      <c r="X304" s="3"/>
      <c r="Y304" s="3"/>
    </row>
    <row r="305" spans="1:17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M305">
        <v>0</v>
      </c>
      <c r="N305">
        <v>0</v>
      </c>
      <c r="O305">
        <v>0.66349807608475675</v>
      </c>
    </row>
    <row r="306" spans="1:17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7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array" ref="M307:O309">SVDD(B307:K309)</f>
        <v>3.9540228081390616</v>
      </c>
      <c r="N307">
        <v>0</v>
      </c>
      <c r="O307">
        <v>0</v>
      </c>
      <c r="Q307">
        <f>MAX(M307,N308,O309)/MIN(M307,N308,O309)</f>
        <v>7.3001627320782827</v>
      </c>
    </row>
    <row r="308" spans="1:17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M308">
        <v>0</v>
      </c>
      <c r="N308">
        <v>1.1780810723203547</v>
      </c>
      <c r="O308">
        <v>0</v>
      </c>
    </row>
    <row r="309" spans="1:17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M309">
        <v>0</v>
      </c>
      <c r="N309">
        <v>0</v>
      </c>
      <c r="O309">
        <v>0.54163488585868702</v>
      </c>
    </row>
    <row r="310" spans="1:17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7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array" ref="M311:O313">SVDD(B311:K313)</f>
        <v>3.0994871746547727</v>
      </c>
      <c r="N311">
        <v>0</v>
      </c>
      <c r="O311">
        <v>0</v>
      </c>
      <c r="Q311">
        <f>MAX(M311,N312,O313)/MIN(M311,N312,O313)</f>
        <v>4.6632232261098379</v>
      </c>
    </row>
    <row r="312" spans="1:17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M312">
        <v>0</v>
      </c>
      <c r="N312">
        <v>1.7531287343967841</v>
      </c>
      <c r="O312">
        <v>0</v>
      </c>
    </row>
    <row r="313" spans="1:17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M313">
        <v>0</v>
      </c>
      <c r="N313">
        <v>0</v>
      </c>
      <c r="O313">
        <v>0.66466626716483235</v>
      </c>
    </row>
    <row r="314" spans="1:17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7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array" ref="M315:O317">SVDD(B315:K317)</f>
        <v>3.5582854006363558</v>
      </c>
      <c r="N315">
        <v>0</v>
      </c>
      <c r="O315">
        <v>0</v>
      </c>
      <c r="Q315">
        <f>MAX(M315,N316,O317)/MIN(M315,N316,O317)</f>
        <v>4.797781381421685</v>
      </c>
    </row>
    <row r="316" spans="1:17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M316">
        <v>0</v>
      </c>
      <c r="N316">
        <v>1.6204368377801341</v>
      </c>
      <c r="O316">
        <v>0</v>
      </c>
    </row>
    <row r="317" spans="1:17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M317">
        <v>0</v>
      </c>
      <c r="N317">
        <v>0</v>
      </c>
      <c r="O317">
        <v>0.74165225919109301</v>
      </c>
    </row>
    <row r="318" spans="1:17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7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array" ref="M319:O321">SVDD(B319:K321)</f>
        <v>3.1228359284522536</v>
      </c>
      <c r="N319">
        <v>0</v>
      </c>
      <c r="O319">
        <v>0</v>
      </c>
      <c r="Q319">
        <f>MAX(M319,N320,O321)/MIN(M319,N320,O321)</f>
        <v>5.4601440346102681</v>
      </c>
    </row>
    <row r="320" spans="1:17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M320">
        <v>0</v>
      </c>
      <c r="N320">
        <v>1.3638533133522461</v>
      </c>
      <c r="O320">
        <v>0</v>
      </c>
    </row>
    <row r="321" spans="1:17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M321">
        <v>0</v>
      </c>
      <c r="N321">
        <v>0</v>
      </c>
      <c r="O321">
        <v>0.57193288467437908</v>
      </c>
    </row>
    <row r="322" spans="1:17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7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array" ref="M323:O325">SVDD(B323:K325)</f>
        <v>2.403456327075459</v>
      </c>
      <c r="N323">
        <v>0</v>
      </c>
      <c r="O323">
        <v>0</v>
      </c>
      <c r="Q323">
        <f>MAX(M323,N324,O325)/MIN(M323,N324,O325)</f>
        <v>8.0741648888016542</v>
      </c>
    </row>
    <row r="324" spans="1:17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M324">
        <v>0</v>
      </c>
      <c r="N324">
        <v>1.3714431289681188</v>
      </c>
      <c r="O324">
        <v>0</v>
      </c>
    </row>
    <row r="325" spans="1:17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M325">
        <v>0</v>
      </c>
      <c r="N325">
        <v>0</v>
      </c>
      <c r="O325">
        <v>0.2976724354996636</v>
      </c>
    </row>
    <row r="326" spans="1:17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7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array" ref="M327:O329">SVDD(B327:K329)</f>
        <v>2.9145923117229162</v>
      </c>
      <c r="N327">
        <v>0</v>
      </c>
      <c r="O327">
        <v>0</v>
      </c>
      <c r="Q327">
        <f>MAX(M327,N328,O329)/MIN(M327,N328,O329)</f>
        <v>14.825211659433096</v>
      </c>
    </row>
    <row r="328" spans="1:17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M328">
        <v>0</v>
      </c>
      <c r="N328">
        <v>1.388354232066086</v>
      </c>
      <c r="O328">
        <v>0</v>
      </c>
    </row>
    <row r="329" spans="1:17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M329">
        <v>0</v>
      </c>
      <c r="N329">
        <v>0</v>
      </c>
      <c r="O329">
        <v>0.19659701181186157</v>
      </c>
    </row>
    <row r="330" spans="1:17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7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array" ref="M331:O333">SVDD(B331:K333)</f>
        <v>3.6220463245794257</v>
      </c>
      <c r="N331">
        <v>0</v>
      </c>
      <c r="O331">
        <v>0</v>
      </c>
      <c r="Q331">
        <f>MAX(M331,N332,O333)/MIN(M331,N332,O333)</f>
        <v>6.3884476105902683</v>
      </c>
    </row>
    <row r="332" spans="1:17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M332">
        <v>0</v>
      </c>
      <c r="N332">
        <v>1.3734902438113761</v>
      </c>
      <c r="O332">
        <v>0</v>
      </c>
    </row>
    <row r="333" spans="1:17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M333">
        <v>0</v>
      </c>
      <c r="N333">
        <v>0</v>
      </c>
      <c r="O333">
        <v>0.56696815022402014</v>
      </c>
    </row>
    <row r="334" spans="1:17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7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array" ref="M335:O337">SVDD(B335:K337)</f>
        <v>4.0133098134000074</v>
      </c>
      <c r="N335">
        <v>0</v>
      </c>
      <c r="O335">
        <v>0</v>
      </c>
      <c r="Q335">
        <f>MAX(M335,N336,O337)/MIN(M335,N336,O337)</f>
        <v>4.7080601680628069</v>
      </c>
    </row>
    <row r="336" spans="1:17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M336">
        <v>0</v>
      </c>
      <c r="N336">
        <v>1.0994539505250531</v>
      </c>
      <c r="O336">
        <v>0</v>
      </c>
    </row>
    <row r="337" spans="1:17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M337">
        <v>0</v>
      </c>
      <c r="N337">
        <v>0</v>
      </c>
      <c r="O337">
        <v>0.85243384114424703</v>
      </c>
    </row>
    <row r="338" spans="1:17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7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array" ref="M339:O341">SVDD(B339:K341)</f>
        <v>3.4861989983343715</v>
      </c>
      <c r="N339">
        <v>0</v>
      </c>
      <c r="O339">
        <v>0</v>
      </c>
      <c r="Q339">
        <f>MAX(M339,N340,O341)/MIN(M339,N340,O341)</f>
        <v>25.850631699586273</v>
      </c>
    </row>
    <row r="340" spans="1:17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M340">
        <v>0</v>
      </c>
      <c r="N340">
        <v>1.2949634021999765</v>
      </c>
      <c r="O340">
        <v>0</v>
      </c>
    </row>
    <row r="341" spans="1:17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M341">
        <v>0</v>
      </c>
      <c r="N341">
        <v>0</v>
      </c>
      <c r="O341">
        <v>0.13485933492256463</v>
      </c>
    </row>
    <row r="342" spans="1:17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7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array" ref="M343:O345">SVDD(B343:K345)</f>
        <v>3.4203716232923873</v>
      </c>
      <c r="N343">
        <v>0</v>
      </c>
      <c r="O343">
        <v>0</v>
      </c>
      <c r="Q343">
        <f>MAX(M343,N344,O345)/MIN(M343,N344,O345)</f>
        <v>161.17688351283616</v>
      </c>
    </row>
    <row r="344" spans="1:17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M344">
        <v>0</v>
      </c>
      <c r="N344">
        <v>1.2728298134833331</v>
      </c>
      <c r="O344">
        <v>0</v>
      </c>
    </row>
    <row r="345" spans="1:17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M345">
        <v>0</v>
      </c>
      <c r="N345">
        <v>0</v>
      </c>
      <c r="O345">
        <v>2.1221229426613079E-2</v>
      </c>
    </row>
    <row r="346" spans="1:17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7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array" ref="M347:O349">SVDD(B347:K349)</f>
        <v>4.3323360095675199</v>
      </c>
      <c r="N347">
        <v>0</v>
      </c>
      <c r="O347">
        <v>0</v>
      </c>
      <c r="Q347">
        <f>MAX(M347,N348,O349)/MIN(M347,N348,O349)</f>
        <v>100.74565201990467</v>
      </c>
    </row>
    <row r="348" spans="1:17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M348">
        <v>0</v>
      </c>
      <c r="N348">
        <v>1.4593094404121394</v>
      </c>
      <c r="O348">
        <v>0</v>
      </c>
    </row>
    <row r="349" spans="1:17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M349">
        <v>0</v>
      </c>
      <c r="N349">
        <v>0</v>
      </c>
      <c r="O349">
        <v>4.3002709523499487E-2</v>
      </c>
    </row>
    <row r="350" spans="1:17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7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array" ref="M351:O353">SVDD(B351:K353)</f>
        <v>3.5683779853606548</v>
      </c>
      <c r="N351">
        <v>0</v>
      </c>
      <c r="O351">
        <v>0</v>
      </c>
      <c r="Q351">
        <f>MAX(M351,N352,O353)/MIN(M351,N352,O353)</f>
        <v>208.85789531196536</v>
      </c>
    </row>
    <row r="352" spans="1:17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M352">
        <v>0</v>
      </c>
      <c r="N352">
        <v>1.9940608132019717</v>
      </c>
      <c r="O352">
        <v>0</v>
      </c>
    </row>
    <row r="353" spans="1:17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M353">
        <v>0</v>
      </c>
      <c r="N353">
        <v>0</v>
      </c>
      <c r="O353">
        <v>1.7085195558591001E-2</v>
      </c>
    </row>
    <row r="354" spans="1:17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7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array" ref="M355:O357">SVDD(B355:K357)</f>
        <v>3.8955295061534159</v>
      </c>
      <c r="N355">
        <v>0</v>
      </c>
      <c r="O355">
        <v>0</v>
      </c>
      <c r="Q355">
        <f>MAX(M355,N356,O357)/MIN(M355,N356,O357)</f>
        <v>24.816957534001865</v>
      </c>
    </row>
    <row r="356" spans="1:17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M356">
        <v>0</v>
      </c>
      <c r="N356">
        <v>2.0548312612799013</v>
      </c>
      <c r="O356">
        <v>0</v>
      </c>
    </row>
    <row r="357" spans="1:17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M357">
        <v>0</v>
      </c>
      <c r="N357">
        <v>0</v>
      </c>
      <c r="O357">
        <v>0.15697047072817558</v>
      </c>
    </row>
    <row r="358" spans="1:17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7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array" ref="M359:O361">SVDD(B359:K361)</f>
        <v>3.5016802451953954</v>
      </c>
      <c r="N359">
        <v>0</v>
      </c>
      <c r="O359">
        <v>0</v>
      </c>
      <c r="Q359">
        <f>MAX(M359,N360,O361)/MIN(M359,N360,O361)</f>
        <v>118.19701593391721</v>
      </c>
    </row>
    <row r="360" spans="1:17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M360">
        <v>0</v>
      </c>
      <c r="N360">
        <v>1.8060817942777854</v>
      </c>
      <c r="O360">
        <v>0</v>
      </c>
    </row>
    <row r="361" spans="1:17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M361">
        <v>0</v>
      </c>
      <c r="N361">
        <v>0</v>
      </c>
      <c r="O361">
        <v>2.9625792305561675E-2</v>
      </c>
    </row>
    <row r="362" spans="1:17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7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array" ref="M363:O365">SVDD(B363:K365)</f>
        <v>2.4952773603072469</v>
      </c>
      <c r="N363">
        <v>0</v>
      </c>
      <c r="O363">
        <v>0</v>
      </c>
      <c r="Q363">
        <f>MAX(M363,N364,O365)/MIN(M363,N364,O365)</f>
        <v>114.49012581893058</v>
      </c>
    </row>
    <row r="364" spans="1:17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M364">
        <v>0</v>
      </c>
      <c r="N364">
        <v>2.2598700986029021</v>
      </c>
      <c r="O364">
        <v>0</v>
      </c>
    </row>
    <row r="365" spans="1:17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M365">
        <v>0</v>
      </c>
      <c r="N365">
        <v>0</v>
      </c>
      <c r="O365">
        <v>2.1794694891449414E-2</v>
      </c>
    </row>
    <row r="366" spans="1:17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7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array" ref="M367:O369">SVDD(B367:K369)</f>
        <v>3.051405407168466</v>
      </c>
      <c r="N367">
        <v>0</v>
      </c>
      <c r="O367">
        <v>0</v>
      </c>
      <c r="Q367">
        <f>MAX(M367,N368,O369)/MIN(M367,N368,O369)</f>
        <v>11.219353652582738</v>
      </c>
    </row>
    <row r="368" spans="1:17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M368">
        <v>0</v>
      </c>
      <c r="N368">
        <v>2.1589534645102919</v>
      </c>
      <c r="O368">
        <v>0</v>
      </c>
    </row>
    <row r="369" spans="1:17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M369">
        <v>0</v>
      </c>
      <c r="N369">
        <v>0</v>
      </c>
      <c r="O369">
        <v>0.27197693393558559</v>
      </c>
    </row>
    <row r="370" spans="1:17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7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array" ref="M371:O373">SVDD(B371:K373)</f>
        <v>3.8617411336739358</v>
      </c>
      <c r="N371">
        <v>0</v>
      </c>
      <c r="O371">
        <v>0</v>
      </c>
      <c r="Q371">
        <f>MAX(M371,N372,O373)/MIN(M371,N372,O373)</f>
        <v>59.018589280702926</v>
      </c>
    </row>
    <row r="372" spans="1:17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M372">
        <v>0</v>
      </c>
      <c r="N372">
        <v>1.9994127697949529</v>
      </c>
      <c r="O372">
        <v>0</v>
      </c>
    </row>
    <row r="373" spans="1:17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M373">
        <v>0</v>
      </c>
      <c r="N373">
        <v>0</v>
      </c>
      <c r="O373">
        <v>6.5432623529966247E-2</v>
      </c>
    </row>
    <row r="374" spans="1:17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7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array" ref="M375:O377">SVDD(B375:K377)</f>
        <v>4.2139497017071497</v>
      </c>
      <c r="N375">
        <v>0</v>
      </c>
      <c r="O375">
        <v>0</v>
      </c>
      <c r="Q375">
        <f>MAX(M375,N376,O377)/MIN(M375,N376,O377)</f>
        <v>8.7225719983310803</v>
      </c>
    </row>
    <row r="376" spans="1:17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M376">
        <v>0</v>
      </c>
      <c r="N376">
        <v>1.9069454391543625</v>
      </c>
      <c r="O376">
        <v>0</v>
      </c>
    </row>
    <row r="377" spans="1:17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M377">
        <v>0</v>
      </c>
      <c r="N377">
        <v>0</v>
      </c>
      <c r="O377">
        <v>0.48310861779225428</v>
      </c>
    </row>
    <row r="378" spans="1:17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7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array" ref="M379:O381">SVDD(B379:K381)</f>
        <v>3.5753464816348881</v>
      </c>
      <c r="N379">
        <v>0</v>
      </c>
      <c r="O379">
        <v>0</v>
      </c>
      <c r="Q379">
        <f>MAX(M379,N380,O381)/MIN(M379,N380,O381)</f>
        <v>8.1725865564064186</v>
      </c>
    </row>
    <row r="380" spans="1:17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M380">
        <v>0</v>
      </c>
      <c r="N380">
        <v>2.1123538210585493</v>
      </c>
      <c r="O380">
        <v>0</v>
      </c>
    </row>
    <row r="381" spans="1:17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M381">
        <v>0</v>
      </c>
      <c r="N381">
        <v>0</v>
      </c>
      <c r="O381">
        <v>0.43748040561677565</v>
      </c>
    </row>
    <row r="382" spans="1:17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7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array" ref="M383:O385">SVDD(B383:K385)</f>
        <v>3.8604376761221704</v>
      </c>
      <c r="N383">
        <v>0</v>
      </c>
      <c r="O383">
        <v>0</v>
      </c>
      <c r="Q383">
        <f>MAX(M383,N384,O385)/MIN(M383,N384,O385)</f>
        <v>67.653017609703767</v>
      </c>
    </row>
    <row r="384" spans="1:17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M384">
        <v>0</v>
      </c>
      <c r="N384">
        <v>1.4354858389957794</v>
      </c>
      <c r="O384">
        <v>0</v>
      </c>
    </row>
    <row r="385" spans="1:17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M385">
        <v>0</v>
      </c>
      <c r="N385">
        <v>0</v>
      </c>
      <c r="O385">
        <v>5.7062313146079846E-2</v>
      </c>
    </row>
    <row r="386" spans="1:17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7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array" ref="M387:O389">SVDD(B387:K389)</f>
        <v>3.0031947180279759</v>
      </c>
      <c r="N387">
        <v>0</v>
      </c>
      <c r="O387">
        <v>0</v>
      </c>
      <c r="Q387">
        <f>MAX(M387,N388,O389)/MIN(M387,N388,O389)</f>
        <v>154.69262241304</v>
      </c>
    </row>
    <row r="388" spans="1:17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M388">
        <v>0</v>
      </c>
      <c r="N388">
        <v>1.9375328213033645</v>
      </c>
      <c r="O388">
        <v>0</v>
      </c>
    </row>
    <row r="389" spans="1:17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M389">
        <v>0</v>
      </c>
      <c r="N389">
        <v>0</v>
      </c>
      <c r="O389">
        <v>1.9413949231588033E-2</v>
      </c>
    </row>
    <row r="390" spans="1:17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7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array" ref="M391:O393">SVDD(B391:K393)</f>
        <v>3.4683444754726636</v>
      </c>
      <c r="N391">
        <v>0</v>
      </c>
      <c r="O391">
        <v>0</v>
      </c>
      <c r="Q391">
        <f>MAX(M391,N392,O393)/MIN(M391,N392,O393)</f>
        <v>10.48013551028591</v>
      </c>
    </row>
    <row r="392" spans="1:17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M392">
        <v>0</v>
      </c>
      <c r="N392">
        <v>1.8302010521652259</v>
      </c>
      <c r="O392">
        <v>0</v>
      </c>
    </row>
    <row r="393" spans="1:17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M393">
        <v>0</v>
      </c>
      <c r="N393">
        <v>0</v>
      </c>
      <c r="O393">
        <v>0.33094462109469835</v>
      </c>
    </row>
    <row r="394" spans="1:17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7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array" ref="M395:O397">SVDD(B395:K397)</f>
        <v>4.2072240697322645</v>
      </c>
      <c r="N395">
        <v>0</v>
      </c>
      <c r="O395">
        <v>0</v>
      </c>
      <c r="Q395">
        <f>MAX(M395,N396,O397)/MIN(M395,N396,O397)</f>
        <v>53.783460006526404</v>
      </c>
    </row>
    <row r="396" spans="1:17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M396">
        <v>0</v>
      </c>
      <c r="N396">
        <v>1.627211033619145</v>
      </c>
      <c r="O396">
        <v>0</v>
      </c>
    </row>
    <row r="397" spans="1:17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M397">
        <v>0</v>
      </c>
      <c r="N397">
        <v>0</v>
      </c>
      <c r="O397">
        <v>7.8225240050040196E-2</v>
      </c>
    </row>
    <row r="398" spans="1:17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7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array" ref="M399:O401">SVDD(B399:K401)</f>
        <v>4.532200928348221</v>
      </c>
      <c r="N399">
        <v>0</v>
      </c>
      <c r="O399">
        <v>0</v>
      </c>
      <c r="Q399">
        <f>MAX(M399,N400,O401)/MIN(M399,N400,O401)</f>
        <v>10.920859846395361</v>
      </c>
    </row>
    <row r="400" spans="1:17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M400">
        <v>0</v>
      </c>
      <c r="N400">
        <v>1.5351130013804362</v>
      </c>
      <c r="O400">
        <v>0</v>
      </c>
    </row>
    <row r="401" spans="1:17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M401">
        <v>0</v>
      </c>
      <c r="N401">
        <v>0</v>
      </c>
      <c r="O401">
        <v>0.4150040374196507</v>
      </c>
    </row>
    <row r="402" spans="1:17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7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array" ref="M403:O405">SVDD(B403:K405)</f>
        <v>3.9220546980693092</v>
      </c>
      <c r="N403">
        <v>0</v>
      </c>
      <c r="O403">
        <v>0</v>
      </c>
      <c r="Q403">
        <f>MAX(M403,N404,O405)/MIN(M403,N404,O405)</f>
        <v>8.6024658585607803</v>
      </c>
    </row>
    <row r="404" spans="1:17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M404">
        <v>0</v>
      </c>
      <c r="N404">
        <v>1.8126897278636604</v>
      </c>
      <c r="O404">
        <v>0</v>
      </c>
    </row>
    <row r="405" spans="1:17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M405">
        <v>0</v>
      </c>
      <c r="N405">
        <v>0</v>
      </c>
      <c r="O405">
        <v>0.45592214634205841</v>
      </c>
    </row>
    <row r="406" spans="1:17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7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array" ref="M407:O409">SVDD(B407:K409)</f>
        <v>3.6353288888160766</v>
      </c>
      <c r="N407">
        <v>0</v>
      </c>
      <c r="O407">
        <v>0</v>
      </c>
      <c r="Q407">
        <f>MAX(M407,N408,O409)/MIN(M407,N408,O409)</f>
        <v>82.940891642587076</v>
      </c>
    </row>
    <row r="408" spans="1:17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M408">
        <v>0</v>
      </c>
      <c r="N408">
        <v>1.3270784370484456</v>
      </c>
      <c r="O408">
        <v>0</v>
      </c>
    </row>
    <row r="409" spans="1:17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M409">
        <v>0</v>
      </c>
      <c r="N409">
        <v>0</v>
      </c>
      <c r="O409">
        <v>4.3830356978577137E-2</v>
      </c>
    </row>
    <row r="410" spans="1:17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7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array" ref="M411:O413">SVDD(B411:K413)</f>
        <v>4.0006844133280532</v>
      </c>
      <c r="N411">
        <v>0</v>
      </c>
      <c r="O411">
        <v>0</v>
      </c>
      <c r="Q411">
        <f>MAX(M411,N412,O413)/MIN(M411,N412,O413)</f>
        <v>8.1021923474921262</v>
      </c>
    </row>
    <row r="412" spans="1:17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M412">
        <v>0</v>
      </c>
      <c r="N412">
        <v>1.2017157009875414</v>
      </c>
      <c r="O412">
        <v>0</v>
      </c>
    </row>
    <row r="413" spans="1:17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M413">
        <v>0</v>
      </c>
      <c r="N413">
        <v>0</v>
      </c>
      <c r="O413">
        <v>0.49377800991930115</v>
      </c>
    </row>
    <row r="414" spans="1:17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7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array" ref="M415:O417">SVDD(B415:K417)</f>
        <v>3.5591046412893106</v>
      </c>
      <c r="N415">
        <v>0</v>
      </c>
      <c r="O415">
        <v>0</v>
      </c>
      <c r="Q415">
        <f>MAX(M415,N416,O417)/MIN(M415,N416,O417)</f>
        <v>12.28337317711207</v>
      </c>
    </row>
    <row r="416" spans="1:17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M416">
        <v>0</v>
      </c>
      <c r="N416">
        <v>0.86547468231479951</v>
      </c>
      <c r="O416">
        <v>0</v>
      </c>
    </row>
    <row r="417" spans="1:17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M417">
        <v>0</v>
      </c>
      <c r="N417">
        <v>0</v>
      </c>
      <c r="O417">
        <v>0.28974977719646938</v>
      </c>
    </row>
    <row r="418" spans="1:17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7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array" ref="M419:O421">SVDD(B419:K421)</f>
        <v>4.4365388970593376</v>
      </c>
      <c r="N419">
        <v>0</v>
      </c>
      <c r="O419">
        <v>0</v>
      </c>
      <c r="Q419">
        <f>MAX(M419,N420,O421)/MIN(M419,N420,O421)</f>
        <v>8.5657725473492619</v>
      </c>
    </row>
    <row r="420" spans="1:17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M420">
        <v>0</v>
      </c>
      <c r="N420">
        <v>1.0630947907588151</v>
      </c>
      <c r="O420">
        <v>0</v>
      </c>
    </row>
    <row r="421" spans="1:17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M421">
        <v>0</v>
      </c>
      <c r="N421">
        <v>0</v>
      </c>
      <c r="O421">
        <v>0.51793797611778236</v>
      </c>
    </row>
    <row r="422" spans="1:17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7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array" ref="M423:O425">SVDD(B423:K425)</f>
        <v>3.1000490347421481</v>
      </c>
      <c r="N423">
        <v>0</v>
      </c>
      <c r="O423">
        <v>0</v>
      </c>
      <c r="Q423">
        <f>MAX(M423,N424,O425)/MIN(M423,N424,O425)</f>
        <v>5.2210583961793118</v>
      </c>
    </row>
    <row r="424" spans="1:17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M424">
        <v>0</v>
      </c>
      <c r="N424">
        <v>0.79950928308892</v>
      </c>
      <c r="O424">
        <v>0</v>
      </c>
    </row>
    <row r="425" spans="1:17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M425">
        <v>0</v>
      </c>
      <c r="N425">
        <v>0</v>
      </c>
      <c r="O425">
        <v>0.59375873616175512</v>
      </c>
    </row>
    <row r="426" spans="1:17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7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array" ref="M427:O429">SVDD(B427:K429)</f>
        <v>3.1941622630803188</v>
      </c>
      <c r="N427">
        <v>0</v>
      </c>
      <c r="O427">
        <v>0</v>
      </c>
      <c r="Q427">
        <f>MAX(M427,N428,O429)/MIN(M427,N428,O429)</f>
        <v>6.8911211698737791</v>
      </c>
    </row>
    <row r="428" spans="1:17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M428">
        <v>0</v>
      </c>
      <c r="N428">
        <v>1.2743120534648371</v>
      </c>
      <c r="O428">
        <v>0</v>
      </c>
    </row>
    <row r="429" spans="1:17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M429">
        <v>0</v>
      </c>
      <c r="N429">
        <v>0</v>
      </c>
      <c r="O429">
        <v>0.46351851670296845</v>
      </c>
    </row>
    <row r="430" spans="1:17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7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array" ref="M431:O433">SVDD(B431:K433)</f>
        <v>1.968533755421108</v>
      </c>
      <c r="N431">
        <v>0</v>
      </c>
      <c r="O431">
        <v>0</v>
      </c>
      <c r="Q431">
        <f>MAX(M431,N432,O433)/MIN(M431,N432,O433)</f>
        <v>9.9092391709234864</v>
      </c>
    </row>
    <row r="432" spans="1:17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M432">
        <v>0</v>
      </c>
      <c r="N432">
        <v>1.3360018444647443</v>
      </c>
      <c r="O432">
        <v>0</v>
      </c>
    </row>
    <row r="433" spans="1:17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M433">
        <v>0</v>
      </c>
      <c r="N433">
        <v>0</v>
      </c>
      <c r="O433">
        <v>0.19865639747573594</v>
      </c>
    </row>
    <row r="434" spans="1:17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7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array" ref="M435:O437">SVDD(B435:K437)</f>
        <v>2.5449231945165121</v>
      </c>
      <c r="N435">
        <v>0</v>
      </c>
      <c r="O435">
        <v>0</v>
      </c>
      <c r="Q435">
        <f>MAX(M435,N436,O437)/MIN(M435,N436,O437)</f>
        <v>7.5518030681261905</v>
      </c>
    </row>
    <row r="436" spans="1:17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M436">
        <v>0</v>
      </c>
      <c r="N436">
        <v>1.6909318631866728</v>
      </c>
      <c r="O436">
        <v>0</v>
      </c>
    </row>
    <row r="437" spans="1:17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M437">
        <v>0</v>
      </c>
      <c r="N437">
        <v>0</v>
      </c>
      <c r="O437">
        <v>0.33699543957360867</v>
      </c>
    </row>
    <row r="438" spans="1:17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7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array" ref="M439:O441">SVDD(B439:K441)</f>
        <v>2.3272250715935363</v>
      </c>
      <c r="N439">
        <v>0</v>
      </c>
      <c r="O439">
        <v>0</v>
      </c>
      <c r="Q439">
        <f>MAX(M439,N440,O441)/MIN(M439,N440,O441)</f>
        <v>25.738458659751533</v>
      </c>
    </row>
    <row r="440" spans="1:17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M440">
        <v>0</v>
      </c>
      <c r="N440">
        <v>1.7896485522680985</v>
      </c>
      <c r="O440">
        <v>0</v>
      </c>
    </row>
    <row r="441" spans="1:17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M441">
        <v>0</v>
      </c>
      <c r="N441">
        <v>0</v>
      </c>
      <c r="O441">
        <v>9.0418198787976772E-2</v>
      </c>
    </row>
    <row r="442" spans="1:17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7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array" ref="M443:O445">SVDD(B443:K445)</f>
        <v>4.0646665916045936</v>
      </c>
      <c r="N443">
        <v>0</v>
      </c>
      <c r="O443">
        <v>0</v>
      </c>
      <c r="Q443">
        <f>MAX(M443,N444,O445)/MIN(M443,N444,O445)</f>
        <v>8.2412886610281166</v>
      </c>
    </row>
    <row r="444" spans="1:17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M444">
        <v>0</v>
      </c>
      <c r="N444">
        <v>1.1182405561107773</v>
      </c>
      <c r="O444">
        <v>0</v>
      </c>
    </row>
    <row r="445" spans="1:17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M445">
        <v>0</v>
      </c>
      <c r="N445">
        <v>0</v>
      </c>
      <c r="O445">
        <v>0.49320764734595746</v>
      </c>
    </row>
    <row r="446" spans="1:17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7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array" ref="M447:O449">SVDD(B447:K449)</f>
        <v>3.0699832473537496</v>
      </c>
      <c r="N447">
        <v>0</v>
      </c>
      <c r="O447">
        <v>0</v>
      </c>
      <c r="Q447">
        <f>MAX(M447,N448,O449)/MIN(M447,N448,O449)</f>
        <v>5.1379725144449369</v>
      </c>
    </row>
    <row r="448" spans="1:17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M448">
        <v>0</v>
      </c>
      <c r="N448">
        <v>1.3753200127465139</v>
      </c>
      <c r="O448">
        <v>0</v>
      </c>
    </row>
    <row r="449" spans="1:17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M449">
        <v>0</v>
      </c>
      <c r="N449">
        <v>0</v>
      </c>
      <c r="O449">
        <v>0.59750869408560947</v>
      </c>
    </row>
    <row r="450" spans="1:17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7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array" ref="M451:O453">SVDD(B451:K453)</f>
        <v>3.4659208627283102</v>
      </c>
      <c r="N451">
        <v>0</v>
      </c>
      <c r="O451">
        <v>0</v>
      </c>
      <c r="Q451">
        <f>MAX(M451,N452,O453)/MIN(M451,N452,O453)</f>
        <v>5.810361971956044</v>
      </c>
    </row>
    <row r="452" spans="1:17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M452">
        <v>0</v>
      </c>
      <c r="N452">
        <v>1.7470244664546632</v>
      </c>
      <c r="O452">
        <v>0</v>
      </c>
    </row>
    <row r="453" spans="1:17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M453">
        <v>0</v>
      </c>
      <c r="N453">
        <v>0</v>
      </c>
      <c r="O453">
        <v>0.59650687503751454</v>
      </c>
    </row>
    <row r="454" spans="1:17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7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array" ref="M455:O457">SVDD(B455:K457)</f>
        <v>3.215357916652982</v>
      </c>
      <c r="N455">
        <v>0</v>
      </c>
      <c r="O455">
        <v>0</v>
      </c>
      <c r="Q455">
        <f>MAX(M455,N456,O457)/MIN(M455,N456,O457)</f>
        <v>4.710506893207592</v>
      </c>
    </row>
    <row r="456" spans="1:17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M456">
        <v>0</v>
      </c>
      <c r="N456">
        <v>1.9484683914121583</v>
      </c>
      <c r="O456">
        <v>0</v>
      </c>
    </row>
    <row r="457" spans="1:17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M457">
        <v>0</v>
      </c>
      <c r="N457">
        <v>0</v>
      </c>
      <c r="O457">
        <v>0.68259276327340279</v>
      </c>
    </row>
    <row r="458" spans="1:17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7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array" ref="M459:O461">SVDD(B459:K461)</f>
        <v>3.2031805218950069</v>
      </c>
      <c r="N459">
        <v>0</v>
      </c>
      <c r="O459">
        <v>0</v>
      </c>
      <c r="Q459">
        <f>MAX(M459,N460,O461)/MIN(M459,N460,O461)</f>
        <v>6.8145757617665703</v>
      </c>
    </row>
    <row r="460" spans="1:17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M460">
        <v>0</v>
      </c>
      <c r="N460">
        <v>1.6220582839885735</v>
      </c>
      <c r="O460">
        <v>0</v>
      </c>
    </row>
    <row r="461" spans="1:17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M461">
        <v>0</v>
      </c>
      <c r="N461">
        <v>0</v>
      </c>
      <c r="O461">
        <v>0.4700484129718786</v>
      </c>
    </row>
    <row r="462" spans="1:17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7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array" ref="M463:O465">SVDD(B463:K465)</f>
        <v>3.7920167605431443</v>
      </c>
      <c r="N463">
        <v>0</v>
      </c>
      <c r="O463">
        <v>0</v>
      </c>
      <c r="Q463">
        <f>MAX(M463,N464,O465)/MIN(M463,N464,O465)</f>
        <v>8.9936365913164718</v>
      </c>
    </row>
    <row r="464" spans="1:17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M464">
        <v>0</v>
      </c>
      <c r="N464">
        <v>1.5174588115078376</v>
      </c>
      <c r="O464">
        <v>0</v>
      </c>
    </row>
    <row r="465" spans="1:17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M465">
        <v>0</v>
      </c>
      <c r="N465">
        <v>0</v>
      </c>
      <c r="O465">
        <v>0.42163330951179512</v>
      </c>
    </row>
    <row r="466" spans="1:17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7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array" ref="M467:O469">SVDD(B467:K469)</f>
        <v>3.5391143713954811</v>
      </c>
      <c r="N467">
        <v>0</v>
      </c>
      <c r="O467">
        <v>0</v>
      </c>
      <c r="Q467">
        <f>MAX(M467,N468,O469)/MIN(M467,N468,O469)</f>
        <v>4.2900638844026995</v>
      </c>
    </row>
    <row r="468" spans="1:17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M468">
        <v>0</v>
      </c>
      <c r="N468">
        <v>1.6834994835354689</v>
      </c>
      <c r="O468">
        <v>0</v>
      </c>
    </row>
    <row r="469" spans="1:17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M469">
        <v>0</v>
      </c>
      <c r="N469">
        <v>0</v>
      </c>
      <c r="O469">
        <v>0.82495610013234755</v>
      </c>
    </row>
    <row r="470" spans="1:17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7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array" ref="M471:O473">SVDD(B471:K473)</f>
        <v>2.6741733243460852</v>
      </c>
      <c r="N471">
        <v>0</v>
      </c>
      <c r="O471">
        <v>0</v>
      </c>
      <c r="Q471">
        <f>MAX(M471,N472,O473)/MIN(M471,N472,O473)</f>
        <v>10.794703070737476</v>
      </c>
    </row>
    <row r="472" spans="1:17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M472">
        <v>0</v>
      </c>
      <c r="N472">
        <v>1.8180679480558535</v>
      </c>
      <c r="O472">
        <v>0</v>
      </c>
    </row>
    <row r="473" spans="1:17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M473">
        <v>0</v>
      </c>
      <c r="N473">
        <v>0</v>
      </c>
      <c r="O473">
        <v>0.24773014198003224</v>
      </c>
    </row>
    <row r="474" spans="1:17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7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array" ref="M475:O477">SVDD(B475:K477)</f>
        <v>2.5057675661185117</v>
      </c>
      <c r="N475">
        <v>0</v>
      </c>
      <c r="O475">
        <v>0</v>
      </c>
      <c r="Q475">
        <f>MAX(M475,N476,O477)/MIN(M475,N476,O477)</f>
        <v>13.028459479036709</v>
      </c>
    </row>
    <row r="476" spans="1:17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M476">
        <v>0</v>
      </c>
      <c r="N476">
        <v>1.839097675852053</v>
      </c>
      <c r="O476">
        <v>0</v>
      </c>
    </row>
    <row r="477" spans="1:17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M477">
        <v>0</v>
      </c>
      <c r="N477">
        <v>0</v>
      </c>
      <c r="O477">
        <v>0.19233030352900801</v>
      </c>
    </row>
    <row r="478" spans="1:17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7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array" ref="M479:O481">SVDD(B479:K481)</f>
        <v>3.2290883682453795</v>
      </c>
      <c r="N479">
        <v>0</v>
      </c>
      <c r="O479">
        <v>0</v>
      </c>
      <c r="Q479">
        <f>MAX(M479,N480,O481)/MIN(M479,N480,O481)</f>
        <v>5.1194752338322145</v>
      </c>
    </row>
    <row r="480" spans="1:17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M480">
        <v>0</v>
      </c>
      <c r="N480">
        <v>1.6188253686775587</v>
      </c>
      <c r="O480">
        <v>0</v>
      </c>
    </row>
    <row r="481" spans="1:17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M481">
        <v>0</v>
      </c>
      <c r="N481">
        <v>0</v>
      </c>
      <c r="O481">
        <v>0.63074596921689285</v>
      </c>
    </row>
    <row r="482" spans="1:17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7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array" ref="M483:O485">SVDD(B483:K485)</f>
        <v>3.7806119373512796</v>
      </c>
      <c r="N483">
        <v>0</v>
      </c>
      <c r="O483">
        <v>0</v>
      </c>
      <c r="Q483">
        <f>MAX(M483,N484,O485)/MIN(M483,N484,O485)</f>
        <v>177.60466000869823</v>
      </c>
    </row>
    <row r="484" spans="1:17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M484">
        <v>0</v>
      </c>
      <c r="N484">
        <v>1.1445295888592837</v>
      </c>
      <c r="O484">
        <v>0</v>
      </c>
    </row>
    <row r="485" spans="1:17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M485">
        <v>0</v>
      </c>
      <c r="N485">
        <v>0</v>
      </c>
      <c r="O485">
        <v>2.1286670840540575E-2</v>
      </c>
    </row>
    <row r="486" spans="1:17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7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array" ref="M487:O489">SVDD(B487:K489)</f>
        <v>2.6330277225418111</v>
      </c>
      <c r="N487">
        <v>0</v>
      </c>
      <c r="O487">
        <v>0</v>
      </c>
      <c r="Q487">
        <f>MAX(M487,N488,O489)/MIN(M487,N488,O489)</f>
        <v>40.369275445344705</v>
      </c>
    </row>
    <row r="488" spans="1:17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M488">
        <v>0</v>
      </c>
      <c r="N488">
        <v>1.524610072787949</v>
      </c>
      <c r="O488">
        <v>0</v>
      </c>
    </row>
    <row r="489" spans="1:17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M489">
        <v>0</v>
      </c>
      <c r="N489">
        <v>0</v>
      </c>
      <c r="O489">
        <v>6.5223556615640124E-2</v>
      </c>
    </row>
    <row r="490" spans="1:17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7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array" ref="M491:O493">SVDD(B491:K493)</f>
        <v>3.1563834301796154</v>
      </c>
      <c r="N491">
        <v>0</v>
      </c>
      <c r="O491">
        <v>0</v>
      </c>
      <c r="Q491">
        <f>MAX(M491,N492,O493)/MIN(M491,N492,O493)</f>
        <v>172.0082323692053</v>
      </c>
    </row>
    <row r="492" spans="1:17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M492">
        <v>0</v>
      </c>
      <c r="N492">
        <v>1.7459644915225256</v>
      </c>
      <c r="O492">
        <v>0</v>
      </c>
    </row>
    <row r="493" spans="1:17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M493">
        <v>0</v>
      </c>
      <c r="N493">
        <v>0</v>
      </c>
      <c r="O493">
        <v>1.8350188166602565E-2</v>
      </c>
    </row>
    <row r="494" spans="1:17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7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array" ref="M495:O497">SVDD(B495:K497)</f>
        <v>2.8241029340368531</v>
      </c>
      <c r="N495">
        <v>0</v>
      </c>
      <c r="O495">
        <v>0</v>
      </c>
      <c r="Q495">
        <f>MAX(M495,N496,O497)/MIN(M495,N496,O497)</f>
        <v>12.984376742891696</v>
      </c>
    </row>
    <row r="496" spans="1:17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M496">
        <v>0</v>
      </c>
      <c r="N496">
        <v>2.0411185156747829</v>
      </c>
      <c r="O496">
        <v>0</v>
      </c>
    </row>
    <row r="497" spans="1:17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M497">
        <v>0</v>
      </c>
      <c r="N497">
        <v>0</v>
      </c>
      <c r="O497">
        <v>0.21750007643477456</v>
      </c>
    </row>
    <row r="498" spans="1:17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7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array" ref="M499:O501">SVDD(B499:K501)</f>
        <v>2.9027304056991063</v>
      </c>
      <c r="N499">
        <v>0</v>
      </c>
      <c r="O499">
        <v>0</v>
      </c>
      <c r="Q499">
        <f>MAX(M499,N500,O501)/MIN(M499,N500,O501)</f>
        <v>40.88530037383439</v>
      </c>
    </row>
    <row r="500" spans="1:17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M500">
        <v>0</v>
      </c>
      <c r="N500">
        <v>1.5066403826782795</v>
      </c>
      <c r="O500">
        <v>0</v>
      </c>
    </row>
    <row r="501" spans="1:17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M501">
        <v>0</v>
      </c>
      <c r="N501">
        <v>0</v>
      </c>
      <c r="O501">
        <v>7.0996920143866285E-2</v>
      </c>
    </row>
    <row r="502" spans="1:17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7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array" ref="M503:O505">SVDD(B503:K505)</f>
        <v>3.5981149678483084</v>
      </c>
      <c r="N503">
        <v>0</v>
      </c>
      <c r="O503">
        <v>0</v>
      </c>
      <c r="Q503">
        <f>MAX(M503,N504,O505)/MIN(M503,N504,O505)</f>
        <v>237.13303108212696</v>
      </c>
    </row>
    <row r="504" spans="1:17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M504">
        <v>0</v>
      </c>
      <c r="N504">
        <v>1.2264371891263504</v>
      </c>
      <c r="O504">
        <v>0</v>
      </c>
    </row>
    <row r="505" spans="1:17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M505">
        <v>0</v>
      </c>
      <c r="N505">
        <v>0</v>
      </c>
      <c r="O505">
        <v>1.5173402673717619E-2</v>
      </c>
    </row>
    <row r="506" spans="1:17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7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array" ref="M507:O509">SVDD(B507:K509)</f>
        <v>3.3199106987661589</v>
      </c>
      <c r="N507">
        <v>0</v>
      </c>
      <c r="O507">
        <v>0</v>
      </c>
      <c r="Q507">
        <f>MAX(M507,N508,O509)/MIN(M507,N508,O509)</f>
        <v>10.770179532811747</v>
      </c>
    </row>
    <row r="508" spans="1:17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M508">
        <v>0</v>
      </c>
      <c r="N508">
        <v>1.5847800560169603</v>
      </c>
      <c r="O508">
        <v>0</v>
      </c>
    </row>
    <row r="509" spans="1:17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M509">
        <v>0</v>
      </c>
      <c r="N509">
        <v>0</v>
      </c>
      <c r="O509">
        <v>0.30825026534162492</v>
      </c>
    </row>
    <row r="510" spans="1:17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7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array" ref="M511:O513">SVDD(B511:K513)</f>
        <v>2.6311864818408437</v>
      </c>
      <c r="N511">
        <v>0</v>
      </c>
      <c r="O511">
        <v>0</v>
      </c>
      <c r="Q511">
        <f>MAX(M511,N512,O513)/MIN(M511,N512,O513)</f>
        <v>32.088271263260225</v>
      </c>
    </row>
    <row r="512" spans="1:17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M512">
        <v>0</v>
      </c>
      <c r="N512">
        <v>1.0858365191336974</v>
      </c>
      <c r="O512">
        <v>0</v>
      </c>
    </row>
    <row r="513" spans="1:17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M513">
        <v>0</v>
      </c>
      <c r="N513">
        <v>0</v>
      </c>
      <c r="O513">
        <v>8.1998386895134667E-2</v>
      </c>
    </row>
    <row r="514" spans="1:17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7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array" ref="M515:O517">SVDD(B515:K517)</f>
        <v>2.5494307406836874</v>
      </c>
      <c r="N515">
        <v>0</v>
      </c>
      <c r="O515">
        <v>0</v>
      </c>
      <c r="Q515">
        <f>MAX(M515,N516,O517)/MIN(M515,N516,O517)</f>
        <v>10.941950508120014</v>
      </c>
    </row>
    <row r="516" spans="1:17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M516">
        <v>0</v>
      </c>
      <c r="N516">
        <v>0.8559007603879828</v>
      </c>
      <c r="O516">
        <v>0</v>
      </c>
    </row>
    <row r="517" spans="1:17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M517">
        <v>0</v>
      </c>
      <c r="N517">
        <v>0</v>
      </c>
      <c r="O517">
        <v>0.23299600366422391</v>
      </c>
    </row>
    <row r="518" spans="1:17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7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array" ref="M519:O521">SVDD(B519:K521)</f>
        <v>3.169002022010226</v>
      </c>
      <c r="N519">
        <v>0</v>
      </c>
      <c r="O519">
        <v>0</v>
      </c>
      <c r="Q519">
        <f>MAX(M519,N520,O521)/MIN(M519,N520,O521)</f>
        <v>7.2014361283888002</v>
      </c>
    </row>
    <row r="520" spans="1:17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M520">
        <v>0</v>
      </c>
      <c r="N520">
        <v>0.89453419360503439</v>
      </c>
      <c r="O520">
        <v>0</v>
      </c>
    </row>
    <row r="521" spans="1:17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M521">
        <v>0</v>
      </c>
      <c r="N521">
        <v>0</v>
      </c>
      <c r="O521">
        <v>0.44005139607052751</v>
      </c>
    </row>
    <row r="522" spans="1:17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7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array" ref="M523:O525">SVDD(B523:K525)</f>
        <v>3.7809367792948021</v>
      </c>
      <c r="N523">
        <v>0</v>
      </c>
      <c r="O523">
        <v>0</v>
      </c>
      <c r="Q523">
        <f>MAX(M523,N524,O525)/MIN(M523,N524,O525)</f>
        <v>69.431742912131241</v>
      </c>
    </row>
    <row r="524" spans="1:17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M524">
        <v>0</v>
      </c>
      <c r="N524">
        <v>1.5414338425816609</v>
      </c>
      <c r="O524">
        <v>0</v>
      </c>
    </row>
    <row r="525" spans="1:17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M525">
        <v>0</v>
      </c>
      <c r="N525">
        <v>0</v>
      </c>
      <c r="O525">
        <v>5.4455449636050972E-2</v>
      </c>
    </row>
    <row r="526" spans="1:17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7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array" ref="M527:O529">SVDD(B527:K529)</f>
        <v>4.2544009210453151</v>
      </c>
      <c r="N527">
        <v>0</v>
      </c>
      <c r="O527">
        <v>0</v>
      </c>
      <c r="Q527">
        <f>MAX(M527,N528,O529)/MIN(M527,N528,O529)</f>
        <v>228.27570493219164</v>
      </c>
    </row>
    <row r="528" spans="1:17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M528">
        <v>0</v>
      </c>
      <c r="N528">
        <v>1.5236820536457096</v>
      </c>
      <c r="O528">
        <v>0</v>
      </c>
    </row>
    <row r="529" spans="1:17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M529">
        <v>0</v>
      </c>
      <c r="N529">
        <v>0</v>
      </c>
      <c r="O529">
        <v>1.8637116561786841E-2</v>
      </c>
    </row>
    <row r="530" spans="1:17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7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array" ref="M531:O533">SVDD(B531:K533)</f>
        <v>4.0041722448246819</v>
      </c>
      <c r="N531">
        <v>0</v>
      </c>
      <c r="O531">
        <v>0</v>
      </c>
      <c r="Q531">
        <f>MAX(M531,N532,O533)/MIN(M531,N532,O533)</f>
        <v>14.252081848226494</v>
      </c>
    </row>
    <row r="532" spans="1:17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M532">
        <v>0</v>
      </c>
      <c r="N532">
        <v>1.8681022324716761</v>
      </c>
      <c r="O532">
        <v>0</v>
      </c>
    </row>
    <row r="533" spans="1:17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M533">
        <v>0</v>
      </c>
      <c r="N533">
        <v>0</v>
      </c>
      <c r="O533">
        <v>0.28095349770412348</v>
      </c>
    </row>
    <row r="534" spans="1:17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7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array" ref="M535:O537">SVDD(B535:K537)</f>
        <v>3.1932642704025693</v>
      </c>
      <c r="N535">
        <v>0</v>
      </c>
      <c r="O535">
        <v>0</v>
      </c>
      <c r="Q535">
        <f>MAX(M535,N536,O537)/MIN(M535,N536,O537)</f>
        <v>37.594369194572131</v>
      </c>
    </row>
    <row r="536" spans="1:17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M536">
        <v>0</v>
      </c>
      <c r="N536">
        <v>1.9687120899486117</v>
      </c>
      <c r="O536">
        <v>0</v>
      </c>
    </row>
    <row r="537" spans="1:17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M537">
        <v>0</v>
      </c>
      <c r="N537">
        <v>0</v>
      </c>
      <c r="O537">
        <v>8.4939961457409216E-2</v>
      </c>
    </row>
    <row r="538" spans="1:17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7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array" ref="M539:O541">SVDD(B539:K541)</f>
        <v>2.8624011439984605</v>
      </c>
      <c r="N539">
        <v>0</v>
      </c>
      <c r="O539">
        <v>0</v>
      </c>
      <c r="Q539">
        <f>MAX(M539,N540,O541)/MIN(M539,N540,O541)</f>
        <v>6.2549154864123224</v>
      </c>
    </row>
    <row r="540" spans="1:17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M540">
        <v>0</v>
      </c>
      <c r="N540">
        <v>2.2039656513238914</v>
      </c>
      <c r="O540">
        <v>0</v>
      </c>
    </row>
    <row r="541" spans="1:17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M541">
        <v>0</v>
      </c>
      <c r="N541">
        <v>0</v>
      </c>
      <c r="O541">
        <v>0.45762427169743725</v>
      </c>
    </row>
    <row r="542" spans="1:17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7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array" ref="M543:O545">SVDD(B543:K545)</f>
        <v>3.5686884159553864</v>
      </c>
      <c r="N543">
        <v>0</v>
      </c>
      <c r="O543">
        <v>0</v>
      </c>
      <c r="Q543">
        <f>MAX(M543,N544,O545)/MIN(M543,N544,O545)</f>
        <v>7.9257540982845152</v>
      </c>
    </row>
    <row r="544" spans="1:17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M544">
        <v>0</v>
      </c>
      <c r="N544">
        <v>2.0172275129566191</v>
      </c>
      <c r="O544">
        <v>0</v>
      </c>
    </row>
    <row r="545" spans="1:17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M545">
        <v>0</v>
      </c>
      <c r="N545">
        <v>0</v>
      </c>
      <c r="O545">
        <v>0.45026484189407401</v>
      </c>
    </row>
    <row r="546" spans="1:17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7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array" ref="M547:O549">SVDD(B547:K549)</f>
        <v>3.6733079897967915</v>
      </c>
      <c r="N547">
        <v>0</v>
      </c>
      <c r="O547">
        <v>0</v>
      </c>
      <c r="Q547">
        <f>MAX(M547,N548,O549)/MIN(M547,N548,O549)</f>
        <v>49.833318593905744</v>
      </c>
    </row>
    <row r="548" spans="1:17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M548">
        <v>0</v>
      </c>
      <c r="N548">
        <v>1.4215056806008231</v>
      </c>
      <c r="O548">
        <v>0</v>
      </c>
    </row>
    <row r="549" spans="1:17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M549">
        <v>0</v>
      </c>
      <c r="N549">
        <v>0</v>
      </c>
      <c r="O549">
        <v>7.3711887818083438E-2</v>
      </c>
    </row>
    <row r="550" spans="1:17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7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array" ref="M551:O553">SVDD(B551:K553)</f>
        <v>3.4118677853260082</v>
      </c>
      <c r="N551">
        <v>0</v>
      </c>
      <c r="O551">
        <v>0</v>
      </c>
      <c r="Q551">
        <f>MAX(M551,N552,O553)/MIN(M551,N552,O553)</f>
        <v>6.749149426448394</v>
      </c>
    </row>
    <row r="552" spans="1:17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M552">
        <v>0</v>
      </c>
      <c r="N552">
        <v>1.6741840071671419</v>
      </c>
      <c r="O552">
        <v>0</v>
      </c>
    </row>
    <row r="553" spans="1:17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M553">
        <v>0</v>
      </c>
      <c r="N553">
        <v>0</v>
      </c>
      <c r="O553">
        <v>0.50552559585592638</v>
      </c>
    </row>
    <row r="554" spans="1:17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7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array" ref="M555:O557">SVDD(B555:K557)</f>
        <v>4.0388080932126647</v>
      </c>
      <c r="N555">
        <v>0</v>
      </c>
      <c r="O555">
        <v>0</v>
      </c>
      <c r="Q555">
        <f>MAX(M555,N556,O557)/MIN(M555,N556,O557)</f>
        <v>10.919007093562509</v>
      </c>
    </row>
    <row r="556" spans="1:17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M556">
        <v>0</v>
      </c>
      <c r="N556">
        <v>1.4135130274543235</v>
      </c>
      <c r="O556">
        <v>0</v>
      </c>
    </row>
    <row r="557" spans="1:17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M557">
        <v>0</v>
      </c>
      <c r="N557">
        <v>0</v>
      </c>
      <c r="O557">
        <v>0.36988785322740692</v>
      </c>
    </row>
    <row r="558" spans="1:17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7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array" ref="M559:O561">SVDD(B559:K561)</f>
        <v>3.330466781756154</v>
      </c>
      <c r="N559">
        <v>0</v>
      </c>
      <c r="O559">
        <v>0</v>
      </c>
      <c r="Q559">
        <f>MAX(M559,N560,O561)/MIN(M559,N560,O561)</f>
        <v>5.9501735403854479</v>
      </c>
    </row>
    <row r="560" spans="1:17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M560">
        <v>0</v>
      </c>
      <c r="N560">
        <v>0.8364221411498175</v>
      </c>
      <c r="O560">
        <v>0</v>
      </c>
    </row>
    <row r="561" spans="1:17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M561">
        <v>0</v>
      </c>
      <c r="N561">
        <v>0</v>
      </c>
      <c r="O561">
        <v>0.55972599104065945</v>
      </c>
    </row>
    <row r="562" spans="1:17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7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array" ref="M563:O565">SVDD(B563:K565)</f>
        <v>3.5193726797098783</v>
      </c>
      <c r="N563">
        <v>0</v>
      </c>
      <c r="O563">
        <v>0</v>
      </c>
      <c r="Q563">
        <f>MAX(M563,N564,O565)/MIN(M563,N564,O565)</f>
        <v>5.9223110259446923</v>
      </c>
    </row>
    <row r="564" spans="1:17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M564">
        <v>0</v>
      </c>
      <c r="N564">
        <v>0.90337511171812201</v>
      </c>
      <c r="O564">
        <v>0</v>
      </c>
    </row>
    <row r="565" spans="1:17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M565">
        <v>0</v>
      </c>
      <c r="N565">
        <v>0</v>
      </c>
      <c r="O565">
        <v>0.59425664479492424</v>
      </c>
    </row>
    <row r="566" spans="1:17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7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array" ref="M567:O569">SVDD(B567:K569)</f>
        <v>4.3731561374196266</v>
      </c>
      <c r="N567">
        <v>0</v>
      </c>
      <c r="O567">
        <v>0</v>
      </c>
      <c r="Q567">
        <f>MAX(M567,N568,O569)/MIN(M567,N568,O569)</f>
        <v>10.495580699246693</v>
      </c>
    </row>
    <row r="568" spans="1:17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M568">
        <v>0</v>
      </c>
      <c r="N568">
        <v>1.0355798547576964</v>
      </c>
      <c r="O568">
        <v>0</v>
      </c>
    </row>
    <row r="569" spans="1:17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M569">
        <v>0</v>
      </c>
      <c r="N569">
        <v>0</v>
      </c>
      <c r="O569">
        <v>0.41666642968440082</v>
      </c>
    </row>
    <row r="570" spans="1:17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7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array" ref="M571:O573">SVDD(B571:K573)</f>
        <v>3.9812770492284471</v>
      </c>
      <c r="N571">
        <v>0</v>
      </c>
      <c r="O571">
        <v>0</v>
      </c>
      <c r="Q571">
        <f>MAX(M571,N572,O573)/MIN(M571,N572,O573)</f>
        <v>7.0240332854805123</v>
      </c>
    </row>
    <row r="572" spans="1:17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M572">
        <v>0</v>
      </c>
      <c r="N572">
        <v>1.8196311681378323</v>
      </c>
      <c r="O572">
        <v>0</v>
      </c>
    </row>
    <row r="573" spans="1:17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M573">
        <v>0</v>
      </c>
      <c r="N573">
        <v>0</v>
      </c>
      <c r="O573">
        <v>0.56680782784133532</v>
      </c>
    </row>
    <row r="574" spans="1:17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7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array" ref="M575:O577">SVDD(B575:K577)</f>
        <v>3.4335094711081235</v>
      </c>
      <c r="N575">
        <v>0</v>
      </c>
      <c r="O575">
        <v>0</v>
      </c>
      <c r="Q575">
        <f>MAX(M575,N576,O577)/MIN(M575,N576,O577)</f>
        <v>5.6271285163995781</v>
      </c>
    </row>
    <row r="576" spans="1:17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M576">
        <v>0</v>
      </c>
      <c r="N576">
        <v>1.371251956893665</v>
      </c>
      <c r="O576">
        <v>0</v>
      </c>
    </row>
    <row r="577" spans="1:17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M577">
        <v>0</v>
      </c>
      <c r="N577">
        <v>0</v>
      </c>
      <c r="O577">
        <v>0.61017079334541235</v>
      </c>
    </row>
    <row r="578" spans="1:17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7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array" ref="M579:O581">SVDD(B579:K581)</f>
        <v>3.5589980016821059</v>
      </c>
      <c r="N579">
        <v>0</v>
      </c>
      <c r="O579">
        <v>0</v>
      </c>
      <c r="Q579">
        <f>MAX(M579,N580,O581)/MIN(M579,N580,O581)</f>
        <v>4.8997062053036835</v>
      </c>
    </row>
    <row r="580" spans="1:17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M580">
        <v>0</v>
      </c>
      <c r="N580">
        <v>1.8595087610335768</v>
      </c>
      <c r="O580">
        <v>0</v>
      </c>
    </row>
    <row r="581" spans="1:17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M581">
        <v>0</v>
      </c>
      <c r="N581">
        <v>0</v>
      </c>
      <c r="O581">
        <v>0.72636967453878576</v>
      </c>
    </row>
    <row r="582" spans="1:17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7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array" ref="M583:O585">SVDD(B583:K585)</f>
        <v>3.3641646937815253</v>
      </c>
      <c r="N583">
        <v>0</v>
      </c>
      <c r="O583">
        <v>0</v>
      </c>
      <c r="Q583">
        <f>MAX(M583,N584,O585)/MIN(M583,N584,O585)</f>
        <v>6.5861271662945571</v>
      </c>
    </row>
    <row r="584" spans="1:17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M584">
        <v>0</v>
      </c>
      <c r="N584">
        <v>1.3044967565173173</v>
      </c>
      <c r="O584">
        <v>0</v>
      </c>
    </row>
    <row r="585" spans="1:17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M585">
        <v>0</v>
      </c>
      <c r="N585">
        <v>0</v>
      </c>
      <c r="O585">
        <v>0.51079558727595131</v>
      </c>
    </row>
    <row r="586" spans="1:17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7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array" ref="M587:O589">SVDD(B587:K589)</f>
        <v>2.9291314559447588</v>
      </c>
      <c r="N587">
        <v>0</v>
      </c>
      <c r="O587">
        <v>0</v>
      </c>
      <c r="Q587">
        <f>MAX(M587,N588,O589)/MIN(M587,N588,O589)</f>
        <v>6.7013902944805617</v>
      </c>
    </row>
    <row r="588" spans="1:17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M588">
        <v>0</v>
      </c>
      <c r="N588">
        <v>1.9030199596895538</v>
      </c>
      <c r="O588">
        <v>0</v>
      </c>
    </row>
    <row r="589" spans="1:17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M589">
        <v>0</v>
      </c>
      <c r="N589">
        <v>0</v>
      </c>
      <c r="O589">
        <v>0.43709309967474469</v>
      </c>
    </row>
    <row r="590" spans="1:17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7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array" ref="M591:O593">SVDD(B591:K593)</f>
        <v>2.1660967000867681</v>
      </c>
      <c r="N591">
        <v>0</v>
      </c>
      <c r="O591">
        <v>0</v>
      </c>
      <c r="Q591">
        <f>MAX(M591,N592,O593)/MIN(M591,N592,O593)</f>
        <v>7.0321257689458081</v>
      </c>
    </row>
    <row r="592" spans="1:17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M592">
        <v>0</v>
      </c>
      <c r="N592">
        <v>1.470434509970393</v>
      </c>
      <c r="O592">
        <v>0</v>
      </c>
    </row>
    <row r="593" spans="1:17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M593">
        <v>0</v>
      </c>
      <c r="N593">
        <v>0</v>
      </c>
      <c r="O593">
        <v>0.30802872008523385</v>
      </c>
    </row>
    <row r="594" spans="1:17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7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array" ref="M595:O597">SVDD(B595:K597)</f>
        <v>2.3487051125019511</v>
      </c>
      <c r="N595">
        <v>0</v>
      </c>
      <c r="O595">
        <v>0</v>
      </c>
      <c r="Q595">
        <f>MAX(M595,N596,O597)/MIN(M595,N596,O597)</f>
        <v>13.883112073102259</v>
      </c>
    </row>
    <row r="596" spans="1:17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M596">
        <v>0</v>
      </c>
      <c r="N596">
        <v>2.00410398269729</v>
      </c>
      <c r="O596">
        <v>0</v>
      </c>
    </row>
    <row r="597" spans="1:17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M597">
        <v>0</v>
      </c>
      <c r="N597">
        <v>0</v>
      </c>
      <c r="O597">
        <v>0.16917713407013646</v>
      </c>
    </row>
    <row r="598" spans="1:17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7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array" ref="M599:O601">SVDD(B599:K601)</f>
        <v>4.0521872158398438</v>
      </c>
      <c r="N599">
        <v>0</v>
      </c>
      <c r="O599">
        <v>0</v>
      </c>
      <c r="Q599">
        <f>MAX(M599,N600,O601)/MIN(M599,N600,O601)</f>
        <v>10.942110783080427</v>
      </c>
    </row>
    <row r="600" spans="1:17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M600">
        <v>0</v>
      </c>
      <c r="N600">
        <v>1.6279676722537397</v>
      </c>
      <c r="O600">
        <v>0</v>
      </c>
    </row>
    <row r="601" spans="1:17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M601">
        <v>0</v>
      </c>
      <c r="N601">
        <v>0</v>
      </c>
      <c r="O601">
        <v>0.37032957316660164</v>
      </c>
    </row>
    <row r="602" spans="1:17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7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array" ref="M603:O605">SVDD(B603:K605)</f>
        <v>3.3604620940967318</v>
      </c>
      <c r="N603">
        <v>0</v>
      </c>
      <c r="O603">
        <v>0</v>
      </c>
      <c r="Q603">
        <f>MAX(M603,N604,O605)/MIN(M603,N604,O605)</f>
        <v>6.9655714964257749</v>
      </c>
    </row>
    <row r="604" spans="1:17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M604">
        <v>0</v>
      </c>
      <c r="N604">
        <v>1.4962957909598082</v>
      </c>
      <c r="O604">
        <v>0</v>
      </c>
    </row>
    <row r="605" spans="1:17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M605">
        <v>0</v>
      </c>
      <c r="N605">
        <v>0</v>
      </c>
      <c r="O605">
        <v>0.48243882010558314</v>
      </c>
    </row>
    <row r="606" spans="1:17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7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array" ref="M607:O609">SVDD(B607:K609)</f>
        <v>3.5813838663196682</v>
      </c>
      <c r="N607">
        <v>0</v>
      </c>
      <c r="O607">
        <v>0</v>
      </c>
      <c r="Q607">
        <f>MAX(M607,N608,O609)/MIN(M607,N608,O609)</f>
        <v>4.4447880023870185</v>
      </c>
    </row>
    <row r="608" spans="1:17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M608">
        <v>0</v>
      </c>
      <c r="N608">
        <v>1.703298250898494</v>
      </c>
      <c r="O608">
        <v>0</v>
      </c>
    </row>
    <row r="609" spans="1:17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M609">
        <v>0</v>
      </c>
      <c r="N609">
        <v>0</v>
      </c>
      <c r="O609">
        <v>0.80574908508489729</v>
      </c>
    </row>
    <row r="610" spans="1:17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7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array" ref="M611:O613">SVDD(B611:K613)</f>
        <v>3.1089515050275374</v>
      </c>
      <c r="N611">
        <v>0</v>
      </c>
      <c r="O611">
        <v>0</v>
      </c>
      <c r="Q611">
        <f>MAX(M611,N612,O613)/MIN(M611,N612,O613)</f>
        <v>10.896753884057729</v>
      </c>
    </row>
    <row r="612" spans="1:17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M612">
        <v>0</v>
      </c>
      <c r="N612">
        <v>1.769106300316508</v>
      </c>
      <c r="O612">
        <v>0</v>
      </c>
    </row>
    <row r="613" spans="1:17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M613">
        <v>0</v>
      </c>
      <c r="N613">
        <v>0</v>
      </c>
      <c r="O613">
        <v>0.28530987651065742</v>
      </c>
    </row>
    <row r="614" spans="1:17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7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array" ref="M615:O617">SVDD(B615:K617)</f>
        <v>3.4596700393710584</v>
      </c>
      <c r="N615">
        <v>0</v>
      </c>
      <c r="O615">
        <v>0</v>
      </c>
      <c r="Q615">
        <f>MAX(M615,N616,O617)/MIN(M615,N616,O617)</f>
        <v>4.5839562477202325</v>
      </c>
    </row>
    <row r="616" spans="1:17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M616">
        <v>0</v>
      </c>
      <c r="N616">
        <v>1.7175402056330671</v>
      </c>
      <c r="O616">
        <v>0</v>
      </c>
    </row>
    <row r="617" spans="1:17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M617">
        <v>0</v>
      </c>
      <c r="N617">
        <v>0</v>
      </c>
      <c r="O617">
        <v>0.75473452459143298</v>
      </c>
    </row>
    <row r="618" spans="1:17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7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array" ref="M619:O621">SVDD(B619:K621)</f>
        <v>2.5724899493528528</v>
      </c>
      <c r="N619">
        <v>0</v>
      </c>
      <c r="O619">
        <v>0</v>
      </c>
      <c r="Q619">
        <f>MAX(M619,N620,O621)/MIN(M619,N620,O621)</f>
        <v>9.2996464166492459</v>
      </c>
    </row>
    <row r="620" spans="1:17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M620">
        <v>0</v>
      </c>
      <c r="N620">
        <v>1.8306967792962749</v>
      </c>
      <c r="O620">
        <v>0</v>
      </c>
    </row>
    <row r="621" spans="1:17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M621">
        <v>0</v>
      </c>
      <c r="N621">
        <v>0</v>
      </c>
      <c r="O621">
        <v>0.27662233961361149</v>
      </c>
    </row>
    <row r="622" spans="1:17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7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array" ref="M623:O625">SVDD(B623:K625)</f>
        <v>4.0796659512304752</v>
      </c>
      <c r="N623">
        <v>0</v>
      </c>
      <c r="O623">
        <v>0</v>
      </c>
      <c r="Q623">
        <f>MAX(M623,N624,O625)/MIN(M623,N624,O625)</f>
        <v>197.45786878696865</v>
      </c>
    </row>
    <row r="624" spans="1:17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M624">
        <v>0</v>
      </c>
      <c r="N624">
        <v>1.1273872181432438</v>
      </c>
      <c r="O624">
        <v>0</v>
      </c>
    </row>
    <row r="625" spans="1:17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M625">
        <v>0</v>
      </c>
      <c r="N625">
        <v>0</v>
      </c>
      <c r="O625">
        <v>2.0660943908150372E-2</v>
      </c>
    </row>
    <row r="626" spans="1:17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7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array" ref="M627:O629">SVDD(B627:K629)</f>
        <v>3.6898334995247244</v>
      </c>
      <c r="N627">
        <v>0</v>
      </c>
      <c r="O627">
        <v>0</v>
      </c>
      <c r="Q627">
        <f>MAX(M627,N628,O629)/MIN(M627,N628,O629)</f>
        <v>131.53204865985026</v>
      </c>
    </row>
    <row r="628" spans="1:17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M628">
        <v>0</v>
      </c>
      <c r="N628">
        <v>1.8471083809062694</v>
      </c>
      <c r="O628">
        <v>0</v>
      </c>
    </row>
    <row r="629" spans="1:17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M629">
        <v>0</v>
      </c>
      <c r="N629">
        <v>0</v>
      </c>
      <c r="O629">
        <v>2.8052733437360609E-2</v>
      </c>
    </row>
    <row r="630" spans="1:17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7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array" ref="M631:O633">SVDD(B631:K633)</f>
        <v>3.0330357237067953</v>
      </c>
      <c r="N631">
        <v>0</v>
      </c>
      <c r="O631">
        <v>0</v>
      </c>
      <c r="Q631">
        <f>MAX(M631,N632,O633)/MIN(M631,N632,O633)</f>
        <v>125.15659561929162</v>
      </c>
    </row>
    <row r="632" spans="1:17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M632">
        <v>0</v>
      </c>
      <c r="N632">
        <v>1.5447674797408222</v>
      </c>
      <c r="O632">
        <v>0</v>
      </c>
    </row>
    <row r="633" spans="1:17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M633">
        <v>0</v>
      </c>
      <c r="N633">
        <v>0</v>
      </c>
      <c r="O633">
        <v>2.4233926375984642E-2</v>
      </c>
    </row>
    <row r="634" spans="1:17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7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array" ref="M635:O637">SVDD(B635:K637)</f>
        <v>3.1647164222415443</v>
      </c>
      <c r="N635">
        <v>0</v>
      </c>
      <c r="O635">
        <v>0</v>
      </c>
      <c r="Q635">
        <f>MAX(M635,N636,O637)/MIN(M635,N636,O637)</f>
        <v>11.323295361557118</v>
      </c>
    </row>
    <row r="636" spans="1:17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M636">
        <v>0</v>
      </c>
      <c r="N636">
        <v>2.0255570358590562</v>
      </c>
      <c r="O636">
        <v>0</v>
      </c>
    </row>
    <row r="637" spans="1:17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M637">
        <v>0</v>
      </c>
      <c r="N637">
        <v>0</v>
      </c>
      <c r="O637">
        <v>0.27948722710049928</v>
      </c>
    </row>
    <row r="638" spans="1:17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7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array" ref="M639:O641">SVDD(B639:K641)</f>
        <v>4.6417792736934533</v>
      </c>
      <c r="N639">
        <v>0</v>
      </c>
      <c r="O639">
        <v>0</v>
      </c>
      <c r="Q639">
        <f>MAX(M639,N640,O641)/MIN(M639,N640,O641)</f>
        <v>101.58825718762284</v>
      </c>
    </row>
    <row r="640" spans="1:17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M640">
        <v>0</v>
      </c>
      <c r="N640">
        <v>1.514788608678566</v>
      </c>
      <c r="O640">
        <v>0</v>
      </c>
    </row>
    <row r="641" spans="1:17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M641">
        <v>0</v>
      </c>
      <c r="N641">
        <v>0</v>
      </c>
      <c r="O641">
        <v>4.5692084914111426E-2</v>
      </c>
    </row>
    <row r="642" spans="1:17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7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array" ref="M643:O645">SVDD(B643:K645)</f>
        <v>4.0744107145404431</v>
      </c>
      <c r="N643">
        <v>0</v>
      </c>
      <c r="O643">
        <v>0</v>
      </c>
      <c r="Q643">
        <f>MAX(M643,N644,O645)/MIN(M643,N644,O645)</f>
        <v>269.6514170426355</v>
      </c>
    </row>
    <row r="644" spans="1:17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M644">
        <v>0</v>
      </c>
      <c r="N644">
        <v>1.341815229818762</v>
      </c>
      <c r="O644">
        <v>0</v>
      </c>
    </row>
    <row r="645" spans="1:17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M645">
        <v>0</v>
      </c>
      <c r="N645">
        <v>0</v>
      </c>
      <c r="O645">
        <v>1.5109917682710432E-2</v>
      </c>
    </row>
    <row r="646" spans="1:17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7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array" ref="M647:O649">SVDD(B647:K649)</f>
        <v>4.2176827892746216</v>
      </c>
      <c r="N647">
        <v>0</v>
      </c>
      <c r="O647">
        <v>0</v>
      </c>
      <c r="Q647">
        <f>MAX(M647,N648,O649)/MIN(M647,N648,O649)</f>
        <v>19.524354816003182</v>
      </c>
    </row>
    <row r="648" spans="1:17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M648">
        <v>0</v>
      </c>
      <c r="N648">
        <v>1.7821982317577501</v>
      </c>
      <c r="O648">
        <v>0</v>
      </c>
    </row>
    <row r="649" spans="1:17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M649">
        <v>0</v>
      </c>
      <c r="N649">
        <v>0</v>
      </c>
      <c r="O649">
        <v>0.21602162166288785</v>
      </c>
    </row>
    <row r="650" spans="1:17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7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array" ref="M651:O653">SVDD(B651:K653)</f>
        <v>3.7653909283792641</v>
      </c>
      <c r="N651">
        <v>0</v>
      </c>
      <c r="O651">
        <v>0</v>
      </c>
      <c r="Q651">
        <f>MAX(M651,N652,O653)/MIN(M651,N652,O653)</f>
        <v>57.307011254448241</v>
      </c>
    </row>
    <row r="652" spans="1:17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M652">
        <v>0</v>
      </c>
      <c r="N652">
        <v>1.8252116360625719</v>
      </c>
      <c r="O652">
        <v>0</v>
      </c>
    </row>
    <row r="653" spans="1:17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M653">
        <v>0</v>
      </c>
      <c r="N653">
        <v>0</v>
      </c>
      <c r="O653">
        <v>6.5705589001328168E-2</v>
      </c>
    </row>
    <row r="654" spans="1:17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7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array" ref="M655:O657">SVDD(B655:K657)</f>
        <v>3.9864580499741806</v>
      </c>
      <c r="N655">
        <v>0</v>
      </c>
      <c r="O655">
        <v>0</v>
      </c>
      <c r="Q655">
        <f>MAX(M655,N656,O657)/MIN(M655,N656,O657)</f>
        <v>7.3302861116818709</v>
      </c>
    </row>
    <row r="656" spans="1:17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M656">
        <v>0</v>
      </c>
      <c r="N656">
        <v>1.9840628499008901</v>
      </c>
      <c r="O656">
        <v>0</v>
      </c>
    </row>
    <row r="657" spans="1:17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M657">
        <v>0</v>
      </c>
      <c r="N657">
        <v>0</v>
      </c>
      <c r="O657">
        <v>0.54383389532656623</v>
      </c>
    </row>
    <row r="658" spans="1:17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7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array" ref="M659:O661">SVDD(B659:K661)</f>
        <v>3.2116602111561612</v>
      </c>
      <c r="N659">
        <v>0</v>
      </c>
      <c r="O659">
        <v>0</v>
      </c>
      <c r="Q659">
        <f>MAX(M659,N660,O661)/MIN(M659,N660,O661)</f>
        <v>8.4963031929361694</v>
      </c>
    </row>
    <row r="660" spans="1:17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M660">
        <v>0</v>
      </c>
      <c r="N660">
        <v>2.0555267000776274</v>
      </c>
      <c r="O660">
        <v>0</v>
      </c>
    </row>
    <row r="661" spans="1:17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M661">
        <v>0</v>
      </c>
      <c r="N661">
        <v>0</v>
      </c>
      <c r="O661">
        <v>0.37800677991650966</v>
      </c>
    </row>
    <row r="662" spans="1:17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7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array" ref="M663:O665">SVDD(B663:K665)</f>
        <v>3.8193246124950964</v>
      </c>
      <c r="N663">
        <v>0</v>
      </c>
      <c r="O663">
        <v>0</v>
      </c>
      <c r="Q663">
        <f>MAX(M663,N664,O665)/MIN(M663,N664,O665)</f>
        <v>67.763996770762134</v>
      </c>
    </row>
    <row r="664" spans="1:17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M664">
        <v>0</v>
      </c>
      <c r="N664">
        <v>1.4703219897366007</v>
      </c>
      <c r="O664">
        <v>0</v>
      </c>
    </row>
    <row r="665" spans="1:17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M665">
        <v>0</v>
      </c>
      <c r="N665">
        <v>0</v>
      </c>
      <c r="O665">
        <v>5.6362150913492247E-2</v>
      </c>
    </row>
    <row r="666" spans="1:17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7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array" ref="M667:O669">SVDD(B667:K669)</f>
        <v>3.0004487744890627</v>
      </c>
      <c r="N667">
        <v>0</v>
      </c>
      <c r="O667">
        <v>0</v>
      </c>
      <c r="Q667">
        <f>MAX(M667,N668,O669)/MIN(M667,N668,O669)</f>
        <v>137.96747234834424</v>
      </c>
    </row>
    <row r="668" spans="1:17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M668">
        <v>0</v>
      </c>
      <c r="N668">
        <v>1.5184728937325007</v>
      </c>
      <c r="O668">
        <v>0</v>
      </c>
    </row>
    <row r="669" spans="1:17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M669">
        <v>0</v>
      </c>
      <c r="N669">
        <v>0</v>
      </c>
      <c r="O669">
        <v>2.1747508477312997E-2</v>
      </c>
    </row>
    <row r="670" spans="1:17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7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array" ref="M671:O673">SVDD(B671:K673)</f>
        <v>3.2698798387410131</v>
      </c>
      <c r="N671">
        <v>0</v>
      </c>
      <c r="O671">
        <v>0</v>
      </c>
      <c r="Q671">
        <f>MAX(M671,N672,O673)/MIN(M671,N672,O673)</f>
        <v>8.9570652746343455</v>
      </c>
    </row>
    <row r="672" spans="1:17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M672">
        <v>0</v>
      </c>
      <c r="N672">
        <v>1.7595461973796735</v>
      </c>
      <c r="O672">
        <v>0</v>
      </c>
    </row>
    <row r="673" spans="1:17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M673">
        <v>0</v>
      </c>
      <c r="N673">
        <v>0</v>
      </c>
      <c r="O673">
        <v>0.3650615171914664</v>
      </c>
    </row>
    <row r="674" spans="1:17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7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array" ref="M675:O677">SVDD(B675:K677)</f>
        <v>2.965738765290284</v>
      </c>
      <c r="N675">
        <v>0</v>
      </c>
      <c r="O675">
        <v>0</v>
      </c>
      <c r="Q675">
        <f>MAX(M675,N676,O677)/MIN(M675,N676,O677)</f>
        <v>54.227302279416904</v>
      </c>
    </row>
    <row r="676" spans="1:17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M676">
        <v>0</v>
      </c>
      <c r="N676">
        <v>1.2738495627072632</v>
      </c>
      <c r="O676">
        <v>0</v>
      </c>
    </row>
    <row r="677" spans="1:17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M677">
        <v>0</v>
      </c>
      <c r="N677">
        <v>0</v>
      </c>
      <c r="O677">
        <v>5.469087785353452E-2</v>
      </c>
    </row>
    <row r="678" spans="1:17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7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array" ref="M679:O681">SVDD(B679:K681)</f>
        <v>3.3310745585555277</v>
      </c>
      <c r="N679">
        <v>0</v>
      </c>
      <c r="O679">
        <v>0</v>
      </c>
      <c r="Q679">
        <f>MAX(M679,N680,O681)/MIN(M679,N680,O681)</f>
        <v>5.9589381025828034</v>
      </c>
    </row>
    <row r="680" spans="1:17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M680">
        <v>0</v>
      </c>
      <c r="N680">
        <v>1.2747397061174912</v>
      </c>
      <c r="O680">
        <v>0</v>
      </c>
    </row>
    <row r="681" spans="1:17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M681">
        <v>0</v>
      </c>
      <c r="N681">
        <v>0</v>
      </c>
      <c r="O681">
        <v>0.55900472554190961</v>
      </c>
    </row>
    <row r="682" spans="1:17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7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array" ref="M683:O685">SVDD(B683:K685)</f>
        <v>2.5193180939797442</v>
      </c>
      <c r="N683">
        <v>0</v>
      </c>
      <c r="O683">
        <v>0</v>
      </c>
      <c r="Q683">
        <f>MAX(M683,N684,O685)/MIN(M683,N684,O685)</f>
        <v>7.5706772691542605</v>
      </c>
    </row>
    <row r="684" spans="1:17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M684">
        <v>0</v>
      </c>
      <c r="N684">
        <v>1.0642111946979997</v>
      </c>
      <c r="O684">
        <v>0</v>
      </c>
    </row>
    <row r="685" spans="1:17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M685">
        <v>0</v>
      </c>
      <c r="N685">
        <v>0</v>
      </c>
      <c r="O685">
        <v>0.33277314623413917</v>
      </c>
    </row>
    <row r="686" spans="1:17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7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array" ref="M687:O689">SVDD(B687:K689)</f>
        <v>3.9480566400038</v>
      </c>
      <c r="N687">
        <v>0</v>
      </c>
      <c r="O687">
        <v>0</v>
      </c>
      <c r="Q687">
        <f>MAX(M687,N688,O689)/MIN(M687,N688,O689)</f>
        <v>51.984148807073701</v>
      </c>
    </row>
    <row r="688" spans="1:17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M688">
        <v>0</v>
      </c>
      <c r="N688">
        <v>1.2820649504677553</v>
      </c>
      <c r="O688">
        <v>0</v>
      </c>
    </row>
    <row r="689" spans="1:17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M689">
        <v>0</v>
      </c>
      <c r="N689">
        <v>0</v>
      </c>
      <c r="O689">
        <v>7.5947317222717928E-2</v>
      </c>
    </row>
    <row r="690" spans="1:17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7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array" ref="M691:O693">SVDD(B691:K693)</f>
        <v>4.1896225600936701</v>
      </c>
      <c r="N691">
        <v>0</v>
      </c>
      <c r="O691">
        <v>0</v>
      </c>
      <c r="Q691">
        <f>MAX(M691,N692,O693)/MIN(M691,N692,O693)</f>
        <v>8.7365387211630789</v>
      </c>
    </row>
    <row r="692" spans="1:17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M692">
        <v>0</v>
      </c>
      <c r="N692">
        <v>1.4373224276899192</v>
      </c>
      <c r="O692">
        <v>0</v>
      </c>
    </row>
    <row r="693" spans="1:17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M693">
        <v>0</v>
      </c>
      <c r="N693">
        <v>0</v>
      </c>
      <c r="O693">
        <v>0.47955176458439747</v>
      </c>
    </row>
    <row r="694" spans="1:17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7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array" ref="M695:O697">SVDD(B695:K697)</f>
        <v>3.426054768284196</v>
      </c>
      <c r="N695">
        <v>0</v>
      </c>
      <c r="O695">
        <v>0</v>
      </c>
      <c r="Q695">
        <f>MAX(M695,N696,O697)/MIN(M695,N696,O697)</f>
        <v>8.8191567327495761</v>
      </c>
    </row>
    <row r="696" spans="1:17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M696">
        <v>0</v>
      </c>
      <c r="N696">
        <v>1.5864424469002112</v>
      </c>
      <c r="O696">
        <v>0</v>
      </c>
    </row>
    <row r="697" spans="1:17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M697">
        <v>0</v>
      </c>
      <c r="N697">
        <v>0</v>
      </c>
      <c r="O697">
        <v>0.38847872558627766</v>
      </c>
    </row>
    <row r="698" spans="1:17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7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array" ref="M699:O701">SVDD(B699:K701)</f>
        <v>3.5592168525117991</v>
      </c>
      <c r="N699">
        <v>0</v>
      </c>
      <c r="O699">
        <v>0</v>
      </c>
      <c r="Q699">
        <f>MAX(M699,N700,O701)/MIN(M699,N700,O701)</f>
        <v>9.0969079841042859</v>
      </c>
    </row>
    <row r="700" spans="1:17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M700">
        <v>0</v>
      </c>
      <c r="N700">
        <v>0.83476075690084917</v>
      </c>
      <c r="O700">
        <v>0</v>
      </c>
    </row>
    <row r="701" spans="1:17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M701">
        <v>0</v>
      </c>
      <c r="N701">
        <v>0</v>
      </c>
      <c r="O701">
        <v>0.39125567266714001</v>
      </c>
    </row>
    <row r="702" spans="1:17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7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array" ref="M703:O705">SVDD(B703:K705)</f>
        <v>4.1489202191957677</v>
      </c>
      <c r="N703">
        <v>0</v>
      </c>
      <c r="O703">
        <v>0</v>
      </c>
      <c r="Q703">
        <f>MAX(M703,N704,O705)/MIN(M703,N704,O705)</f>
        <v>6.7439838835765089</v>
      </c>
    </row>
    <row r="704" spans="1:17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M704">
        <v>0</v>
      </c>
      <c r="N704">
        <v>1.4593992754227505</v>
      </c>
      <c r="O704">
        <v>0</v>
      </c>
    </row>
    <row r="705" spans="1:17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M705">
        <v>0</v>
      </c>
      <c r="N705">
        <v>0</v>
      </c>
      <c r="O705">
        <v>0.61520316341495884</v>
      </c>
    </row>
    <row r="706" spans="1:17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7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array" ref="M707:O709">SVDD(B707:K709)</f>
        <v>3.3550147159618895</v>
      </c>
      <c r="N707">
        <v>0</v>
      </c>
      <c r="O707">
        <v>0</v>
      </c>
      <c r="Q707">
        <f>MAX(M707,N708,O709)/MIN(M707,N708,O709)</f>
        <v>24.854741469633339</v>
      </c>
    </row>
    <row r="708" spans="1:17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M708">
        <v>0</v>
      </c>
      <c r="N708">
        <v>1.1575196878679113</v>
      </c>
      <c r="O708">
        <v>0</v>
      </c>
    </row>
    <row r="709" spans="1:17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M709">
        <v>0</v>
      </c>
      <c r="N709">
        <v>0</v>
      </c>
      <c r="O709">
        <v>0.13498489694857338</v>
      </c>
    </row>
    <row r="710" spans="1:17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7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array" ref="M711:O713">SVDD(B711:K713)</f>
        <v>3.6894179517983803</v>
      </c>
      <c r="N711">
        <v>0</v>
      </c>
      <c r="O711">
        <v>0</v>
      </c>
      <c r="Q711">
        <f>MAX(M711,N712,O713)/MIN(M711,N712,O713)</f>
        <v>6.7600261934823944</v>
      </c>
    </row>
    <row r="712" spans="1:17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M712">
        <v>0</v>
      </c>
      <c r="N712">
        <v>2.0393122050796921</v>
      </c>
      <c r="O712">
        <v>0</v>
      </c>
    </row>
    <row r="713" spans="1:17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M713">
        <v>0</v>
      </c>
      <c r="N713">
        <v>0</v>
      </c>
      <c r="O713">
        <v>0.54576977162536622</v>
      </c>
    </row>
    <row r="714" spans="1:17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7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array" ref="M715:O717">SVDD(B715:K717)</f>
        <v>3.1632314240864905</v>
      </c>
      <c r="N715">
        <v>0</v>
      </c>
      <c r="O715">
        <v>0</v>
      </c>
      <c r="Q715">
        <f>MAX(M715,N716,O717)/MIN(M715,N716,O717)</f>
        <v>7.6432814060471879</v>
      </c>
    </row>
    <row r="716" spans="1:17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M716">
        <v>0</v>
      </c>
      <c r="N716">
        <v>1.8041488486084338</v>
      </c>
      <c r="O716">
        <v>0</v>
      </c>
    </row>
    <row r="717" spans="1:17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M717">
        <v>0</v>
      </c>
      <c r="N717">
        <v>0</v>
      </c>
      <c r="O717">
        <v>0.41385777338824853</v>
      </c>
    </row>
    <row r="718" spans="1:17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7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array" ref="M719:O721">SVDD(B719:K721)</f>
        <v>3.1361618279408292</v>
      </c>
      <c r="N719">
        <v>0</v>
      </c>
      <c r="O719">
        <v>0</v>
      </c>
      <c r="Q719">
        <f>MAX(M719,N720,O721)/MIN(M719,N720,O721)</f>
        <v>30.406937748135228</v>
      </c>
    </row>
    <row r="720" spans="1:17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M720">
        <v>0</v>
      </c>
      <c r="N720">
        <v>1.6228736542654225</v>
      </c>
      <c r="O720">
        <v>0</v>
      </c>
    </row>
    <row r="721" spans="1:17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M721">
        <v>0</v>
      </c>
      <c r="N721">
        <v>0</v>
      </c>
      <c r="O721">
        <v>0.10313967996113522</v>
      </c>
    </row>
    <row r="722" spans="1:17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7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array" ref="M723:O725">SVDD(B723:K725)</f>
        <v>3.8879047782897094</v>
      </c>
      <c r="N723">
        <v>0</v>
      </c>
      <c r="O723">
        <v>0</v>
      </c>
      <c r="Q723">
        <f>MAX(M723,N724,O725)/MIN(M723,N724,O725)</f>
        <v>7.3872884282208222</v>
      </c>
    </row>
    <row r="724" spans="1:17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M724">
        <v>0</v>
      </c>
      <c r="N724">
        <v>1.2330528162575796</v>
      </c>
      <c r="O724">
        <v>0</v>
      </c>
    </row>
    <row r="725" spans="1:17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M725">
        <v>0</v>
      </c>
      <c r="N725">
        <v>0</v>
      </c>
      <c r="O725">
        <v>0.52629659936346695</v>
      </c>
    </row>
    <row r="726" spans="1:17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7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array" ref="M727:O729">SVDD(B727:K729)</f>
        <v>4.5104342225386187</v>
      </c>
      <c r="N727">
        <v>0</v>
      </c>
      <c r="O727">
        <v>0</v>
      </c>
      <c r="Q727">
        <f>MAX(M727,N728,O729)/MIN(M727,N728,O729)</f>
        <v>11.407017699081383</v>
      </c>
    </row>
    <row r="728" spans="1:17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M728">
        <v>0</v>
      </c>
      <c r="N728">
        <v>1.366336608823806</v>
      </c>
      <c r="O728">
        <v>0</v>
      </c>
    </row>
    <row r="729" spans="1:17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M729">
        <v>0</v>
      </c>
      <c r="N729">
        <v>0</v>
      </c>
      <c r="O729">
        <v>0.39540871606623773</v>
      </c>
    </row>
    <row r="730" spans="1:17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7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array" ref="M731:O733">SVDD(B731:K733)</f>
        <v>3.9373491207493854</v>
      </c>
      <c r="N731">
        <v>0</v>
      </c>
      <c r="O731">
        <v>0</v>
      </c>
      <c r="Q731">
        <f>MAX(M731,N732,O733)/MIN(M731,N732,O733)</f>
        <v>7.7042383117965842</v>
      </c>
    </row>
    <row r="732" spans="1:17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M732">
        <v>0</v>
      </c>
      <c r="N732">
        <v>1.4018241838749699</v>
      </c>
      <c r="O732">
        <v>0</v>
      </c>
    </row>
    <row r="733" spans="1:17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M733">
        <v>0</v>
      </c>
      <c r="N733">
        <v>0</v>
      </c>
      <c r="O733">
        <v>0.51106273734037932</v>
      </c>
    </row>
    <row r="734" spans="1:17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7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array" ref="M735:O737">SVDD(B735:K737)</f>
        <v>3.832198555940614</v>
      </c>
      <c r="N735">
        <v>0</v>
      </c>
      <c r="O735">
        <v>0</v>
      </c>
      <c r="Q735">
        <f>MAX(M735,N736,O737)/MIN(M735,N736,O737)</f>
        <v>4.6357090519507596</v>
      </c>
    </row>
    <row r="736" spans="1:17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M736">
        <v>0</v>
      </c>
      <c r="N736">
        <v>1.1872970017643976</v>
      </c>
      <c r="O736">
        <v>0</v>
      </c>
    </row>
    <row r="737" spans="1:17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M737">
        <v>0</v>
      </c>
      <c r="N737">
        <v>0</v>
      </c>
      <c r="O737">
        <v>0.82666934291917671</v>
      </c>
    </row>
    <row r="738" spans="1:17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7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array" ref="M739:O741">SVDD(B739:K741)</f>
        <v>3.459710741252604</v>
      </c>
      <c r="N739">
        <v>0</v>
      </c>
      <c r="O739">
        <v>0</v>
      </c>
      <c r="Q739">
        <f>MAX(M739,N740,O741)/MIN(M739,N740,O741)</f>
        <v>8.6702125209460892</v>
      </c>
    </row>
    <row r="740" spans="1:17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M740">
        <v>0</v>
      </c>
      <c r="N740">
        <v>1.7693864280300766</v>
      </c>
      <c r="O740">
        <v>0</v>
      </c>
    </row>
    <row r="741" spans="1:17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M741">
        <v>0</v>
      </c>
      <c r="N741">
        <v>0</v>
      </c>
      <c r="O741">
        <v>0.39903413358027839</v>
      </c>
    </row>
    <row r="742" spans="1:17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7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array" ref="M743:O745">SVDD(B743:K745)</f>
        <v>2.7690386856575802</v>
      </c>
      <c r="N743">
        <v>0</v>
      </c>
      <c r="O743">
        <v>0</v>
      </c>
      <c r="Q743">
        <f>MAX(M743,N744,O745)/MIN(M743,N744,O745)</f>
        <v>10.82052253532785</v>
      </c>
    </row>
    <row r="744" spans="1:17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M744">
        <v>0</v>
      </c>
      <c r="N744">
        <v>1.6994962119075425</v>
      </c>
      <c r="O744">
        <v>0</v>
      </c>
    </row>
    <row r="745" spans="1:17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M745">
        <v>0</v>
      </c>
      <c r="N745">
        <v>0</v>
      </c>
      <c r="O745">
        <v>0.25590618906036788</v>
      </c>
    </row>
    <row r="746" spans="1:17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7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array" ref="M747:O749">SVDD(B747:K749)</f>
        <v>2.7148885064037662</v>
      </c>
      <c r="N747">
        <v>0</v>
      </c>
      <c r="O747">
        <v>0</v>
      </c>
      <c r="Q747">
        <f>MAX(M747,N748,O749)/MIN(M747,N748,O749)</f>
        <v>12.491015365653295</v>
      </c>
    </row>
    <row r="748" spans="1:17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M748">
        <v>0</v>
      </c>
      <c r="N748">
        <v>1.5010852807134771</v>
      </c>
      <c r="O748">
        <v>0</v>
      </c>
    </row>
    <row r="749" spans="1:17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M749">
        <v>0</v>
      </c>
      <c r="N749">
        <v>0</v>
      </c>
      <c r="O749">
        <v>0.2173473033960818</v>
      </c>
    </row>
    <row r="750" spans="1:17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7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array" ref="M751:O753">SVDD(B751:K753)</f>
        <v>3.6417717737491806</v>
      </c>
      <c r="N751">
        <v>0</v>
      </c>
      <c r="O751">
        <v>0</v>
      </c>
      <c r="Q751">
        <f>MAX(M751,N752,O753)/MIN(M751,N752,O753)</f>
        <v>13.999889977775659</v>
      </c>
    </row>
    <row r="752" spans="1:17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M752">
        <v>0</v>
      </c>
      <c r="N752">
        <v>1.656939738224898</v>
      </c>
      <c r="O752">
        <v>0</v>
      </c>
    </row>
    <row r="753" spans="1:17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M753">
        <v>0</v>
      </c>
      <c r="N753">
        <v>0</v>
      </c>
      <c r="O753">
        <v>0.26012859954830841</v>
      </c>
    </row>
    <row r="754" spans="1:17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7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array" ref="M755:O757">SVDD(B755:K757)</f>
        <v>3.4856664570889011</v>
      </c>
      <c r="N755">
        <v>0</v>
      </c>
      <c r="O755">
        <v>0</v>
      </c>
      <c r="Q755">
        <f>MAX(M755,N756,O757)/MIN(M755,N756,O757)</f>
        <v>4.0498565184144342</v>
      </c>
    </row>
    <row r="756" spans="1:17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M756">
        <v>0</v>
      </c>
      <c r="N756">
        <v>1.4948211311465829</v>
      </c>
      <c r="O756">
        <v>0</v>
      </c>
    </row>
    <row r="757" spans="1:17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M757">
        <v>0</v>
      </c>
      <c r="N757">
        <v>0</v>
      </c>
      <c r="O757">
        <v>0.86068887656631843</v>
      </c>
    </row>
    <row r="758" spans="1:17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7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array" ref="M759:O761">SVDD(B759:K761)</f>
        <v>2.7272620716358018</v>
      </c>
      <c r="N759">
        <v>0</v>
      </c>
      <c r="O759">
        <v>0</v>
      </c>
      <c r="Q759">
        <f>MAX(M759,N760,O761)/MIN(M759,N760,O761)</f>
        <v>4.3692129899913237</v>
      </c>
    </row>
    <row r="760" spans="1:17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M760">
        <v>0</v>
      </c>
      <c r="N760">
        <v>1.6307783259309152</v>
      </c>
      <c r="O760">
        <v>0</v>
      </c>
    </row>
    <row r="761" spans="1:17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M761">
        <v>0</v>
      </c>
      <c r="N761">
        <v>0</v>
      </c>
      <c r="O761">
        <v>0.62419984511700755</v>
      </c>
    </row>
    <row r="762" spans="1:17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7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array" ref="M763:O765">SVDD(B763:K765)</f>
        <v>3.5220151475287409</v>
      </c>
      <c r="N763">
        <v>0</v>
      </c>
      <c r="O763">
        <v>0</v>
      </c>
      <c r="Q763">
        <f>MAX(M763,N764,O765)/MIN(M763,N764,O765)</f>
        <v>78.646767274648326</v>
      </c>
    </row>
    <row r="764" spans="1:17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M764">
        <v>0</v>
      </c>
      <c r="N764">
        <v>1.7144742086664073</v>
      </c>
      <c r="O764">
        <v>0</v>
      </c>
    </row>
    <row r="765" spans="1:17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M765">
        <v>0</v>
      </c>
      <c r="N765">
        <v>0</v>
      </c>
      <c r="O765">
        <v>4.478270715475495E-2</v>
      </c>
    </row>
    <row r="766" spans="1:17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7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array" ref="M767:O769">SVDD(B767:K769)</f>
        <v>4.1252639081333768</v>
      </c>
      <c r="N767">
        <v>0</v>
      </c>
      <c r="O767">
        <v>0</v>
      </c>
      <c r="Q767">
        <f>MAX(M767,N768,O769)/MIN(M767,N768,O769)</f>
        <v>164.28773400149754</v>
      </c>
    </row>
    <row r="768" spans="1:17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M768">
        <v>0</v>
      </c>
      <c r="N768">
        <v>1.9446985424180059</v>
      </c>
      <c r="O768">
        <v>0</v>
      </c>
    </row>
    <row r="769" spans="1:17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M769">
        <v>0</v>
      </c>
      <c r="N769">
        <v>0</v>
      </c>
      <c r="O769">
        <v>2.5109993349203864E-2</v>
      </c>
    </row>
    <row r="770" spans="1:17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7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array" ref="M771:O773">SVDD(B771:K773)</f>
        <v>3.4999483196745347</v>
      </c>
      <c r="N771">
        <v>0</v>
      </c>
      <c r="O771">
        <v>0</v>
      </c>
      <c r="Q771">
        <f>MAX(M771,N772,O773)/MIN(M771,N772,O773)</f>
        <v>48.188025421310236</v>
      </c>
    </row>
    <row r="772" spans="1:17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M772">
        <v>0</v>
      </c>
      <c r="N772">
        <v>1.977162704647615</v>
      </c>
      <c r="O772">
        <v>0</v>
      </c>
    </row>
    <row r="773" spans="1:17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M773">
        <v>0</v>
      </c>
      <c r="N773">
        <v>0</v>
      </c>
      <c r="O773">
        <v>7.2631079797819423E-2</v>
      </c>
    </row>
    <row r="774" spans="1:17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7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array" ref="M775:O777">SVDD(B775:K777)</f>
        <v>3.3948390540763</v>
      </c>
      <c r="N775">
        <v>0</v>
      </c>
      <c r="O775">
        <v>0</v>
      </c>
      <c r="Q775">
        <f>MAX(M775,N776,O777)/MIN(M775,N776,O777)</f>
        <v>5.3852378456834185</v>
      </c>
    </row>
    <row r="776" spans="1:17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M776">
        <v>0</v>
      </c>
      <c r="N776">
        <v>1.8136582731595969</v>
      </c>
      <c r="O776">
        <v>0</v>
      </c>
    </row>
    <row r="777" spans="1:17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M777">
        <v>0</v>
      </c>
      <c r="N777">
        <v>0</v>
      </c>
      <c r="O777">
        <v>0.63039723617731414</v>
      </c>
    </row>
    <row r="778" spans="1:17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7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array" ref="M779:O781">SVDD(B779:K781)</f>
        <v>2.934398020244267</v>
      </c>
      <c r="N779">
        <v>0</v>
      </c>
      <c r="O779">
        <v>0</v>
      </c>
      <c r="Q779">
        <f>MAX(M779,N780,O781)/MIN(M779,N780,O781)</f>
        <v>60.784735341936909</v>
      </c>
    </row>
    <row r="780" spans="1:17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M780">
        <v>0</v>
      </c>
      <c r="N780">
        <v>2.2537966491571235</v>
      </c>
      <c r="O780">
        <v>0</v>
      </c>
    </row>
    <row r="781" spans="1:17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M781">
        <v>0</v>
      </c>
      <c r="N781">
        <v>0</v>
      </c>
      <c r="O781">
        <v>4.8275245482886101E-2</v>
      </c>
    </row>
    <row r="782" spans="1:17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7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array" ref="M783:O785">SVDD(B783:K785)</f>
        <v>2.5431826630348828</v>
      </c>
      <c r="N783">
        <v>0</v>
      </c>
      <c r="O783">
        <v>0</v>
      </c>
      <c r="Q783">
        <f>MAX(M783,N784,O785)/MIN(M783,N784,O785)</f>
        <v>43.634163887742503</v>
      </c>
    </row>
    <row r="784" spans="1:17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M784">
        <v>0</v>
      </c>
      <c r="N784">
        <v>1.6078703617774532</v>
      </c>
      <c r="O784">
        <v>0</v>
      </c>
    </row>
    <row r="785" spans="1:17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M785">
        <v>0</v>
      </c>
      <c r="N785">
        <v>0</v>
      </c>
      <c r="O785">
        <v>5.8284207520916911E-2</v>
      </c>
    </row>
    <row r="786" spans="1:17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7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array" ref="M787:O789">SVDD(B787:K789)</f>
        <v>2.5625610732062736</v>
      </c>
      <c r="N787">
        <v>0</v>
      </c>
      <c r="O787">
        <v>0</v>
      </c>
      <c r="Q787">
        <f>MAX(M787,N788,O789)/MIN(M787,N788,O789)</f>
        <v>15.843396978505577</v>
      </c>
    </row>
    <row r="788" spans="1:17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M788">
        <v>0</v>
      </c>
      <c r="N788">
        <v>1.2292865568413724</v>
      </c>
      <c r="O788">
        <v>0</v>
      </c>
    </row>
    <row r="789" spans="1:17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M789">
        <v>0</v>
      </c>
      <c r="N789">
        <v>0</v>
      </c>
      <c r="O789">
        <v>0.16174315878613971</v>
      </c>
    </row>
    <row r="790" spans="1:17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7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array" ref="M791:O793">SVDD(B791:K793)</f>
        <v>3.1535663512814698</v>
      </c>
      <c r="N791">
        <v>0</v>
      </c>
      <c r="O791">
        <v>0</v>
      </c>
      <c r="Q791">
        <f>MAX(M791,N792,O793)/MIN(M791,N792,O793)</f>
        <v>47.083606103164364</v>
      </c>
    </row>
    <row r="792" spans="1:17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M792">
        <v>0</v>
      </c>
      <c r="N792">
        <v>2.135701913317599</v>
      </c>
      <c r="O792">
        <v>0</v>
      </c>
    </row>
    <row r="793" spans="1:17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M793">
        <v>0</v>
      </c>
      <c r="N793">
        <v>0</v>
      </c>
      <c r="O793">
        <v>6.6978012354697844E-2</v>
      </c>
    </row>
    <row r="794" spans="1:17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7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array" ref="M795:O797">SVDD(B795:K797)</f>
        <v>2.9282141148024849</v>
      </c>
      <c r="N795">
        <v>0</v>
      </c>
      <c r="O795">
        <v>0</v>
      </c>
      <c r="Q795">
        <f>MAX(M795,N796,O797)/MIN(M795,N796,O797)</f>
        <v>4.2316219886590369</v>
      </c>
    </row>
    <row r="796" spans="1:17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M796">
        <v>0</v>
      </c>
      <c r="N796">
        <v>2.122501642032804</v>
      </c>
      <c r="O796">
        <v>0</v>
      </c>
    </row>
    <row r="797" spans="1:17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M797">
        <v>0</v>
      </c>
      <c r="N797">
        <v>0</v>
      </c>
      <c r="O797">
        <v>0.69198385929798267</v>
      </c>
    </row>
    <row r="798" spans="1:17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7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array" ref="M799:O801">SVDD(B799:K801)</f>
        <v>2.247096213665488</v>
      </c>
      <c r="N799">
        <v>0</v>
      </c>
      <c r="O799">
        <v>0</v>
      </c>
      <c r="Q799">
        <f>MAX(M799,N800,O801)/MIN(M799,N800,O801)</f>
        <v>3.7419183861965877</v>
      </c>
    </row>
    <row r="800" spans="1:17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M800">
        <v>0</v>
      </c>
      <c r="N800">
        <v>1.8740405407062291</v>
      </c>
      <c r="O800">
        <v>0</v>
      </c>
    </row>
    <row r="801" spans="1:17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M801">
        <v>0</v>
      </c>
      <c r="N801">
        <v>0</v>
      </c>
      <c r="O801">
        <v>0.60051983548190435</v>
      </c>
    </row>
    <row r="802" spans="1:17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7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array" ref="M803:O805">SVDD(B803:K805)</f>
        <v>3.9740013876078035</v>
      </c>
      <c r="N803">
        <v>0</v>
      </c>
      <c r="O803">
        <v>0</v>
      </c>
      <c r="Q803">
        <f>MAX(M803,N804,O805)/MIN(M803,N804,O805)</f>
        <v>73.679012294102208</v>
      </c>
    </row>
    <row r="804" spans="1:17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M804">
        <v>0</v>
      </c>
      <c r="N804">
        <v>1.4818327625416834</v>
      </c>
      <c r="O804">
        <v>0</v>
      </c>
    </row>
    <row r="805" spans="1:17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M805">
        <v>0</v>
      </c>
      <c r="N805">
        <v>0</v>
      </c>
      <c r="O805">
        <v>5.3936681069296999E-2</v>
      </c>
    </row>
    <row r="806" spans="1:17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7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array" ref="M807:O809">SVDD(B807:K809)</f>
        <v>3.2723678567739087</v>
      </c>
      <c r="N807">
        <v>0</v>
      </c>
      <c r="O807">
        <v>0</v>
      </c>
      <c r="Q807">
        <f>MAX(M807,N808,O809)/MIN(M807,N808,O809)</f>
        <v>32.69671686372822</v>
      </c>
    </row>
    <row r="808" spans="1:17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M808">
        <v>0</v>
      </c>
      <c r="N808">
        <v>1.6231956794089213</v>
      </c>
      <c r="O808">
        <v>0</v>
      </c>
    </row>
    <row r="809" spans="1:17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M809">
        <v>0</v>
      </c>
      <c r="N809">
        <v>0</v>
      </c>
      <c r="O809">
        <v>0.10008245997334607</v>
      </c>
    </row>
    <row r="810" spans="1:17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7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array" ref="M811:O813">SVDD(B811:K813)</f>
        <v>3.1115612987926271</v>
      </c>
      <c r="N811">
        <v>0</v>
      </c>
      <c r="O811">
        <v>0</v>
      </c>
      <c r="Q811">
        <f>MAX(M811,N812,O813)/MIN(M811,N812,O813)</f>
        <v>5.148520595378665</v>
      </c>
    </row>
    <row r="812" spans="1:17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M812">
        <v>0</v>
      </c>
      <c r="N812">
        <v>1.5349009628633139</v>
      </c>
      <c r="O812">
        <v>0</v>
      </c>
    </row>
    <row r="813" spans="1:17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M813">
        <v>0</v>
      </c>
      <c r="N813">
        <v>0</v>
      </c>
      <c r="O813">
        <v>0.60436027032417394</v>
      </c>
    </row>
    <row r="814" spans="1:17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7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array" ref="M815:O817">SVDD(B815:K817)</f>
        <v>4.1728211380623321</v>
      </c>
      <c r="N815">
        <v>0</v>
      </c>
      <c r="O815">
        <v>0</v>
      </c>
      <c r="Q815">
        <f>MAX(M815,N816,O817)/MIN(M815,N816,O817)</f>
        <v>96.954240197925813</v>
      </c>
    </row>
    <row r="816" spans="1:17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M816">
        <v>0</v>
      </c>
      <c r="N816">
        <v>1.1803180638719184</v>
      </c>
      <c r="O816">
        <v>0</v>
      </c>
    </row>
    <row r="817" spans="1:17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M817">
        <v>0</v>
      </c>
      <c r="N817">
        <v>0</v>
      </c>
      <c r="O817">
        <v>4.3039078327505711E-2</v>
      </c>
    </row>
    <row r="818" spans="1:17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7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array" ref="M819:O821">SVDD(B819:K821)</f>
        <v>4.007288799300647</v>
      </c>
      <c r="N819">
        <v>0</v>
      </c>
      <c r="O819">
        <v>0</v>
      </c>
      <c r="Q819">
        <f>MAX(M819,N820,O821)/MIN(M819,N820,O821)</f>
        <v>8.4915819675423769</v>
      </c>
    </row>
    <row r="820" spans="1:17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M820">
        <v>0</v>
      </c>
      <c r="N820">
        <v>1.2553685729991417</v>
      </c>
      <c r="O820">
        <v>0</v>
      </c>
    </row>
    <row r="821" spans="1:17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M821">
        <v>0</v>
      </c>
      <c r="N821">
        <v>0</v>
      </c>
      <c r="O821">
        <v>0.47191310342617249</v>
      </c>
    </row>
    <row r="822" spans="1:17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7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array" ref="M823:O825">SVDD(B823:K825)</f>
        <v>3.3018547927820099</v>
      </c>
      <c r="N823">
        <v>0</v>
      </c>
      <c r="O823">
        <v>0</v>
      </c>
      <c r="Q823">
        <f>MAX(M823,N824,O825)/MIN(M823,N824,O825)</f>
        <v>6.3895223243581478</v>
      </c>
    </row>
    <row r="824" spans="1:17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M824">
        <v>0</v>
      </c>
      <c r="N824">
        <v>1.4316272186100758</v>
      </c>
      <c r="O824">
        <v>0</v>
      </c>
    </row>
    <row r="825" spans="1:17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M825">
        <v>0</v>
      </c>
      <c r="N825">
        <v>0</v>
      </c>
      <c r="O825">
        <v>0.51676081953648922</v>
      </c>
    </row>
    <row r="826" spans="1:17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7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array" ref="M827:O829">SVDD(B827:K829)</f>
        <v>3.0983569154263262</v>
      </c>
      <c r="N827">
        <v>0</v>
      </c>
      <c r="O827">
        <v>0</v>
      </c>
      <c r="Q827">
        <f>MAX(M827,N828,O829)/MIN(M827,N828,O829)</f>
        <v>36.278174600082131</v>
      </c>
    </row>
    <row r="828" spans="1:17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M828">
        <v>0</v>
      </c>
      <c r="N828">
        <v>1.4466049894559621</v>
      </c>
      <c r="O828">
        <v>0</v>
      </c>
    </row>
    <row r="829" spans="1:17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M829">
        <v>0</v>
      </c>
      <c r="N829">
        <v>0</v>
      </c>
      <c r="O829">
        <v>8.5405535134596089E-2</v>
      </c>
    </row>
    <row r="830" spans="1:17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7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array" ref="M831:O833">SVDD(B831:K833)</f>
        <v>2.8403207223003211</v>
      </c>
      <c r="N831">
        <v>0</v>
      </c>
      <c r="O831">
        <v>0</v>
      </c>
      <c r="Q831">
        <f>MAX(M831,N832,O833)/MIN(M831,N832,O833)</f>
        <v>4.1592918598828774</v>
      </c>
    </row>
    <row r="832" spans="1:17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M832">
        <v>0</v>
      </c>
      <c r="N832">
        <v>1.4884809250135445</v>
      </c>
      <c r="O832">
        <v>0</v>
      </c>
    </row>
    <row r="833" spans="1:17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M833">
        <v>0</v>
      </c>
      <c r="N833">
        <v>0</v>
      </c>
      <c r="O833">
        <v>0.68288564928461226</v>
      </c>
    </row>
    <row r="834" spans="1:17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7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array" ref="M835:O837">SVDD(B835:K837)</f>
        <v>2.0475501881679454</v>
      </c>
      <c r="N835">
        <v>0</v>
      </c>
      <c r="O835">
        <v>0</v>
      </c>
      <c r="Q835">
        <f>MAX(M835,N836,O837)/MIN(M835,N836,O837)</f>
        <v>3.3404308278328063</v>
      </c>
    </row>
    <row r="836" spans="1:17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M836">
        <v>0</v>
      </c>
      <c r="N836">
        <v>1.2421747118276041</v>
      </c>
      <c r="O836">
        <v>0</v>
      </c>
    </row>
    <row r="837" spans="1:17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M837">
        <v>0</v>
      </c>
      <c r="N837">
        <v>0</v>
      </c>
      <c r="O837">
        <v>0.61295991256802895</v>
      </c>
    </row>
    <row r="838" spans="1:17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7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array" ref="M839:O841">SVDD(B839:K841)</f>
        <v>3.238230903292135</v>
      </c>
      <c r="N839">
        <v>0</v>
      </c>
      <c r="O839">
        <v>0</v>
      </c>
      <c r="Q839">
        <f>MAX(M839,N840,O841)/MIN(M839,N840,O841)</f>
        <v>8.7574243061677581</v>
      </c>
    </row>
    <row r="840" spans="1:17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M840">
        <v>0</v>
      </c>
      <c r="N840">
        <v>0.97086446383899627</v>
      </c>
      <c r="O840">
        <v>0</v>
      </c>
    </row>
    <row r="841" spans="1:17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M841">
        <v>0</v>
      </c>
      <c r="N841">
        <v>0</v>
      </c>
      <c r="O841">
        <v>0.36976978505100916</v>
      </c>
    </row>
    <row r="842" spans="1:17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7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array" ref="M843:O845">SVDD(B843:K845)</f>
        <v>3.8828544856106966</v>
      </c>
      <c r="N843">
        <v>0</v>
      </c>
      <c r="O843">
        <v>0</v>
      </c>
      <c r="Q843">
        <f>MAX(M843,N844,O845)/MIN(M843,N844,O845)</f>
        <v>6.2941290610552088</v>
      </c>
    </row>
    <row r="844" spans="1:17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M844">
        <v>0</v>
      </c>
      <c r="N844">
        <v>1.5414996021256311</v>
      </c>
      <c r="O844">
        <v>0</v>
      </c>
    </row>
    <row r="845" spans="1:17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M845">
        <v>0</v>
      </c>
      <c r="N845">
        <v>0</v>
      </c>
      <c r="O845">
        <v>0.61690099582415259</v>
      </c>
    </row>
    <row r="846" spans="1:17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7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array" ref="M847:O849">SVDD(B847:K849)</f>
        <v>4.1179386799472066</v>
      </c>
      <c r="N847">
        <v>0</v>
      </c>
      <c r="O847">
        <v>0</v>
      </c>
      <c r="Q847">
        <f>MAX(M847,N848,O849)/MIN(M847,N848,O849)</f>
        <v>14.934482625686957</v>
      </c>
    </row>
    <row r="848" spans="1:17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M848">
        <v>0</v>
      </c>
      <c r="N848">
        <v>1.2778387916764899</v>
      </c>
      <c r="O848">
        <v>0</v>
      </c>
    </row>
    <row r="849" spans="1:17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M849">
        <v>0</v>
      </c>
      <c r="N849">
        <v>0</v>
      </c>
      <c r="O849">
        <v>0.27573360143487324</v>
      </c>
    </row>
    <row r="850" spans="1:17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7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array" ref="M851:O853">SVDD(B851:K853)</f>
        <v>3.523596888332694</v>
      </c>
      <c r="N851">
        <v>0</v>
      </c>
      <c r="O851">
        <v>0</v>
      </c>
      <c r="Q851">
        <f>MAX(M851,N852,O853)/MIN(M851,N852,O853)</f>
        <v>6.4291447550836223</v>
      </c>
    </row>
    <row r="852" spans="1:17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M852">
        <v>0</v>
      </c>
      <c r="N852">
        <v>1.4876987187867667</v>
      </c>
      <c r="O852">
        <v>0</v>
      </c>
    </row>
    <row r="853" spans="1:17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M853">
        <v>0</v>
      </c>
      <c r="N853">
        <v>0</v>
      </c>
      <c r="O853">
        <v>0.54806619271506252</v>
      </c>
    </row>
    <row r="854" spans="1:17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7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array" ref="M855:O857">SVDD(B855:K857)</f>
        <v>3.6026225121354085</v>
      </c>
      <c r="N855">
        <v>0</v>
      </c>
      <c r="O855">
        <v>0</v>
      </c>
      <c r="Q855">
        <f>MAX(M855,N856,O857)/MIN(M855,N856,O857)</f>
        <v>8.8426748976303085</v>
      </c>
    </row>
    <row r="856" spans="1:17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M856">
        <v>0</v>
      </c>
      <c r="N856">
        <v>1.6092088856136673</v>
      </c>
      <c r="O856">
        <v>0</v>
      </c>
    </row>
    <row r="857" spans="1:17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M857">
        <v>0</v>
      </c>
      <c r="N857">
        <v>0</v>
      </c>
      <c r="O857">
        <v>0.40741320401826059</v>
      </c>
    </row>
    <row r="858" spans="1:17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7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array" ref="M859:O861">SVDD(B859:K861)</f>
        <v>3.4972293693549439</v>
      </c>
      <c r="N859">
        <v>0</v>
      </c>
      <c r="O859">
        <v>0</v>
      </c>
      <c r="Q859">
        <f>MAX(M859,N860,O861)/MIN(M859,N860,O861)</f>
        <v>3.9231362593986283</v>
      </c>
    </row>
    <row r="860" spans="1:17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M860">
        <v>0</v>
      </c>
      <c r="N860">
        <v>1.0032247717817879</v>
      </c>
      <c r="O860">
        <v>0</v>
      </c>
    </row>
    <row r="861" spans="1:17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M861">
        <v>0</v>
      </c>
      <c r="N861">
        <v>0</v>
      </c>
      <c r="O861">
        <v>0.89143714062356549</v>
      </c>
    </row>
    <row r="862" spans="1:17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7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array" ref="M863:O865">SVDD(B863:K865)</f>
        <v>3.4342843170844772</v>
      </c>
      <c r="N863">
        <v>0</v>
      </c>
      <c r="O863">
        <v>0</v>
      </c>
      <c r="Q863">
        <f>MAX(M863,N864,O865)/MIN(M863,N864,O865)</f>
        <v>6.0358778218424316</v>
      </c>
    </row>
    <row r="864" spans="1:17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M864">
        <v>0</v>
      </c>
      <c r="N864">
        <v>1.848472518657176</v>
      </c>
      <c r="O864">
        <v>0</v>
      </c>
    </row>
    <row r="865" spans="1:17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M865">
        <v>0</v>
      </c>
      <c r="N865">
        <v>0</v>
      </c>
      <c r="O865">
        <v>0.56897843502673373</v>
      </c>
    </row>
    <row r="866" spans="1:17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7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array" ref="M867:O869">SVDD(B867:K869)</f>
        <v>3.1950974862528394</v>
      </c>
      <c r="N867">
        <v>0</v>
      </c>
      <c r="O867">
        <v>0</v>
      </c>
      <c r="Q867">
        <f>MAX(M867,N868,O869)/MIN(M867,N868,O869)</f>
        <v>12.851721807810179</v>
      </c>
    </row>
    <row r="868" spans="1:17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M868">
        <v>0</v>
      </c>
      <c r="N868">
        <v>1.2359121731222968</v>
      </c>
      <c r="O868">
        <v>0</v>
      </c>
    </row>
    <row r="869" spans="1:17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M869">
        <v>0</v>
      </c>
      <c r="N869">
        <v>0</v>
      </c>
      <c r="O869">
        <v>0.24861240649569089</v>
      </c>
    </row>
    <row r="870" spans="1:17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7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array" ref="M871:O873">SVDD(B871:K873)</f>
        <v>3.0237188004990947</v>
      </c>
      <c r="N871">
        <v>0</v>
      </c>
      <c r="O871">
        <v>0</v>
      </c>
      <c r="Q871">
        <f>MAX(M871,N872,O873)/MIN(M871,N872,O873)</f>
        <v>5.786596154939649</v>
      </c>
    </row>
    <row r="872" spans="1:17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M872">
        <v>0</v>
      </c>
      <c r="N872">
        <v>1.7852399985847409</v>
      </c>
      <c r="O872">
        <v>0</v>
      </c>
    </row>
    <row r="873" spans="1:17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M873">
        <v>0</v>
      </c>
      <c r="N873">
        <v>0</v>
      </c>
      <c r="O873">
        <v>0.52253841801590706</v>
      </c>
    </row>
    <row r="874" spans="1:17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7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array" ref="M875:O877">SVDD(B875:K877)</f>
        <v>3.0268724442867496</v>
      </c>
      <c r="N875">
        <v>0</v>
      </c>
      <c r="O875">
        <v>0</v>
      </c>
      <c r="Q875">
        <f>MAX(M875,N876,O877)/MIN(M875,N876,O877)</f>
        <v>19.734340626295541</v>
      </c>
    </row>
    <row r="876" spans="1:17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M876">
        <v>0</v>
      </c>
      <c r="N876">
        <v>1.3095139465704968</v>
      </c>
      <c r="O876">
        <v>0</v>
      </c>
    </row>
    <row r="877" spans="1:17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M877">
        <v>0</v>
      </c>
      <c r="N877">
        <v>0</v>
      </c>
      <c r="O877">
        <v>0.15338097692777805</v>
      </c>
    </row>
    <row r="878" spans="1:17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7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array" ref="M879:O881">SVDD(B879:K881)</f>
        <v>3.0559182767354285</v>
      </c>
      <c r="N879">
        <v>0</v>
      </c>
      <c r="O879">
        <v>0</v>
      </c>
      <c r="Q879">
        <f>MAX(M879,N880,O881)/MIN(M879,N880,O881)</f>
        <v>6.7647735369449515</v>
      </c>
    </row>
    <row r="880" spans="1:17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M880">
        <v>0</v>
      </c>
      <c r="N880">
        <v>1.7573282711891305</v>
      </c>
      <c r="O880">
        <v>0</v>
      </c>
    </row>
    <row r="881" spans="1:17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M881">
        <v>0</v>
      </c>
      <c r="N881">
        <v>0</v>
      </c>
      <c r="O881">
        <v>0.45173992300642718</v>
      </c>
    </row>
    <row r="882" spans="1:17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7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array" ref="M883:O885">SVDD(B883:K885)</f>
        <v>3.2181258246388151</v>
      </c>
      <c r="N883">
        <v>0</v>
      </c>
      <c r="O883">
        <v>0</v>
      </c>
      <c r="Q883">
        <f>MAX(M883,N884,O885)/MIN(M883,N884,O885)</f>
        <v>14.966921549735527</v>
      </c>
    </row>
    <row r="884" spans="1:17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M884">
        <v>0</v>
      </c>
      <c r="N884">
        <v>1.741669065250445</v>
      </c>
      <c r="O884">
        <v>0</v>
      </c>
    </row>
    <row r="885" spans="1:17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M885">
        <v>0</v>
      </c>
      <c r="N885">
        <v>0</v>
      </c>
      <c r="O885">
        <v>0.21501588111789635</v>
      </c>
    </row>
    <row r="886" spans="1:17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7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array" ref="M887:O889">SVDD(B887:K889)</f>
        <v>3.0526216263621446</v>
      </c>
      <c r="N887">
        <v>0</v>
      </c>
      <c r="O887">
        <v>0</v>
      </c>
      <c r="Q887">
        <f>MAX(M887,N888,O889)/MIN(M887,N888,O889)</f>
        <v>3.7361479571893801</v>
      </c>
    </row>
    <row r="888" spans="1:17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M888">
        <v>0</v>
      </c>
      <c r="N888">
        <v>1.3218215085009399</v>
      </c>
      <c r="O888">
        <v>0</v>
      </c>
    </row>
    <row r="889" spans="1:17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M889">
        <v>0</v>
      </c>
      <c r="N889">
        <v>0</v>
      </c>
      <c r="O889">
        <v>0.81705051870016498</v>
      </c>
    </row>
    <row r="890" spans="1:17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7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array" ref="M891:O893">SVDD(B891:K893)</f>
        <v>2.4357260869474175</v>
      </c>
      <c r="N891">
        <v>0</v>
      </c>
      <c r="O891">
        <v>0</v>
      </c>
      <c r="Q891">
        <f>MAX(M891,N892,O893)/MIN(M891,N892,O893)</f>
        <v>7.2285145416857297</v>
      </c>
    </row>
    <row r="892" spans="1:17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M892">
        <v>0</v>
      </c>
      <c r="N892">
        <v>1.9112068758681606</v>
      </c>
      <c r="O892">
        <v>0</v>
      </c>
    </row>
    <row r="893" spans="1:17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M893">
        <v>0</v>
      </c>
      <c r="N893">
        <v>0</v>
      </c>
      <c r="O893">
        <v>0.33696080611043394</v>
      </c>
    </row>
    <row r="894" spans="1:17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7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array" ref="M895:O897">SVDD(B895:K897)</f>
        <v>2.4307643591470276</v>
      </c>
      <c r="N895">
        <v>0</v>
      </c>
      <c r="O895">
        <v>0</v>
      </c>
      <c r="Q895">
        <f>MAX(M895,N896,O897)/MIN(M895,N896,O897)</f>
        <v>6.3213261641669307</v>
      </c>
    </row>
    <row r="896" spans="1:17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M896">
        <v>0</v>
      </c>
      <c r="N896">
        <v>1.3927813281012618</v>
      </c>
      <c r="O896">
        <v>0</v>
      </c>
    </row>
    <row r="897" spans="1:17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M897">
        <v>0</v>
      </c>
      <c r="N897">
        <v>0</v>
      </c>
      <c r="O897">
        <v>0.38453392468910375</v>
      </c>
    </row>
    <row r="898" spans="1:17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7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array" ref="M899:O901">SVDD(B899:K901)</f>
        <v>2.3588095798862412</v>
      </c>
      <c r="N899">
        <v>0</v>
      </c>
      <c r="O899">
        <v>0</v>
      </c>
      <c r="Q899">
        <f>MAX(M899,N900,O901)/MIN(M899,N900,O901)</f>
        <v>3.3117446814924647</v>
      </c>
    </row>
    <row r="900" spans="1:17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M900">
        <v>0</v>
      </c>
      <c r="N900">
        <v>1.6523011658718973</v>
      </c>
      <c r="O900">
        <v>0</v>
      </c>
    </row>
    <row r="901" spans="1:17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M901">
        <v>0</v>
      </c>
      <c r="N901">
        <v>0</v>
      </c>
      <c r="O901">
        <v>0.71225586714710887</v>
      </c>
    </row>
    <row r="902" spans="1:17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7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array" ref="M903:O905">SVDD(B903:K905)</f>
        <v>3.8368947488050971</v>
      </c>
      <c r="N903">
        <v>0</v>
      </c>
      <c r="O903">
        <v>0</v>
      </c>
      <c r="Q903">
        <f>MAX(M903,N904,O905)/MIN(M903,N904,O905)</f>
        <v>224.43467682103</v>
      </c>
    </row>
    <row r="904" spans="1:17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M904">
        <v>0</v>
      </c>
      <c r="N904">
        <v>1.8495256488643119</v>
      </c>
      <c r="O904">
        <v>0</v>
      </c>
    </row>
    <row r="905" spans="1:17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M905">
        <v>0</v>
      </c>
      <c r="N905">
        <v>0</v>
      </c>
      <c r="O905">
        <v>1.7095819608414328E-2</v>
      </c>
    </row>
    <row r="906" spans="1:17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7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array" ref="M907:O909">SVDD(B907:K909)</f>
        <v>3.2740597952082382</v>
      </c>
      <c r="N907">
        <v>0</v>
      </c>
      <c r="O907">
        <v>0</v>
      </c>
      <c r="Q907">
        <f>MAX(M907,N908,O909)/MIN(M907,N908,O909)</f>
        <v>158.60090624245987</v>
      </c>
    </row>
    <row r="908" spans="1:17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M908">
        <v>0</v>
      </c>
      <c r="N908">
        <v>1.9198812741747824</v>
      </c>
      <c r="O908">
        <v>0</v>
      </c>
    </row>
    <row r="909" spans="1:17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M909">
        <v>0</v>
      </c>
      <c r="N909">
        <v>0</v>
      </c>
      <c r="O909">
        <v>2.0643386426828138E-2</v>
      </c>
    </row>
    <row r="910" spans="1:17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7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array" ref="M911:O913">SVDD(B911:K913)</f>
        <v>3.2872589401920935</v>
      </c>
      <c r="N911">
        <v>0</v>
      </c>
      <c r="O911">
        <v>0</v>
      </c>
      <c r="Q911">
        <f>MAX(M911,N912,O913)/MIN(M911,N912,O913)</f>
        <v>45.103625783121565</v>
      </c>
    </row>
    <row r="912" spans="1:17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M912">
        <v>0</v>
      </c>
      <c r="N912">
        <v>2.0975040596385708</v>
      </c>
      <c r="O912">
        <v>0</v>
      </c>
    </row>
    <row r="913" spans="1:17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M913">
        <v>0</v>
      </c>
      <c r="N913">
        <v>0</v>
      </c>
      <c r="O913">
        <v>7.2882365510894997E-2</v>
      </c>
    </row>
    <row r="914" spans="1:17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7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array" ref="M915:O917">SVDD(B915:K917)</f>
        <v>3.2045307022485212</v>
      </c>
      <c r="N915">
        <v>0</v>
      </c>
      <c r="O915">
        <v>0</v>
      </c>
      <c r="Q915">
        <f>MAX(M915,N916,O917)/MIN(M915,N916,O917)</f>
        <v>5.2656851392909605</v>
      </c>
    </row>
    <row r="916" spans="1:17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M916">
        <v>0</v>
      </c>
      <c r="N916">
        <v>1.6937648419296409</v>
      </c>
      <c r="O916">
        <v>0</v>
      </c>
    </row>
    <row r="917" spans="1:17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M917">
        <v>0</v>
      </c>
      <c r="N917">
        <v>0</v>
      </c>
      <c r="O917">
        <v>0.60856861310169796</v>
      </c>
    </row>
    <row r="918" spans="1:17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7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array" ref="M919:O921">SVDD(B919:K921)</f>
        <v>3.6268994874580609</v>
      </c>
      <c r="N919">
        <v>0</v>
      </c>
      <c r="O919">
        <v>0</v>
      </c>
      <c r="Q919">
        <f>MAX(M919,N920,O921)/MIN(M919,N920,O921)</f>
        <v>239.86414802535919</v>
      </c>
    </row>
    <row r="920" spans="1:17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M920">
        <v>0</v>
      </c>
      <c r="N920">
        <v>1.4436697762625244</v>
      </c>
      <c r="O920">
        <v>0</v>
      </c>
    </row>
    <row r="921" spans="1:17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M921">
        <v>0</v>
      </c>
      <c r="N921">
        <v>0</v>
      </c>
      <c r="O921">
        <v>1.5120640234548991E-2</v>
      </c>
    </row>
    <row r="922" spans="1:17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7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array" ref="M923:O925">SVDD(B923:K925)</f>
        <v>3.8317381160552735</v>
      </c>
      <c r="N923">
        <v>0</v>
      </c>
      <c r="O923">
        <v>0</v>
      </c>
      <c r="Q923">
        <f>MAX(M923,N924,O925)/MIN(M923,N924,O925)</f>
        <v>71.353995389119376</v>
      </c>
    </row>
    <row r="924" spans="1:17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M924">
        <v>0</v>
      </c>
      <c r="N924">
        <v>1.1656667131306473</v>
      </c>
      <c r="O924">
        <v>0</v>
      </c>
    </row>
    <row r="925" spans="1:17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M925">
        <v>0</v>
      </c>
      <c r="N925">
        <v>0</v>
      </c>
      <c r="O925">
        <v>5.3700400309182508E-2</v>
      </c>
    </row>
    <row r="926" spans="1:17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7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array" ref="M927:O929">SVDD(B927:K929)</f>
        <v>3.6366925661488776</v>
      </c>
      <c r="N927">
        <v>0</v>
      </c>
      <c r="O927">
        <v>0</v>
      </c>
      <c r="Q927">
        <f>MAX(M927,N928,O929)/MIN(M927,N928,O929)</f>
        <v>10.585878351192873</v>
      </c>
    </row>
    <row r="928" spans="1:17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M928">
        <v>0</v>
      </c>
      <c r="N928">
        <v>0.99881500943966395</v>
      </c>
      <c r="O928">
        <v>0</v>
      </c>
    </row>
    <row r="929" spans="1:17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M929">
        <v>0</v>
      </c>
      <c r="N929">
        <v>0</v>
      </c>
      <c r="O929">
        <v>0.34354188150471954</v>
      </c>
    </row>
    <row r="930" spans="1:17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7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array" ref="M931:O933">SVDD(B931:K933)</f>
        <v>3.0284329709957052</v>
      </c>
      <c r="N931">
        <v>0</v>
      </c>
      <c r="O931">
        <v>0</v>
      </c>
      <c r="Q931">
        <f>MAX(M931,N932,O933)/MIN(M931,N932,O933)</f>
        <v>36.296242455828683</v>
      </c>
    </row>
    <row r="932" spans="1:17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M932">
        <v>0</v>
      </c>
      <c r="N932">
        <v>1.7687709816075488</v>
      </c>
      <c r="O932">
        <v>0</v>
      </c>
    </row>
    <row r="933" spans="1:17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M933">
        <v>0</v>
      </c>
      <c r="N933">
        <v>0</v>
      </c>
      <c r="O933">
        <v>8.3436542355071794E-2</v>
      </c>
    </row>
    <row r="934" spans="1:17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7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array" ref="M935:O937">SVDD(B935:K937)</f>
        <v>2.8195556756618378</v>
      </c>
      <c r="N935">
        <v>0</v>
      </c>
      <c r="O935">
        <v>0</v>
      </c>
      <c r="Q935">
        <f>MAX(M935,N936,O937)/MIN(M935,N936,O937)</f>
        <v>4.8507419329223804</v>
      </c>
    </row>
    <row r="936" spans="1:17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M936">
        <v>0</v>
      </c>
      <c r="N936">
        <v>1.5219933471816687</v>
      </c>
      <c r="O936">
        <v>0</v>
      </c>
    </row>
    <row r="937" spans="1:17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M937">
        <v>0</v>
      </c>
      <c r="N937">
        <v>0</v>
      </c>
      <c r="O937">
        <v>0.58126276653171016</v>
      </c>
    </row>
    <row r="938" spans="1:17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7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array" ref="M939:O941">SVDD(B939:K941)</f>
        <v>3.0433725253317965</v>
      </c>
      <c r="N939">
        <v>0</v>
      </c>
      <c r="O939">
        <v>0</v>
      </c>
      <c r="Q939">
        <f>MAX(M939,N940,O941)/MIN(M939,N940,O941)</f>
        <v>4.8497905953248415</v>
      </c>
    </row>
    <row r="940" spans="1:17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M940">
        <v>0</v>
      </c>
      <c r="N940">
        <v>1.324155232429749</v>
      </c>
      <c r="O940">
        <v>0</v>
      </c>
    </row>
    <row r="941" spans="1:17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M941">
        <v>0</v>
      </c>
      <c r="N941">
        <v>0</v>
      </c>
      <c r="O941">
        <v>0.62752658398603489</v>
      </c>
    </row>
    <row r="942" spans="1:17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7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array" ref="M943:O945">SVDD(B943:K945)</f>
        <v>2.7171698538366678</v>
      </c>
      <c r="N943">
        <v>0</v>
      </c>
      <c r="O943">
        <v>0</v>
      </c>
      <c r="Q943">
        <f>MAX(M943,N944,O945)/MIN(M943,N944,O945)</f>
        <v>140.79285134726453</v>
      </c>
    </row>
    <row r="944" spans="1:17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M944">
        <v>0</v>
      </c>
      <c r="N944">
        <v>2.1734770287414253</v>
      </c>
      <c r="O944">
        <v>0</v>
      </c>
    </row>
    <row r="945" spans="1:17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M945">
        <v>0</v>
      </c>
      <c r="N945">
        <v>0</v>
      </c>
      <c r="O945">
        <v>1.9299061194057276E-2</v>
      </c>
    </row>
    <row r="946" spans="1:17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7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array" ref="M947:O949">SVDD(B947:K949)</f>
        <v>2.829021770898863</v>
      </c>
      <c r="N947">
        <v>0</v>
      </c>
      <c r="O947">
        <v>0</v>
      </c>
      <c r="Q947">
        <f>MAX(M947,N948,O949)/MIN(M947,N948,O949)</f>
        <v>33.187408531575741</v>
      </c>
    </row>
    <row r="948" spans="1:17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M948">
        <v>0</v>
      </c>
      <c r="N948">
        <v>2.2140065114195302</v>
      </c>
      <c r="O948">
        <v>0</v>
      </c>
    </row>
    <row r="949" spans="1:17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M949">
        <v>0</v>
      </c>
      <c r="N949">
        <v>0</v>
      </c>
      <c r="O949">
        <v>8.5243828791489576E-2</v>
      </c>
    </row>
    <row r="950" spans="1:17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7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array" ref="M951:O953">SVDD(B951:K953)</f>
        <v>2.6419860265100858</v>
      </c>
      <c r="N951">
        <v>0</v>
      </c>
      <c r="O951">
        <v>0</v>
      </c>
      <c r="Q951">
        <f>MAX(M951,N952,O953)/MIN(M951,N952,O953)</f>
        <v>4.219630757696768</v>
      </c>
    </row>
    <row r="952" spans="1:17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M952">
        <v>0</v>
      </c>
      <c r="N952">
        <v>1.9589914468487857</v>
      </c>
      <c r="O952">
        <v>0</v>
      </c>
    </row>
    <row r="953" spans="1:17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M953">
        <v>0</v>
      </c>
      <c r="N953">
        <v>0</v>
      </c>
      <c r="O953">
        <v>0.62611782362497059</v>
      </c>
    </row>
    <row r="954" spans="1:17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7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array" ref="M955:O957">SVDD(B955:K957)</f>
        <v>2.5956853689026773</v>
      </c>
      <c r="N955">
        <v>0</v>
      </c>
      <c r="O955">
        <v>0</v>
      </c>
      <c r="Q955">
        <f>MAX(M955,N956,O957)/MIN(M955,N956,O957)</f>
        <v>50.60497475893002</v>
      </c>
    </row>
    <row r="956" spans="1:17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M956">
        <v>0</v>
      </c>
      <c r="N956">
        <v>1.5605387213201778</v>
      </c>
      <c r="O956">
        <v>0</v>
      </c>
    </row>
    <row r="957" spans="1:17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M957">
        <v>0</v>
      </c>
      <c r="N957">
        <v>0</v>
      </c>
      <c r="O957">
        <v>5.1293086920167451E-2</v>
      </c>
    </row>
    <row r="958" spans="1:17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7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array" ref="M959:O961">SVDD(B959:K961)</f>
        <v>2.5523907042948664</v>
      </c>
      <c r="N959">
        <v>0</v>
      </c>
      <c r="O959">
        <v>0</v>
      </c>
      <c r="Q959">
        <f>MAX(M959,N960,O961)/MIN(M959,N960,O961)</f>
        <v>6.5598686781141424</v>
      </c>
    </row>
    <row r="960" spans="1:17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M960">
        <v>0</v>
      </c>
      <c r="N960">
        <v>0.89817013252686984</v>
      </c>
      <c r="O960">
        <v>0</v>
      </c>
    </row>
    <row r="961" spans="1:17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M961">
        <v>0</v>
      </c>
      <c r="N961">
        <v>0</v>
      </c>
      <c r="O961">
        <v>0.38909173788958196</v>
      </c>
    </row>
    <row r="962" spans="1:17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7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array" ref="M963:O965">SVDD(B963:K965)</f>
        <v>2.3008184037529125</v>
      </c>
      <c r="N963">
        <v>0</v>
      </c>
      <c r="O963">
        <v>0</v>
      </c>
      <c r="Q963">
        <f>MAX(M963,N964,O965)/MIN(M963,N964,O965)</f>
        <v>3.4548303420400943</v>
      </c>
    </row>
    <row r="964" spans="1:17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M964">
        <v>0</v>
      </c>
      <c r="N964">
        <v>1.5939214609951582</v>
      </c>
      <c r="O964">
        <v>0</v>
      </c>
    </row>
    <row r="965" spans="1:17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M965">
        <v>0</v>
      </c>
      <c r="N965">
        <v>0</v>
      </c>
      <c r="O965">
        <v>0.66597145907728361</v>
      </c>
    </row>
    <row r="966" spans="1:17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7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array" ref="M967:O969">SVDD(B967:K969)</f>
        <v>2.7934158607629329</v>
      </c>
      <c r="N967">
        <v>0</v>
      </c>
      <c r="O967">
        <v>0</v>
      </c>
      <c r="Q967">
        <f>MAX(M967,N968,O969)/MIN(M967,N968,O969)</f>
        <v>30.281771509141016</v>
      </c>
    </row>
    <row r="968" spans="1:17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M968">
        <v>0</v>
      </c>
      <c r="N968">
        <v>1.4821558637954233</v>
      </c>
      <c r="O968">
        <v>0</v>
      </c>
    </row>
    <row r="969" spans="1:17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M969">
        <v>0</v>
      </c>
      <c r="N969">
        <v>0</v>
      </c>
      <c r="O969">
        <v>9.2247438691613448E-2</v>
      </c>
    </row>
    <row r="970" spans="1:17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7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array" ref="M971:O973">SVDD(B971:K973)</f>
        <v>2.4064663700026512</v>
      </c>
      <c r="N971">
        <v>0</v>
      </c>
      <c r="O971">
        <v>0</v>
      </c>
      <c r="Q971">
        <f>MAX(M971,N972,O973)/MIN(M971,N972,O973)</f>
        <v>4.03095078437841</v>
      </c>
    </row>
    <row r="972" spans="1:17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M972">
        <v>0</v>
      </c>
      <c r="N972">
        <v>1.4691110803966738</v>
      </c>
      <c r="O972">
        <v>0</v>
      </c>
    </row>
    <row r="973" spans="1:17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M973">
        <v>0</v>
      </c>
      <c r="N973">
        <v>0</v>
      </c>
      <c r="O973">
        <v>0.59699720952404001</v>
      </c>
    </row>
    <row r="974" spans="1:17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7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array" ref="M975:O977">SVDD(B975:K977)</f>
        <v>2.7975547532542189</v>
      </c>
      <c r="N975">
        <v>0</v>
      </c>
      <c r="O975">
        <v>0</v>
      </c>
      <c r="Q975">
        <f>MAX(M975,N976,O977)/MIN(M975,N976,O977)</f>
        <v>4.9220112115840484</v>
      </c>
    </row>
    <row r="976" spans="1:17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M976">
        <v>0</v>
      </c>
      <c r="N976">
        <v>0.98054975168366398</v>
      </c>
      <c r="O976">
        <v>0</v>
      </c>
    </row>
    <row r="977" spans="1:17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M977">
        <v>0</v>
      </c>
      <c r="N977">
        <v>0</v>
      </c>
      <c r="O977">
        <v>0.56837634718712537</v>
      </c>
    </row>
    <row r="978" spans="1:17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7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array" ref="M979:O981">SVDD(B979:K981)</f>
        <v>2.0432116640493305</v>
      </c>
      <c r="N979">
        <v>0</v>
      </c>
      <c r="O979">
        <v>0</v>
      </c>
      <c r="Q979">
        <f>MAX(M979,N980,O981)/MIN(M979,N980,O981)</f>
        <v>3.192686173777497</v>
      </c>
    </row>
    <row r="980" spans="1:17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M980">
        <v>0</v>
      </c>
      <c r="N980">
        <v>0.88860022834202512</v>
      </c>
      <c r="O980">
        <v>0</v>
      </c>
    </row>
    <row r="981" spans="1:17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M981">
        <v>0</v>
      </c>
      <c r="N981">
        <v>0</v>
      </c>
      <c r="O981">
        <v>0.63996633331232167</v>
      </c>
    </row>
    <row r="982" spans="1:17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7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array" ref="M983:O985">SVDD(B983:K985)</f>
        <v>4.2146441044840675</v>
      </c>
      <c r="N983">
        <v>0</v>
      </c>
      <c r="O983">
        <v>0</v>
      </c>
      <c r="Q983">
        <f>MAX(M983,N984,O985)/MIN(M983,N984,O985)</f>
        <v>7.0041428438146252</v>
      </c>
    </row>
    <row r="984" spans="1:17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M984">
        <v>0</v>
      </c>
      <c r="N984">
        <v>1.6254952668844009</v>
      </c>
      <c r="O984">
        <v>0</v>
      </c>
    </row>
    <row r="985" spans="1:17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M985">
        <v>0</v>
      </c>
      <c r="N985">
        <v>0</v>
      </c>
      <c r="O985">
        <v>0.60173588666970568</v>
      </c>
    </row>
    <row r="986" spans="1:17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7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array" ref="M987:O989">SVDD(B987:K989)</f>
        <v>4.046089612382179</v>
      </c>
      <c r="N987">
        <v>0</v>
      </c>
      <c r="O987">
        <v>0</v>
      </c>
      <c r="Q987">
        <f>MAX(M987,N988,O989)/MIN(M987,N988,O989)</f>
        <v>56.052615737066397</v>
      </c>
    </row>
    <row r="988" spans="1:17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M988">
        <v>0</v>
      </c>
      <c r="N988">
        <v>1.2999158578985208</v>
      </c>
      <c r="O988">
        <v>0</v>
      </c>
    </row>
    <row r="989" spans="1:17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M989">
        <v>0</v>
      </c>
      <c r="N989">
        <v>0</v>
      </c>
      <c r="O989">
        <v>7.2183778743916613E-2</v>
      </c>
    </row>
    <row r="990" spans="1:17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7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array" ref="M991:O993">SVDD(B991:K993)</f>
        <v>3.6956760750892719</v>
      </c>
      <c r="N991">
        <v>0</v>
      </c>
      <c r="O991">
        <v>0</v>
      </c>
      <c r="Q991">
        <f>MAX(M991,N992,O993)/MIN(M991,N992,O993)</f>
        <v>5.419435186320845</v>
      </c>
    </row>
    <row r="992" spans="1:17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M992">
        <v>0</v>
      </c>
      <c r="N992">
        <v>1.9074860872407533</v>
      </c>
      <c r="O992">
        <v>0</v>
      </c>
    </row>
    <row r="993" spans="1:17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M993">
        <v>0</v>
      </c>
      <c r="N993">
        <v>0</v>
      </c>
      <c r="O993">
        <v>0.6819301178132916</v>
      </c>
    </row>
    <row r="994" spans="1:17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7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array" ref="M995:O997">SVDD(B995:K997)</f>
        <v>3.5780628275159021</v>
      </c>
      <c r="N995">
        <v>0</v>
      </c>
      <c r="O995">
        <v>0</v>
      </c>
      <c r="Q995">
        <f>MAX(M995,N996,O997)/MIN(M995,N996,O997)</f>
        <v>36.073373244134935</v>
      </c>
    </row>
    <row r="996" spans="1:17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M996">
        <v>0</v>
      </c>
      <c r="N996">
        <v>1.480415028822246</v>
      </c>
      <c r="O996">
        <v>0</v>
      </c>
    </row>
    <row r="997" spans="1:17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M997">
        <v>0</v>
      </c>
      <c r="N997">
        <v>0</v>
      </c>
      <c r="O997">
        <v>9.9188473539763816E-2</v>
      </c>
    </row>
    <row r="998" spans="1:17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7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array" ref="M999:O1001">SVDD(B999:K1001)</f>
        <v>3.5231017081578893</v>
      </c>
      <c r="N999">
        <v>0</v>
      </c>
      <c r="O999">
        <v>0</v>
      </c>
      <c r="Q999">
        <f>MAX(M999,N1000,O1001)/MIN(M999,N1000,O1001)</f>
        <v>4.2833537339026497</v>
      </c>
    </row>
    <row r="1000" spans="1:17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M1000">
        <v>0</v>
      </c>
      <c r="N1000">
        <v>1.0793212780874408</v>
      </c>
      <c r="O1000">
        <v>0</v>
      </c>
    </row>
    <row r="1001" spans="1:17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M1001">
        <v>0</v>
      </c>
      <c r="N1001">
        <v>0</v>
      </c>
      <c r="O1001">
        <v>0.82251010003507707</v>
      </c>
    </row>
    <row r="1002" spans="1:17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7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array" ref="M1003:O1005">SVDD(B1003:K1005)</f>
        <v>3.7845732145956372</v>
      </c>
      <c r="N1003">
        <v>0</v>
      </c>
      <c r="O1003">
        <v>0</v>
      </c>
      <c r="Q1003">
        <f>MAX(M1003,N1004,O1005)/MIN(M1003,N1004,O1005)</f>
        <v>5.8408590968447793</v>
      </c>
    </row>
    <row r="1004" spans="1:17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M1004">
        <v>0</v>
      </c>
      <c r="N1004">
        <v>1.743976616216165</v>
      </c>
      <c r="O1004">
        <v>0</v>
      </c>
    </row>
    <row r="1005" spans="1:17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M1005">
        <v>0</v>
      </c>
      <c r="N1005">
        <v>0</v>
      </c>
      <c r="O1005">
        <v>0.64794804186255006</v>
      </c>
    </row>
    <row r="1006" spans="1:17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7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array" ref="M1007:O1009">SVDD(B1007:K1009)</f>
        <v>3.9459199946703007</v>
      </c>
      <c r="N1007">
        <v>0</v>
      </c>
      <c r="O1007">
        <v>0</v>
      </c>
      <c r="Q1007">
        <f>MAX(M1007,N1008,O1009)/MIN(M1007,N1008,O1009)</f>
        <v>26.830345051733651</v>
      </c>
    </row>
    <row r="1008" spans="1:17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M1008">
        <v>0</v>
      </c>
      <c r="N1008">
        <v>1.3739922316370752</v>
      </c>
      <c r="O1008">
        <v>0</v>
      </c>
    </row>
    <row r="1009" spans="1:17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M1009">
        <v>0</v>
      </c>
      <c r="N1009">
        <v>0</v>
      </c>
      <c r="O1009">
        <v>0.14706929735945881</v>
      </c>
    </row>
    <row r="1010" spans="1:17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7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array" ref="M1011:O1013">SVDD(B1011:K1013)</f>
        <v>3.506401170316765</v>
      </c>
      <c r="N1011">
        <v>0</v>
      </c>
      <c r="O1011">
        <v>0</v>
      </c>
      <c r="Q1011">
        <f>MAX(M1011,N1012,O1013)/MIN(M1011,N1012,O1013)</f>
        <v>4.3628626309739627</v>
      </c>
    </row>
    <row r="1012" spans="1:17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M1012">
        <v>0</v>
      </c>
      <c r="N1012">
        <v>1.3347044355330813</v>
      </c>
      <c r="O1012">
        <v>0</v>
      </c>
    </row>
    <row r="1013" spans="1:17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M1013">
        <v>0</v>
      </c>
      <c r="N1013">
        <v>0</v>
      </c>
      <c r="O1013">
        <v>0.80369277396524363</v>
      </c>
    </row>
    <row r="1014" spans="1:17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7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array" ref="M1015:O1017">SVDD(B1015:K1017)</f>
        <v>3.5433669766161588</v>
      </c>
      <c r="N1015">
        <v>0</v>
      </c>
      <c r="O1015">
        <v>0</v>
      </c>
      <c r="Q1015">
        <f>MAX(M1015,N1016,O1017)/MIN(M1015,N1016,O1017)</f>
        <v>24.358968305381115</v>
      </c>
    </row>
    <row r="1016" spans="1:17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M1016">
        <v>0</v>
      </c>
      <c r="N1016">
        <v>1.1801624082554965</v>
      </c>
      <c r="O1016">
        <v>0</v>
      </c>
    </row>
    <row r="1017" spans="1:17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M1017">
        <v>0</v>
      </c>
      <c r="N1017">
        <v>0</v>
      </c>
      <c r="O1017">
        <v>0.14546457519029643</v>
      </c>
    </row>
    <row r="1018" spans="1:17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7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array" ref="M1019:O1021">SVDD(B1019:K1021)</f>
        <v>3.1828410459889236</v>
      </c>
      <c r="N1019">
        <v>0</v>
      </c>
      <c r="O1019">
        <v>0</v>
      </c>
      <c r="Q1019">
        <f>MAX(M1019,N1020,O1021)/MIN(M1019,N1020,O1021)</f>
        <v>4.1529536305295807</v>
      </c>
    </row>
    <row r="1020" spans="1:17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M1020">
        <v>0</v>
      </c>
      <c r="N1020">
        <v>2.0149891191029061</v>
      </c>
      <c r="O1020">
        <v>0</v>
      </c>
    </row>
    <row r="1021" spans="1:17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M1021">
        <v>0</v>
      </c>
      <c r="N1021">
        <v>0</v>
      </c>
      <c r="O1021">
        <v>0.76640418582835246</v>
      </c>
    </row>
    <row r="1022" spans="1:17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7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array" ref="M1023:O1025">SVDD(B1023:K1025)</f>
        <v>3.0501577070661474</v>
      </c>
      <c r="N1023">
        <v>0</v>
      </c>
      <c r="O1023">
        <v>0</v>
      </c>
      <c r="Q1023">
        <f>MAX(M1023,N1024,O1025)/MIN(M1023,N1024,O1025)</f>
        <v>17.192251347660161</v>
      </c>
    </row>
    <row r="1024" spans="1:17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M1024">
        <v>0</v>
      </c>
      <c r="N1024">
        <v>1.6387599525411234</v>
      </c>
      <c r="O1024">
        <v>0</v>
      </c>
    </row>
    <row r="1025" spans="1:17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M1025">
        <v>0</v>
      </c>
      <c r="N1025">
        <v>0</v>
      </c>
      <c r="O1025">
        <v>0.17741467626235405</v>
      </c>
    </row>
    <row r="1026" spans="1:17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7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array" ref="M1027:O1029">SVDD(B1027:K1029)</f>
        <v>2.9711628446510798</v>
      </c>
      <c r="N1027">
        <v>0</v>
      </c>
      <c r="O1027">
        <v>0</v>
      </c>
      <c r="Q1027">
        <f>MAX(M1027,N1028,O1029)/MIN(M1027,N1028,O1029)</f>
        <v>3.5188407213414505</v>
      </c>
    </row>
    <row r="1028" spans="1:17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M1028">
        <v>0</v>
      </c>
      <c r="N1028">
        <v>1.3141270816490431</v>
      </c>
      <c r="O1028">
        <v>0</v>
      </c>
    </row>
    <row r="1029" spans="1:17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M1029">
        <v>0</v>
      </c>
      <c r="N1029">
        <v>0</v>
      </c>
      <c r="O1029">
        <v>0.8443584350468738</v>
      </c>
    </row>
    <row r="1030" spans="1:17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7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array" ref="M1031:O1033">SVDD(B1031:K1033)</f>
        <v>2.863484042782356</v>
      </c>
      <c r="N1031">
        <v>0</v>
      </c>
      <c r="O1031">
        <v>0</v>
      </c>
      <c r="Q1031">
        <f>MAX(M1031,N1032,O1033)/MIN(M1031,N1032,O1033)</f>
        <v>2.924045855301256</v>
      </c>
    </row>
    <row r="1032" spans="1:17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M1032">
        <v>0</v>
      </c>
      <c r="N1032">
        <v>1.5991900343966334</v>
      </c>
      <c r="O1032">
        <v>0</v>
      </c>
    </row>
    <row r="1033" spans="1:17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M1033">
        <v>0</v>
      </c>
      <c r="N1033">
        <v>0</v>
      </c>
      <c r="O1033">
        <v>0.97928835062244246</v>
      </c>
    </row>
    <row r="1034" spans="1:17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7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array" ref="M1035:O1037">SVDD(B1035:K1037)</f>
        <v>2.9238463296669908</v>
      </c>
      <c r="N1035">
        <v>0</v>
      </c>
      <c r="O1035">
        <v>0</v>
      </c>
      <c r="Q1035">
        <f>MAX(M1035,N1036,O1037)/MIN(M1035,N1036,O1037)</f>
        <v>10.016748055034617</v>
      </c>
    </row>
    <row r="1036" spans="1:17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M1036">
        <v>0</v>
      </c>
      <c r="N1036">
        <v>1.526210971615104</v>
      </c>
      <c r="O1036">
        <v>0</v>
      </c>
    </row>
    <row r="1037" spans="1:17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M1037">
        <v>0</v>
      </c>
      <c r="N1037">
        <v>0</v>
      </c>
      <c r="O1037">
        <v>0.29189576433415509</v>
      </c>
    </row>
    <row r="1038" spans="1:17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7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array" ref="M1039:O1041">SVDD(B1039:K1041)</f>
        <v>2.4008845435505832</v>
      </c>
      <c r="N1039">
        <v>0</v>
      </c>
      <c r="O1039">
        <v>0</v>
      </c>
      <c r="Q1039">
        <f>MAX(M1039,N1040,O1041)/MIN(M1039,N1040,O1041)</f>
        <v>2.6371409437012217</v>
      </c>
    </row>
    <row r="1040" spans="1:17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M1040">
        <v>0</v>
      </c>
      <c r="N1040">
        <v>1.2699413661093379</v>
      </c>
      <c r="O1040">
        <v>0</v>
      </c>
    </row>
    <row r="1041" spans="1:17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M1041">
        <v>0</v>
      </c>
      <c r="N1041">
        <v>0</v>
      </c>
      <c r="O1041">
        <v>0.91041191760533924</v>
      </c>
    </row>
    <row r="1042" spans="1:17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7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array" ref="M1043:O1045">SVDD(B1043:K1045)</f>
        <v>3.9942321951393978</v>
      </c>
      <c r="N1043">
        <v>0</v>
      </c>
      <c r="O1043">
        <v>0</v>
      </c>
      <c r="Q1043">
        <f>MAX(M1043,N1044,O1045)/MIN(M1043,N1044,O1045)</f>
        <v>25.137148500155071</v>
      </c>
    </row>
    <row r="1044" spans="1:17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M1044">
        <v>0</v>
      </c>
      <c r="N1044">
        <v>1.9795322323879938</v>
      </c>
      <c r="O1044">
        <v>0</v>
      </c>
    </row>
    <row r="1045" spans="1:17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M1045">
        <v>0</v>
      </c>
      <c r="N1045">
        <v>0</v>
      </c>
      <c r="O1045">
        <v>0.15889758518611438</v>
      </c>
    </row>
    <row r="1046" spans="1:17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7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array" ref="M1047:O1049">SVDD(B1047:K1049)</f>
        <v>3.8746680902235555</v>
      </c>
      <c r="N1047">
        <v>0</v>
      </c>
      <c r="O1047">
        <v>0</v>
      </c>
      <c r="Q1047">
        <f>MAX(M1047,N1048,O1049)/MIN(M1047,N1048,O1049)</f>
        <v>17.824556031938322</v>
      </c>
    </row>
    <row r="1048" spans="1:17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M1048">
        <v>0</v>
      </c>
      <c r="N1048">
        <v>2.1291081952344371</v>
      </c>
      <c r="O1048">
        <v>0</v>
      </c>
    </row>
    <row r="1049" spans="1:17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M1049">
        <v>0</v>
      </c>
      <c r="N1049">
        <v>0</v>
      </c>
      <c r="O1049">
        <v>0.21737809812939318</v>
      </c>
    </row>
    <row r="1050" spans="1:17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7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array" ref="M1051:O1053">SVDD(B1051:K1053)</f>
        <v>3.5802602766756029</v>
      </c>
      <c r="N1051">
        <v>0</v>
      </c>
      <c r="O1051">
        <v>0</v>
      </c>
      <c r="Q1051">
        <f>MAX(M1051,N1052,O1053)/MIN(M1051,N1052,O1053)</f>
        <v>6.3519339552162419</v>
      </c>
    </row>
    <row r="1052" spans="1:17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M1052">
        <v>0</v>
      </c>
      <c r="N1052">
        <v>1.9235101184249714</v>
      </c>
      <c r="O1052">
        <v>0</v>
      </c>
    </row>
    <row r="1053" spans="1:17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M1053">
        <v>0</v>
      </c>
      <c r="N1053">
        <v>0</v>
      </c>
      <c r="O1053">
        <v>0.56364885118735752</v>
      </c>
    </row>
    <row r="1054" spans="1:17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7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array" ref="M1055:O1057">SVDD(B1055:K1057)</f>
        <v>3.5682332739806615</v>
      </c>
      <c r="N1055">
        <v>0</v>
      </c>
      <c r="O1055">
        <v>0</v>
      </c>
      <c r="Q1055">
        <f>MAX(M1055,N1056,O1057)/MIN(M1055,N1056,O1057)</f>
        <v>6.7581024047197422</v>
      </c>
    </row>
    <row r="1056" spans="1:17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M1056">
        <v>0</v>
      </c>
      <c r="N1056">
        <v>1.7534227891301106</v>
      </c>
      <c r="O1056">
        <v>0</v>
      </c>
    </row>
    <row r="1057" spans="1:17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M1057">
        <v>0</v>
      </c>
      <c r="N1057">
        <v>0</v>
      </c>
      <c r="O1057">
        <v>0.5279933715548123</v>
      </c>
    </row>
    <row r="1058" spans="1:17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7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array" ref="M1059:O1061">SVDD(B1059:K1061)</f>
        <v>3.558732078887743</v>
      </c>
      <c r="N1059">
        <v>0</v>
      </c>
      <c r="O1059">
        <v>0</v>
      </c>
      <c r="Q1059">
        <f>MAX(M1059,N1060,O1061)/MIN(M1059,N1060,O1061)</f>
        <v>15.943376904367916</v>
      </c>
    </row>
    <row r="1060" spans="1:17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M1060">
        <v>0</v>
      </c>
      <c r="N1060">
        <v>2.0438438674007013</v>
      </c>
      <c r="O1060">
        <v>0</v>
      </c>
    </row>
    <row r="1061" spans="1:17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M1061">
        <v>0</v>
      </c>
      <c r="N1061">
        <v>0</v>
      </c>
      <c r="O1061">
        <v>0.22321068492790744</v>
      </c>
    </row>
    <row r="1062" spans="1:17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7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array" ref="M1063:O1065">SVDD(B1063:K1065)</f>
        <v>3.6358051187513949</v>
      </c>
      <c r="N1063">
        <v>0</v>
      </c>
      <c r="O1063">
        <v>0</v>
      </c>
      <c r="Q1063">
        <f>MAX(M1063,N1064,O1065)/MIN(M1063,N1064,O1065)</f>
        <v>24.496849285008604</v>
      </c>
    </row>
    <row r="1064" spans="1:17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M1064">
        <v>0</v>
      </c>
      <c r="N1064">
        <v>0.94500514416958337</v>
      </c>
      <c r="O1064">
        <v>0</v>
      </c>
    </row>
    <row r="1065" spans="1:17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M1065">
        <v>0</v>
      </c>
      <c r="N1065">
        <v>0</v>
      </c>
      <c r="O1065">
        <v>0.14841929574087748</v>
      </c>
    </row>
    <row r="1066" spans="1:17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7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array" ref="M1067:O1069">SVDD(B1067:K1069)</f>
        <v>3.5052054773789694</v>
      </c>
      <c r="N1067">
        <v>0</v>
      </c>
      <c r="O1067">
        <v>0</v>
      </c>
      <c r="Q1067">
        <f>MAX(M1067,N1068,O1069)/MIN(M1067,N1068,O1069)</f>
        <v>9.6791251203091573</v>
      </c>
    </row>
    <row r="1068" spans="1:17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M1068">
        <v>0</v>
      </c>
      <c r="N1068">
        <v>0.98297143646566354</v>
      </c>
      <c r="O1068">
        <v>0</v>
      </c>
    </row>
    <row r="1069" spans="1:17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M1069">
        <v>0</v>
      </c>
      <c r="N1069">
        <v>0</v>
      </c>
      <c r="O1069">
        <v>0.36214073418931181</v>
      </c>
    </row>
    <row r="1070" spans="1:17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7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array" ref="M1071:O1073">SVDD(B1071:K1073)</f>
        <v>3.0165692287336228</v>
      </c>
      <c r="N1071">
        <v>0</v>
      </c>
      <c r="O1071">
        <v>0</v>
      </c>
      <c r="Q1071">
        <f>MAX(M1071,N1072,O1073)/MIN(M1071,N1072,O1073)</f>
        <v>4.3629764122752031</v>
      </c>
    </row>
    <row r="1072" spans="1:17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M1072">
        <v>0</v>
      </c>
      <c r="N1072">
        <v>2.0620708760370774</v>
      </c>
      <c r="O1072">
        <v>0</v>
      </c>
    </row>
    <row r="1073" spans="1:17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M1073">
        <v>0</v>
      </c>
      <c r="N1073">
        <v>0</v>
      </c>
      <c r="O1073">
        <v>0.69140168171584115</v>
      </c>
    </row>
    <row r="1074" spans="1:17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7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array" ref="M1075:O1077">SVDD(B1075:K1077)</f>
        <v>2.9534494444417687</v>
      </c>
      <c r="N1075">
        <v>0</v>
      </c>
      <c r="O1075">
        <v>0</v>
      </c>
      <c r="Q1075">
        <f>MAX(M1075,N1076,O1077)/MIN(M1075,N1076,O1077)</f>
        <v>7.1527228788070749</v>
      </c>
    </row>
    <row r="1076" spans="1:17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M1076">
        <v>0</v>
      </c>
      <c r="N1076">
        <v>2.0460215974937617</v>
      </c>
      <c r="O1076">
        <v>0</v>
      </c>
    </row>
    <row r="1077" spans="1:17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M1077">
        <v>0</v>
      </c>
      <c r="N1077">
        <v>0</v>
      </c>
      <c r="O1077">
        <v>0.4129126060779727</v>
      </c>
    </row>
    <row r="1078" spans="1:17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7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array" ref="M1079:O1081">SVDD(B1079:K1081)</f>
        <v>2.9274565521773006</v>
      </c>
      <c r="N1079">
        <v>0</v>
      </c>
      <c r="O1079">
        <v>0</v>
      </c>
      <c r="Q1079">
        <f>MAX(M1079,N1080,O1081)/MIN(M1079,N1080,O1081)</f>
        <v>3.4260548117406784</v>
      </c>
    </row>
    <row r="1080" spans="1:17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M1080">
        <v>0</v>
      </c>
      <c r="N1080">
        <v>1.010887390711815</v>
      </c>
      <c r="O1080">
        <v>0</v>
      </c>
    </row>
    <row r="1081" spans="1:17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M1081">
        <v>0</v>
      </c>
      <c r="N1081">
        <v>0</v>
      </c>
      <c r="O1081">
        <v>0.85446868571549373</v>
      </c>
    </row>
    <row r="1082" spans="1:17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7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array" ref="M1083:O1085">SVDD(B1083:K1085)</f>
        <v>3.5003142004673378</v>
      </c>
      <c r="N1083">
        <v>0</v>
      </c>
      <c r="O1083">
        <v>0</v>
      </c>
      <c r="Q1083">
        <f>MAX(M1083,N1084,O1085)/MIN(M1083,N1084,O1085)</f>
        <v>12.052974511161958</v>
      </c>
    </row>
    <row r="1084" spans="1:17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M1084">
        <v>0</v>
      </c>
      <c r="N1084">
        <v>2.0672198687113013</v>
      </c>
      <c r="O1084">
        <v>0</v>
      </c>
    </row>
    <row r="1085" spans="1:17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M1085">
        <v>0</v>
      </c>
      <c r="N1085">
        <v>0</v>
      </c>
      <c r="O1085">
        <v>0.2904108191074149</v>
      </c>
    </row>
    <row r="1086" spans="1:17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7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array" ref="M1087:O1089">SVDD(B1087:K1089)</f>
        <v>3.0614663241153286</v>
      </c>
      <c r="N1087">
        <v>0</v>
      </c>
      <c r="O1087">
        <v>0</v>
      </c>
      <c r="Q1087">
        <f>MAX(M1087,N1088,O1089)/MIN(M1087,N1088,O1089)</f>
        <v>6.7097872866034241</v>
      </c>
    </row>
    <row r="1088" spans="1:17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M1088">
        <v>0</v>
      </c>
      <c r="N1088">
        <v>2.0667891120591313</v>
      </c>
      <c r="O1088">
        <v>0</v>
      </c>
    </row>
    <row r="1089" spans="1:17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M1089">
        <v>0</v>
      </c>
      <c r="N1089">
        <v>0</v>
      </c>
      <c r="O1089">
        <v>0.45626875984992366</v>
      </c>
    </row>
    <row r="1090" spans="1:17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7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array" ref="M1091:O1093">SVDD(B1091:K1093)</f>
        <v>3.0707854997653463</v>
      </c>
      <c r="N1091">
        <v>0</v>
      </c>
      <c r="O1091">
        <v>0</v>
      </c>
      <c r="Q1091">
        <f>MAX(M1091,N1092,O1093)/MIN(M1091,N1092,O1093)</f>
        <v>5.3145671885539381</v>
      </c>
    </row>
    <row r="1092" spans="1:17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M1092">
        <v>0</v>
      </c>
      <c r="N1092">
        <v>1.8264587065458084</v>
      </c>
      <c r="O1092">
        <v>0</v>
      </c>
    </row>
    <row r="1093" spans="1:17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M1093">
        <v>0</v>
      </c>
      <c r="N1093">
        <v>0</v>
      </c>
      <c r="O1093">
        <v>0.57780537733701864</v>
      </c>
    </row>
    <row r="1094" spans="1:17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7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array" ref="M1095:O1097">SVDD(B1095:K1097)</f>
        <v>3.37960274956512</v>
      </c>
      <c r="N1095">
        <v>0</v>
      </c>
      <c r="O1095">
        <v>0</v>
      </c>
      <c r="Q1095">
        <f>MAX(M1095,N1096,O1097)/MIN(M1095,N1096,O1097)</f>
        <v>6.5639415210372487</v>
      </c>
    </row>
    <row r="1096" spans="1:17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M1096">
        <v>0</v>
      </c>
      <c r="N1096">
        <v>1.3642021901672681</v>
      </c>
      <c r="O1096">
        <v>0</v>
      </c>
    </row>
    <row r="1097" spans="1:17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M1097">
        <v>0</v>
      </c>
      <c r="N1097">
        <v>0</v>
      </c>
      <c r="O1097">
        <v>0.51487398824830899</v>
      </c>
    </row>
    <row r="1098" spans="1:17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7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array" ref="M1099:O1101">SVDD(B1099:K1101)</f>
        <v>3.462035508288265</v>
      </c>
      <c r="N1099">
        <v>0</v>
      </c>
      <c r="O1099">
        <v>0</v>
      </c>
      <c r="Q1099">
        <f>MAX(M1099,N1100,O1101)/MIN(M1099,N1100,O1101)</f>
        <v>11.371524440135662</v>
      </c>
    </row>
    <row r="1100" spans="1:17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M1100">
        <v>0</v>
      </c>
      <c r="N1100">
        <v>0.84668550905747353</v>
      </c>
      <c r="O1100">
        <v>0</v>
      </c>
    </row>
    <row r="1101" spans="1:17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M1101">
        <v>0</v>
      </c>
      <c r="N1101">
        <v>0</v>
      </c>
      <c r="O1101">
        <v>0.30444779207166378</v>
      </c>
    </row>
    <row r="1102" spans="1:17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7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array" ref="M1103:O1105">SVDD(B1103:K1105)</f>
        <v>2.8129835264101297</v>
      </c>
      <c r="N1103">
        <v>0</v>
      </c>
      <c r="O1103">
        <v>0</v>
      </c>
      <c r="Q1103">
        <f>MAX(M1103,N1104,O1105)/MIN(M1103,N1104,O1105)</f>
        <v>4.1926628043159502</v>
      </c>
    </row>
    <row r="1104" spans="1:17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M1104">
        <v>0</v>
      </c>
      <c r="N1104">
        <v>1.2940936196359041</v>
      </c>
      <c r="O1104">
        <v>0</v>
      </c>
    </row>
    <row r="1105" spans="1:17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M1105">
        <v>0</v>
      </c>
      <c r="N1105">
        <v>0</v>
      </c>
      <c r="O1105">
        <v>0.67093006466306548</v>
      </c>
    </row>
    <row r="1106" spans="1:17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7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array" ref="M1107:O1109">SVDD(B1107:K1109)</f>
        <v>2.4478556055782037</v>
      </c>
      <c r="N1107">
        <v>0</v>
      </c>
      <c r="O1107">
        <v>0</v>
      </c>
      <c r="Q1107">
        <f>MAX(M1107,N1108,O1109)/MIN(M1107,N1108,O1109)</f>
        <v>4.4257581477671515</v>
      </c>
    </row>
    <row r="1108" spans="1:17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M1108">
        <v>0</v>
      </c>
      <c r="N1108">
        <v>2.1326541511257737</v>
      </c>
      <c r="O1108">
        <v>0</v>
      </c>
    </row>
    <row r="1109" spans="1:17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M1109">
        <v>0</v>
      </c>
      <c r="N1109">
        <v>0</v>
      </c>
      <c r="O1109">
        <v>0.55309294449656643</v>
      </c>
    </row>
    <row r="1110" spans="1:17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7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array" ref="M1111:O1113">SVDD(B1111:K1113)</f>
        <v>2.3427672470143448</v>
      </c>
      <c r="N1111">
        <v>0</v>
      </c>
      <c r="O1111">
        <v>0</v>
      </c>
      <c r="Q1111">
        <f>MAX(M1111,N1112,O1113)/MIN(M1111,N1112,O1113)</f>
        <v>5.4665006426689224</v>
      </c>
    </row>
    <row r="1112" spans="1:17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M1112">
        <v>0</v>
      </c>
      <c r="N1112">
        <v>2.1026917951226913</v>
      </c>
      <c r="O1112">
        <v>0</v>
      </c>
    </row>
    <row r="1113" spans="1:17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M1113">
        <v>0</v>
      </c>
      <c r="N1113">
        <v>0</v>
      </c>
      <c r="O1113">
        <v>0.42856799992445077</v>
      </c>
    </row>
    <row r="1114" spans="1:17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7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array" ref="M1115:O1117">SVDD(B1115:K1117)</f>
        <v>2.4433200514849269</v>
      </c>
      <c r="N1115">
        <v>0</v>
      </c>
      <c r="O1115">
        <v>0</v>
      </c>
      <c r="Q1115">
        <f>MAX(M1115,N1116,O1117)/MIN(M1115,N1116,O1117)</f>
        <v>3.6867590827759233</v>
      </c>
    </row>
    <row r="1116" spans="1:17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M1116">
        <v>0</v>
      </c>
      <c r="N1116">
        <v>0.9627912256101242</v>
      </c>
      <c r="O1116">
        <v>0</v>
      </c>
    </row>
    <row r="1117" spans="1:17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M1117">
        <v>0</v>
      </c>
      <c r="N1117">
        <v>0</v>
      </c>
      <c r="O1117">
        <v>0.66272842803854803</v>
      </c>
    </row>
    <row r="1118" spans="1:17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7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array" ref="M1119:O1121">SVDD(B1119:K1121)</f>
        <v>2.2912523003304912</v>
      </c>
      <c r="N1119">
        <v>0</v>
      </c>
      <c r="O1119">
        <v>0</v>
      </c>
      <c r="Q1119">
        <f>MAX(M1119,N1120,O1121)/MIN(M1119,N1120,O1121)</f>
        <v>5.7546576064586263</v>
      </c>
    </row>
    <row r="1120" spans="1:17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M1120">
        <v>0</v>
      </c>
      <c r="N1120">
        <v>1.2741051722030583</v>
      </c>
      <c r="O1120">
        <v>0</v>
      </c>
    </row>
    <row r="1121" spans="1:15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M1121">
        <v>0</v>
      </c>
      <c r="N1121">
        <v>0</v>
      </c>
      <c r="O1121">
        <v>0.39815614707623082</v>
      </c>
    </row>
    <row r="1122" spans="1:15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1:AE1122"/>
  <sheetViews>
    <sheetView topLeftCell="A413" zoomScale="70" zoomScaleNormal="70" workbookViewId="0">
      <selection activeCell="M503" sqref="M503"/>
    </sheetView>
  </sheetViews>
  <sheetFormatPr baseColWidth="10" defaultRowHeight="15"/>
  <cols>
    <col min="14" max="14" width="14.5703125" bestFit="1" customWidth="1"/>
    <col min="19" max="19" width="12" style="3" bestFit="1" customWidth="1"/>
    <col min="20" max="20" width="12" style="3" customWidth="1"/>
    <col min="21" max="21" width="13.85546875" bestFit="1" customWidth="1"/>
  </cols>
  <sheetData>
    <row r="1" spans="1:31">
      <c r="L1" s="1"/>
      <c r="M1" s="30"/>
      <c r="N1" s="1"/>
      <c r="O1" s="30"/>
    </row>
    <row r="2" spans="1:31" s="31" customFormat="1" ht="18.75">
      <c r="A2" s="31" t="s">
        <v>316</v>
      </c>
      <c r="S2" s="32"/>
      <c r="T2" s="32"/>
    </row>
    <row r="3" spans="1:31">
      <c r="A3" s="7"/>
      <c r="B3" s="8">
        <v>-1.253875629566908</v>
      </c>
      <c r="C3" s="8">
        <v>-3.2592166127769939E-2</v>
      </c>
      <c r="D3" s="8">
        <v>0.73934661383723232</v>
      </c>
      <c r="E3" s="7">
        <v>-1.4990516053215155E-2</v>
      </c>
      <c r="F3" s="8">
        <v>0</v>
      </c>
      <c r="G3" s="8">
        <v>0</v>
      </c>
      <c r="H3" s="33">
        <v>0</v>
      </c>
      <c r="I3" s="7">
        <v>0</v>
      </c>
      <c r="J3" s="7">
        <v>0</v>
      </c>
      <c r="K3" s="7">
        <v>0</v>
      </c>
      <c r="M3">
        <f>MDETERM(B3:D5)</f>
        <v>1.470896801338589</v>
      </c>
      <c r="N3">
        <f>MDETERM(E3:G5)</f>
        <v>-3.3686023826032914E-6</v>
      </c>
      <c r="P3">
        <f t="array" ref="P3:R5">SVDD(B3:D5)</f>
        <v>2.3119041600963013</v>
      </c>
      <c r="Q3">
        <v>0</v>
      </c>
      <c r="R3">
        <v>0</v>
      </c>
      <c r="S3" s="3">
        <f>MAX(P3,Q4,R5)/MIN(P3,Q4,R5)</f>
        <v>4.136985868324337</v>
      </c>
      <c r="X3" s="3"/>
      <c r="Y3" s="3"/>
      <c r="Z3" s="3"/>
      <c r="AA3" s="3"/>
      <c r="AB3" s="3"/>
      <c r="AC3" s="3"/>
      <c r="AD3" s="3"/>
      <c r="AE3" s="3"/>
    </row>
    <row r="4" spans="1:31">
      <c r="A4" s="7" t="s">
        <v>16</v>
      </c>
      <c r="B4" s="8">
        <v>1.0419123890112216</v>
      </c>
      <c r="C4" s="8">
        <v>-4.0818532431212473E-2</v>
      </c>
      <c r="D4" s="8">
        <v>0.77248383184656022</v>
      </c>
      <c r="E4" s="7">
        <v>0</v>
      </c>
      <c r="F4" s="7">
        <v>-1.4990516053215155E-2</v>
      </c>
      <c r="G4" s="8">
        <v>0</v>
      </c>
      <c r="H4" s="8">
        <v>0</v>
      </c>
      <c r="I4" s="33">
        <v>0</v>
      </c>
      <c r="J4" s="7">
        <v>0</v>
      </c>
      <c r="K4" s="7">
        <v>0</v>
      </c>
      <c r="P4">
        <v>0</v>
      </c>
      <c r="Q4">
        <v>1.1384830994681359</v>
      </c>
      <c r="R4">
        <v>0</v>
      </c>
      <c r="X4" s="3"/>
      <c r="Y4" s="3"/>
      <c r="Z4" s="3"/>
      <c r="AA4" s="3"/>
      <c r="AB4" s="3"/>
      <c r="AC4" s="3"/>
      <c r="AD4" s="3"/>
      <c r="AE4" s="3"/>
    </row>
    <row r="5" spans="1:31">
      <c r="A5" s="7"/>
      <c r="B5" s="8">
        <v>-1.4028471761352286</v>
      </c>
      <c r="C5" s="8">
        <v>0.814665459345566</v>
      </c>
      <c r="D5" s="8">
        <v>0.7195871750303805</v>
      </c>
      <c r="E5" s="7">
        <v>0</v>
      </c>
      <c r="F5" s="8">
        <v>0</v>
      </c>
      <c r="G5" s="7">
        <v>-1.4990516053215155E-2</v>
      </c>
      <c r="H5" s="8">
        <v>0</v>
      </c>
      <c r="I5" s="8">
        <v>0</v>
      </c>
      <c r="J5" s="33">
        <v>0</v>
      </c>
      <c r="K5" s="33">
        <v>0</v>
      </c>
      <c r="P5">
        <v>0</v>
      </c>
      <c r="Q5">
        <v>0</v>
      </c>
      <c r="R5">
        <v>0.55883781905030416</v>
      </c>
      <c r="X5" s="3"/>
      <c r="Y5" s="3"/>
      <c r="Z5" s="3"/>
      <c r="AA5" s="3"/>
      <c r="AB5" s="3"/>
      <c r="AC5" s="3"/>
      <c r="AD5" s="3"/>
      <c r="AE5" s="3"/>
    </row>
    <row r="6" spans="1:31">
      <c r="A6" s="7"/>
      <c r="B6" s="8"/>
      <c r="C6" s="8"/>
      <c r="D6" s="8"/>
      <c r="E6" s="7"/>
      <c r="F6" s="7"/>
      <c r="G6" s="7"/>
      <c r="H6" s="7"/>
      <c r="I6" s="7"/>
      <c r="J6" s="7"/>
      <c r="K6" s="7"/>
      <c r="X6" s="3"/>
      <c r="Y6" s="3"/>
      <c r="Z6" s="3"/>
      <c r="AA6" s="3"/>
      <c r="AB6" s="3"/>
      <c r="AC6" s="3"/>
      <c r="AD6" s="3"/>
      <c r="AE6" s="3"/>
    </row>
    <row r="7" spans="1:31">
      <c r="A7" s="7"/>
      <c r="B7" s="8">
        <v>-1.253875629566908</v>
      </c>
      <c r="C7" s="8">
        <v>-3.2592166127769939E-2</v>
      </c>
      <c r="D7" s="8">
        <v>0.73934661383723232</v>
      </c>
      <c r="E7" s="7">
        <v>-1.4990516053215155E-2</v>
      </c>
      <c r="F7" s="8">
        <v>0</v>
      </c>
      <c r="G7" s="8">
        <v>0</v>
      </c>
      <c r="H7" s="33">
        <v>0</v>
      </c>
      <c r="I7" s="7">
        <v>0</v>
      </c>
      <c r="J7" s="7">
        <v>0</v>
      </c>
      <c r="K7" s="7">
        <v>0</v>
      </c>
      <c r="M7">
        <f t="shared" ref="M7" si="0">MDETERM(B7:D9)</f>
        <v>1.8884498807674164</v>
      </c>
      <c r="N7">
        <f t="shared" ref="N7" si="1">MDETERM(E7:G9)</f>
        <v>-3.3686023826032914E-6</v>
      </c>
      <c r="P7">
        <f t="array" ref="P7:R9">SVDD(B7:D9)</f>
        <v>2.3789401561921131</v>
      </c>
      <c r="Q7">
        <v>0</v>
      </c>
      <c r="R7">
        <v>0</v>
      </c>
      <c r="S7" s="3">
        <f t="shared" ref="S7" si="2">MAX(P7,Q8,R9)/MIN(P7,Q8,R9)</f>
        <v>3.6962112341108457</v>
      </c>
      <c r="X7" s="3"/>
      <c r="Y7" s="3"/>
      <c r="Z7" s="3"/>
      <c r="AA7" s="3"/>
      <c r="AB7" s="3"/>
      <c r="AC7" s="3"/>
      <c r="AD7" s="3"/>
      <c r="AE7" s="3"/>
    </row>
    <row r="8" spans="1:31">
      <c r="A8" s="7" t="s">
        <v>17</v>
      </c>
      <c r="B8" s="8">
        <v>1.0419123890112216</v>
      </c>
      <c r="C8" s="8">
        <v>-4.0818532431212473E-2</v>
      </c>
      <c r="D8" s="8">
        <v>0.77248383184656022</v>
      </c>
      <c r="E8" s="7">
        <v>0</v>
      </c>
      <c r="F8" s="7">
        <v>-1.4990516053215155E-2</v>
      </c>
      <c r="G8" s="8">
        <v>0</v>
      </c>
      <c r="H8" s="8">
        <v>0</v>
      </c>
      <c r="I8" s="33">
        <v>0</v>
      </c>
      <c r="J8" s="7">
        <v>0</v>
      </c>
      <c r="K8" s="7">
        <v>0</v>
      </c>
      <c r="P8">
        <v>0</v>
      </c>
      <c r="Q8">
        <v>1.2333751994667193</v>
      </c>
      <c r="R8">
        <v>0</v>
      </c>
      <c r="X8" s="3"/>
      <c r="Y8" s="3"/>
      <c r="Z8" s="3"/>
      <c r="AA8" s="3"/>
      <c r="AB8" s="3"/>
      <c r="AC8" s="3"/>
      <c r="AD8" s="3"/>
      <c r="AE8" s="3"/>
    </row>
    <row r="9" spans="1:31">
      <c r="A9" s="7"/>
      <c r="B9" s="8">
        <v>1.4421025939282253</v>
      </c>
      <c r="C9" s="8">
        <v>1.0431877148697888</v>
      </c>
      <c r="D9" s="8">
        <v>0.78932433807079116</v>
      </c>
      <c r="E9" s="7">
        <v>0</v>
      </c>
      <c r="F9" s="8">
        <v>0</v>
      </c>
      <c r="G9" s="7">
        <v>-1.4990516053215155E-2</v>
      </c>
      <c r="H9" s="8">
        <v>0</v>
      </c>
      <c r="I9" s="8">
        <v>0</v>
      </c>
      <c r="J9" s="33">
        <v>0</v>
      </c>
      <c r="K9" s="33">
        <v>0</v>
      </c>
      <c r="P9">
        <v>0</v>
      </c>
      <c r="Q9">
        <v>0</v>
      </c>
      <c r="R9">
        <v>0.64361585567346147</v>
      </c>
      <c r="X9" s="3"/>
      <c r="Y9" s="3"/>
      <c r="Z9" s="3"/>
      <c r="AA9" s="3"/>
      <c r="AB9" s="3"/>
      <c r="AC9" s="3"/>
      <c r="AD9" s="3"/>
      <c r="AE9" s="3"/>
    </row>
    <row r="10" spans="1:31">
      <c r="A10" s="7"/>
      <c r="B10" s="8"/>
      <c r="C10" s="8"/>
      <c r="D10" s="8"/>
      <c r="E10" s="7"/>
      <c r="F10" s="7"/>
      <c r="G10" s="7"/>
      <c r="H10" s="7"/>
      <c r="I10" s="7"/>
      <c r="J10" s="7"/>
      <c r="K10" s="7"/>
      <c r="X10" s="3"/>
      <c r="Y10" s="3"/>
      <c r="Z10" s="3"/>
      <c r="AA10" s="3"/>
      <c r="AB10" s="3"/>
      <c r="AC10" s="3"/>
      <c r="AD10" s="3"/>
      <c r="AE10" s="3"/>
    </row>
    <row r="11" spans="1:31">
      <c r="A11" s="7"/>
      <c r="B11" s="8">
        <v>-1.253875629566908</v>
      </c>
      <c r="C11" s="8">
        <v>-3.2592166127769939E-2</v>
      </c>
      <c r="D11" s="8">
        <v>0.73934661383723232</v>
      </c>
      <c r="E11" s="7">
        <v>-1.4990516053215155E-2</v>
      </c>
      <c r="F11" s="8">
        <v>0</v>
      </c>
      <c r="G11" s="8">
        <v>0</v>
      </c>
      <c r="H11" s="33">
        <v>0</v>
      </c>
      <c r="I11" s="7">
        <v>0</v>
      </c>
      <c r="J11" s="7">
        <v>0</v>
      </c>
      <c r="K11" s="7">
        <v>0</v>
      </c>
      <c r="M11">
        <f t="shared" ref="M11" si="3">MDETERM(B11:D13)</f>
        <v>3.7236860350750862</v>
      </c>
      <c r="N11">
        <f t="shared" ref="N11" si="4">MDETERM(E11:G13)</f>
        <v>-3.3686023826032914E-6</v>
      </c>
      <c r="P11">
        <f t="array" ref="P11:R13">SVDD(B11:D13)</f>
        <v>2.6463257247883214</v>
      </c>
      <c r="Q11">
        <v>0</v>
      </c>
      <c r="R11">
        <v>0</v>
      </c>
      <c r="S11" s="3">
        <f t="shared" ref="S11" si="5">MAX(P11,Q12,R13)/MIN(P11,Q12,R13)</f>
        <v>2.6538713862709233</v>
      </c>
      <c r="X11" s="3"/>
      <c r="Y11" s="3"/>
      <c r="Z11" s="3"/>
      <c r="AA11" s="3"/>
      <c r="AB11" s="3"/>
      <c r="AC11" s="3"/>
      <c r="AD11" s="3"/>
      <c r="AE11" s="3"/>
    </row>
    <row r="12" spans="1:31">
      <c r="A12" s="7" t="s">
        <v>18</v>
      </c>
      <c r="B12" s="8">
        <v>1.0419123890112216</v>
      </c>
      <c r="C12" s="8">
        <v>-4.0818532431212473E-2</v>
      </c>
      <c r="D12" s="8">
        <v>0.77248383184656022</v>
      </c>
      <c r="E12" s="7">
        <v>0</v>
      </c>
      <c r="F12" s="7">
        <v>-1.4990516053215155E-2</v>
      </c>
      <c r="G12" s="8">
        <v>0</v>
      </c>
      <c r="H12" s="8">
        <v>0</v>
      </c>
      <c r="I12" s="33">
        <v>0</v>
      </c>
      <c r="J12" s="7">
        <v>0</v>
      </c>
      <c r="K12" s="7">
        <v>0</v>
      </c>
      <c r="P12">
        <v>0</v>
      </c>
      <c r="Q12">
        <v>1.4111277450017659</v>
      </c>
      <c r="R12">
        <v>0</v>
      </c>
      <c r="X12" s="3"/>
      <c r="Y12" s="3"/>
      <c r="Z12" s="3"/>
      <c r="AA12" s="3"/>
      <c r="AB12" s="3"/>
      <c r="AC12" s="3"/>
      <c r="AD12" s="3"/>
      <c r="AE12" s="3"/>
    </row>
    <row r="13" spans="1:31">
      <c r="A13" s="7"/>
      <c r="B13" s="8">
        <v>-1.0351585166444348</v>
      </c>
      <c r="C13" s="8">
        <v>2.1037449841221099</v>
      </c>
      <c r="D13" s="8">
        <v>0.82913701269133588</v>
      </c>
      <c r="E13" s="7">
        <v>0</v>
      </c>
      <c r="F13" s="8">
        <v>0</v>
      </c>
      <c r="G13" s="7">
        <v>-1.4990516053215155E-2</v>
      </c>
      <c r="H13" s="8">
        <v>0</v>
      </c>
      <c r="I13" s="8">
        <v>0</v>
      </c>
      <c r="J13" s="33">
        <v>0</v>
      </c>
      <c r="K13" s="33">
        <v>0</v>
      </c>
      <c r="P13">
        <v>0</v>
      </c>
      <c r="Q13">
        <v>0</v>
      </c>
      <c r="R13">
        <v>0.99715673430082652</v>
      </c>
      <c r="X13" s="3"/>
      <c r="Y13" s="3"/>
      <c r="Z13" s="3"/>
      <c r="AA13" s="3"/>
      <c r="AB13" s="3"/>
      <c r="AC13" s="3"/>
      <c r="AD13" s="3"/>
      <c r="AE13" s="3"/>
    </row>
    <row r="14" spans="1:31">
      <c r="A14" s="7"/>
      <c r="B14" s="8"/>
      <c r="C14" s="8"/>
      <c r="D14" s="8"/>
      <c r="E14" s="7"/>
      <c r="F14" s="7"/>
      <c r="G14" s="7"/>
      <c r="H14" s="7"/>
      <c r="I14" s="7"/>
      <c r="J14" s="7"/>
      <c r="K14" s="7"/>
      <c r="X14" s="3"/>
      <c r="Y14" s="3"/>
      <c r="Z14" s="3"/>
      <c r="AA14" s="3"/>
      <c r="AB14" s="3"/>
      <c r="AC14" s="3"/>
      <c r="AD14" s="3"/>
      <c r="AE14" s="3"/>
    </row>
    <row r="15" spans="1:31">
      <c r="A15" s="7"/>
      <c r="B15" s="8">
        <v>-1.253875629566908</v>
      </c>
      <c r="C15" s="8">
        <v>-3.2592166127769939E-2</v>
      </c>
      <c r="D15" s="8">
        <v>0.73934661383723232</v>
      </c>
      <c r="E15" s="7">
        <v>-1.4990516053215155E-2</v>
      </c>
      <c r="F15" s="8">
        <v>0</v>
      </c>
      <c r="G15" s="8">
        <v>0</v>
      </c>
      <c r="H15" s="33">
        <v>0</v>
      </c>
      <c r="I15" s="7">
        <v>0</v>
      </c>
      <c r="J15" s="7">
        <v>0</v>
      </c>
      <c r="K15" s="7">
        <v>0</v>
      </c>
      <c r="M15">
        <f t="shared" ref="M15" si="6">MDETERM(B15:D17)</f>
        <v>3.6911183677832362</v>
      </c>
      <c r="N15">
        <f t="shared" ref="N15" si="7">MDETERM(E15:G17)</f>
        <v>-3.3686023826032914E-6</v>
      </c>
      <c r="P15">
        <f t="array" ref="P15:R17">SVDD(B15:D17)</f>
        <v>2.3704848492262829</v>
      </c>
      <c r="Q15">
        <v>0</v>
      </c>
      <c r="R15">
        <v>0</v>
      </c>
      <c r="S15" s="3">
        <f t="shared" ref="S15" si="8">MAX(P15,Q16,R17)/MIN(P15,Q16,R17)</f>
        <v>2.3783411134574881</v>
      </c>
      <c r="X15" s="3"/>
      <c r="Y15" s="3"/>
      <c r="Z15" s="3"/>
      <c r="AA15" s="3"/>
      <c r="AB15" s="3"/>
      <c r="AC15" s="3"/>
      <c r="AD15" s="3"/>
      <c r="AE15" s="3"/>
    </row>
    <row r="16" spans="1:31">
      <c r="A16" s="7" t="s">
        <v>19</v>
      </c>
      <c r="B16" s="8">
        <v>1.0419123890112216</v>
      </c>
      <c r="C16" s="8">
        <v>-4.0818532431212473E-2</v>
      </c>
      <c r="D16" s="8">
        <v>0.77248383184656022</v>
      </c>
      <c r="E16" s="7">
        <v>0</v>
      </c>
      <c r="F16" s="7">
        <v>-1.4990516053215155E-2</v>
      </c>
      <c r="G16" s="8">
        <v>0</v>
      </c>
      <c r="H16" s="8">
        <v>0</v>
      </c>
      <c r="I16" s="33">
        <v>0</v>
      </c>
      <c r="J16" s="7">
        <v>0</v>
      </c>
      <c r="K16" s="7">
        <v>0</v>
      </c>
      <c r="P16">
        <v>0</v>
      </c>
      <c r="Q16">
        <v>1.5622759532478505</v>
      </c>
      <c r="R16">
        <v>0</v>
      </c>
      <c r="X16" s="3"/>
      <c r="Y16" s="3"/>
      <c r="Z16" s="3"/>
      <c r="AA16" s="3"/>
      <c r="AB16" s="3"/>
      <c r="AC16" s="3"/>
      <c r="AD16" s="3"/>
      <c r="AE16" s="3"/>
    </row>
    <row r="17" spans="1:31">
      <c r="A17" s="7"/>
      <c r="B17" s="8">
        <v>0.58367185674448252</v>
      </c>
      <c r="C17" s="8">
        <v>2.0841504898711007</v>
      </c>
      <c r="D17" s="8">
        <v>0.75171422039661484</v>
      </c>
      <c r="E17" s="7">
        <v>0</v>
      </c>
      <c r="F17" s="8">
        <v>0</v>
      </c>
      <c r="G17" s="7">
        <v>-1.4990516053215155E-2</v>
      </c>
      <c r="H17" s="8">
        <v>0</v>
      </c>
      <c r="I17" s="8">
        <v>0</v>
      </c>
      <c r="J17" s="33">
        <v>0</v>
      </c>
      <c r="K17" s="33">
        <v>0</v>
      </c>
      <c r="P17">
        <v>0</v>
      </c>
      <c r="Q17">
        <v>0</v>
      </c>
      <c r="R17">
        <v>0.99669674623763937</v>
      </c>
      <c r="X17" s="3"/>
      <c r="Y17" s="3"/>
      <c r="Z17" s="3"/>
      <c r="AA17" s="3"/>
      <c r="AB17" s="3"/>
      <c r="AC17" s="3"/>
      <c r="AD17" s="3"/>
      <c r="AE17" s="3"/>
    </row>
    <row r="18" spans="1:31">
      <c r="A18" s="7"/>
      <c r="B18" s="8"/>
      <c r="C18" s="8"/>
      <c r="D18" s="8"/>
      <c r="E18" s="7"/>
      <c r="F18" s="7"/>
      <c r="G18" s="7"/>
      <c r="H18" s="7"/>
      <c r="I18" s="7"/>
      <c r="J18" s="7"/>
      <c r="K18" s="7"/>
      <c r="X18" s="3"/>
      <c r="Y18" s="3"/>
      <c r="Z18" s="3"/>
      <c r="AA18" s="3"/>
      <c r="AB18" s="3"/>
      <c r="AC18" s="3"/>
      <c r="AD18" s="3"/>
      <c r="AE18" s="3"/>
    </row>
    <row r="19" spans="1:31">
      <c r="A19" s="7"/>
      <c r="B19" s="8">
        <v>-1.253875629566908</v>
      </c>
      <c r="C19" s="8">
        <v>-3.2592166127769939E-2</v>
      </c>
      <c r="D19" s="8">
        <v>0.73934661383723232</v>
      </c>
      <c r="E19" s="7">
        <v>-1.4990516053215155E-2</v>
      </c>
      <c r="F19" s="8">
        <v>0</v>
      </c>
      <c r="G19" s="8">
        <v>0</v>
      </c>
      <c r="H19" s="33">
        <v>0</v>
      </c>
      <c r="I19" s="7">
        <v>0</v>
      </c>
      <c r="J19" s="7">
        <v>0</v>
      </c>
      <c r="K19" s="7">
        <v>0</v>
      </c>
      <c r="M19">
        <f t="shared" ref="M19" si="9">MDETERM(B19:D21)</f>
        <v>4.1209420531034784</v>
      </c>
      <c r="N19">
        <f t="shared" ref="N19" si="10">MDETERM(E19:G21)</f>
        <v>-3.3686023826032914E-6</v>
      </c>
      <c r="P19">
        <f t="array" ref="P19:R21">SVDD(B19:D21)</f>
        <v>2.3680690780102833</v>
      </c>
      <c r="Q19">
        <v>0</v>
      </c>
      <c r="R19">
        <v>0</v>
      </c>
      <c r="S19" s="3">
        <f t="shared" ref="S19" si="11">MAX(P19,Q20,R21)/MIN(P19,Q20,R21)</f>
        <v>2.2222525155344348</v>
      </c>
      <c r="X19" s="3"/>
      <c r="Y19" s="3"/>
      <c r="Z19" s="3"/>
      <c r="AA19" s="3"/>
      <c r="AB19" s="3"/>
      <c r="AC19" s="3"/>
      <c r="AD19" s="3"/>
      <c r="AE19" s="3"/>
    </row>
    <row r="20" spans="1:31">
      <c r="A20" s="7" t="s">
        <v>20</v>
      </c>
      <c r="B20" s="8">
        <v>1.0419123890112216</v>
      </c>
      <c r="C20" s="8">
        <v>-4.0818532431212473E-2</v>
      </c>
      <c r="D20" s="8">
        <v>0.77248383184656022</v>
      </c>
      <c r="E20" s="7">
        <v>0</v>
      </c>
      <c r="F20" s="7">
        <v>-1.4990516053215155E-2</v>
      </c>
      <c r="G20" s="8">
        <v>0</v>
      </c>
      <c r="H20" s="8">
        <v>0</v>
      </c>
      <c r="I20" s="33">
        <v>0</v>
      </c>
      <c r="J20" s="7">
        <v>0</v>
      </c>
      <c r="K20" s="7">
        <v>0</v>
      </c>
      <c r="P20">
        <v>0</v>
      </c>
      <c r="Q20">
        <v>1.6330563866842196</v>
      </c>
      <c r="R20">
        <v>0</v>
      </c>
      <c r="X20" s="3"/>
      <c r="Y20" s="3"/>
      <c r="Z20" s="3"/>
      <c r="AA20" s="3"/>
      <c r="AB20" s="3"/>
      <c r="AC20" s="3"/>
      <c r="AD20" s="3"/>
      <c r="AE20" s="3"/>
    </row>
    <row r="21" spans="1:31">
      <c r="A21" s="7"/>
      <c r="B21" s="8">
        <v>-2.5457845528396139E-2</v>
      </c>
      <c r="C21" s="8">
        <v>2.3667658472617719</v>
      </c>
      <c r="D21" s="8">
        <v>6.368425350466822E-2</v>
      </c>
      <c r="E21" s="7">
        <v>0</v>
      </c>
      <c r="F21" s="8">
        <v>0</v>
      </c>
      <c r="G21" s="7">
        <v>-1.4990516053215155E-2</v>
      </c>
      <c r="H21" s="8">
        <v>0</v>
      </c>
      <c r="I21" s="8">
        <v>0</v>
      </c>
      <c r="J21" s="33">
        <v>0</v>
      </c>
      <c r="K21" s="33">
        <v>0</v>
      </c>
      <c r="P21">
        <v>0</v>
      </c>
      <c r="Q21">
        <v>0</v>
      </c>
      <c r="R21">
        <v>1.0656165586298283</v>
      </c>
      <c r="X21" s="3"/>
      <c r="Y21" s="3"/>
      <c r="Z21" s="3"/>
      <c r="AA21" s="3"/>
      <c r="AB21" s="3"/>
      <c r="AC21" s="3"/>
      <c r="AD21" s="3"/>
      <c r="AE21" s="3"/>
    </row>
    <row r="22" spans="1:31">
      <c r="A22" s="7"/>
      <c r="B22" s="8"/>
      <c r="C22" s="8"/>
      <c r="D22" s="8"/>
      <c r="E22" s="7"/>
      <c r="F22" s="7"/>
      <c r="G22" s="7"/>
      <c r="H22" s="7"/>
      <c r="I22" s="7"/>
      <c r="J22" s="7"/>
      <c r="K22" s="7"/>
      <c r="X22" s="3"/>
      <c r="Y22" s="3"/>
      <c r="Z22" s="3"/>
      <c r="AA22" s="3"/>
      <c r="AB22" s="3"/>
      <c r="AC22" s="3"/>
      <c r="AD22" s="3"/>
      <c r="AE22" s="3"/>
    </row>
    <row r="23" spans="1:31">
      <c r="A23" s="7"/>
      <c r="B23" s="8">
        <v>-1.253875629566908</v>
      </c>
      <c r="C23" s="8">
        <v>-3.2592166127769939E-2</v>
      </c>
      <c r="D23" s="8">
        <v>0.73934661383723232</v>
      </c>
      <c r="E23" s="7">
        <v>-1.4990516053215155E-2</v>
      </c>
      <c r="F23" s="8">
        <v>0</v>
      </c>
      <c r="G23" s="8">
        <v>0</v>
      </c>
      <c r="H23" s="33">
        <v>0</v>
      </c>
      <c r="I23" s="7">
        <v>0</v>
      </c>
      <c r="J23" s="7">
        <v>0</v>
      </c>
      <c r="K23" s="7">
        <v>0</v>
      </c>
      <c r="M23">
        <f t="shared" ref="M23" si="12">MDETERM(B23:D25)</f>
        <v>-1.8855488203375224</v>
      </c>
      <c r="N23">
        <f t="shared" ref="N23" si="13">MDETERM(E23:G25)</f>
        <v>-3.3686023826032914E-6</v>
      </c>
      <c r="P23">
        <f t="array" ref="P23:R25">SVDD(B23:D25)</f>
        <v>2.4042525677023088</v>
      </c>
      <c r="Q23">
        <v>0</v>
      </c>
      <c r="R23">
        <v>0</v>
      </c>
      <c r="S23" s="3">
        <f t="shared" ref="S23" si="14">MAX(P23,Q24,R25)/MIN(P23,Q24,R25)</f>
        <v>5.3803548414248699</v>
      </c>
      <c r="X23" s="3"/>
      <c r="Y23" s="3"/>
      <c r="Z23" s="3"/>
      <c r="AA23" s="3"/>
      <c r="AB23" s="3"/>
      <c r="AC23" s="3"/>
      <c r="AD23" s="3"/>
      <c r="AE23" s="3"/>
    </row>
    <row r="24" spans="1:31">
      <c r="A24" s="7" t="s">
        <v>21</v>
      </c>
      <c r="B24" s="8">
        <v>-1.4028471761352286</v>
      </c>
      <c r="C24" s="8">
        <v>0.814665459345566</v>
      </c>
      <c r="D24" s="8">
        <v>0.7195871750303805</v>
      </c>
      <c r="E24" s="7">
        <v>0</v>
      </c>
      <c r="F24" s="7">
        <v>-1.4990516053215155E-2</v>
      </c>
      <c r="G24" s="8">
        <v>0</v>
      </c>
      <c r="H24" s="8">
        <v>0</v>
      </c>
      <c r="I24" s="33">
        <v>0</v>
      </c>
      <c r="J24" s="7">
        <v>0</v>
      </c>
      <c r="K24" s="7">
        <v>0</v>
      </c>
      <c r="P24">
        <v>0</v>
      </c>
      <c r="Q24">
        <v>1.7550460789076356</v>
      </c>
      <c r="R24">
        <v>0</v>
      </c>
      <c r="X24" s="3"/>
      <c r="Y24" s="3"/>
      <c r="Z24" s="3"/>
      <c r="AA24" s="3"/>
      <c r="AB24" s="3"/>
      <c r="AC24" s="3"/>
      <c r="AD24" s="3"/>
      <c r="AE24" s="3"/>
    </row>
    <row r="25" spans="1:31">
      <c r="A25" s="7"/>
      <c r="B25" s="8">
        <v>1.4421025939282253</v>
      </c>
      <c r="C25" s="8">
        <v>1.0431877148697888</v>
      </c>
      <c r="D25" s="8">
        <v>0.78932433807079116</v>
      </c>
      <c r="E25" s="7">
        <v>0</v>
      </c>
      <c r="F25" s="8">
        <v>0</v>
      </c>
      <c r="G25" s="7">
        <v>-1.4990516053215155E-2</v>
      </c>
      <c r="H25" s="8">
        <v>0</v>
      </c>
      <c r="I25" s="8">
        <v>0</v>
      </c>
      <c r="J25" s="33">
        <v>0</v>
      </c>
      <c r="K25" s="33">
        <v>0</v>
      </c>
      <c r="P25">
        <v>0</v>
      </c>
      <c r="Q25">
        <v>0</v>
      </c>
      <c r="R25">
        <v>0.44685762158125519</v>
      </c>
      <c r="X25" s="3"/>
      <c r="Y25" s="3"/>
      <c r="Z25" s="3"/>
      <c r="AA25" s="3"/>
      <c r="AB25" s="3"/>
      <c r="AC25" s="3"/>
      <c r="AD25" s="3"/>
      <c r="AE25" s="3"/>
    </row>
    <row r="26" spans="1:31">
      <c r="A26" s="7"/>
      <c r="B26" s="8"/>
      <c r="C26" s="8"/>
      <c r="D26" s="8"/>
      <c r="E26" s="7"/>
      <c r="F26" s="7"/>
      <c r="G26" s="7"/>
      <c r="H26" s="7"/>
      <c r="I26" s="7"/>
      <c r="J26" s="7"/>
      <c r="K26" s="7"/>
      <c r="X26" s="3"/>
      <c r="Y26" s="3"/>
      <c r="Z26" s="3"/>
      <c r="AA26" s="3"/>
      <c r="AB26" s="3"/>
      <c r="AC26" s="3"/>
      <c r="AD26" s="3"/>
      <c r="AE26" s="3"/>
    </row>
    <row r="27" spans="1:31">
      <c r="A27" s="7"/>
      <c r="B27" s="8">
        <v>-1.253875629566908</v>
      </c>
      <c r="C27" s="8">
        <v>-3.2592166127769939E-2</v>
      </c>
      <c r="D27" s="8">
        <v>0.73934661383723232</v>
      </c>
      <c r="E27" s="7">
        <v>-1.4990516053215155E-2</v>
      </c>
      <c r="F27" s="8">
        <v>0</v>
      </c>
      <c r="G27" s="8">
        <v>0</v>
      </c>
      <c r="H27" s="33">
        <v>0</v>
      </c>
      <c r="I27" s="7">
        <v>0</v>
      </c>
      <c r="J27" s="7">
        <v>0</v>
      </c>
      <c r="K27" s="7">
        <v>0</v>
      </c>
      <c r="M27">
        <f t="shared" ref="M27" si="15">MDETERM(B27:D29)</f>
        <v>-0.52092181672998861</v>
      </c>
      <c r="N27">
        <f t="shared" ref="N27" si="16">MDETERM(E27:G29)</f>
        <v>-3.3686023826032914E-6</v>
      </c>
      <c r="P27">
        <f t="array" ref="P27:R29">SVDD(B27:D29)</f>
        <v>3.1236245357221506</v>
      </c>
      <c r="Q27">
        <v>0</v>
      </c>
      <c r="R27">
        <v>0</v>
      </c>
      <c r="S27" s="3">
        <f t="shared" ref="S27" si="17">MAX(P27,Q28,R29)/MIN(P27,Q28,R29)</f>
        <v>24.281240562435144</v>
      </c>
      <c r="X27" s="3"/>
      <c r="Y27" s="3"/>
      <c r="Z27" s="3"/>
      <c r="AA27" s="3"/>
      <c r="AB27" s="3"/>
      <c r="AC27" s="3"/>
      <c r="AD27" s="3"/>
      <c r="AE27" s="3"/>
    </row>
    <row r="28" spans="1:31">
      <c r="A28" s="7" t="s">
        <v>22</v>
      </c>
      <c r="B28" s="8">
        <v>-1.4028471761352286</v>
      </c>
      <c r="C28" s="8">
        <v>0.814665459345566</v>
      </c>
      <c r="D28" s="8">
        <v>0.7195871750303805</v>
      </c>
      <c r="E28" s="7">
        <v>0</v>
      </c>
      <c r="F28" s="7">
        <v>-1.4990516053215155E-2</v>
      </c>
      <c r="G28" s="8">
        <v>0</v>
      </c>
      <c r="H28" s="8">
        <v>0</v>
      </c>
      <c r="I28" s="33">
        <v>0</v>
      </c>
      <c r="J28" s="7">
        <v>0</v>
      </c>
      <c r="K28" s="7">
        <v>0</v>
      </c>
      <c r="P28">
        <v>0</v>
      </c>
      <c r="Q28">
        <v>1.2963604329289398</v>
      </c>
      <c r="R28">
        <v>0</v>
      </c>
      <c r="X28" s="3"/>
      <c r="Y28" s="3"/>
      <c r="Z28" s="3"/>
      <c r="AA28" s="3"/>
      <c r="AB28" s="3"/>
      <c r="AC28" s="3"/>
      <c r="AD28" s="3"/>
      <c r="AE28" s="3"/>
    </row>
    <row r="29" spans="1:31">
      <c r="A29" s="7"/>
      <c r="B29" s="8">
        <v>-1.0351585166444348</v>
      </c>
      <c r="C29" s="8">
        <v>2.1037449841221099</v>
      </c>
      <c r="D29" s="8">
        <v>0.82913701269133588</v>
      </c>
      <c r="E29" s="7">
        <v>0</v>
      </c>
      <c r="F29" s="8">
        <v>0</v>
      </c>
      <c r="G29" s="7">
        <v>-1.4990516053215155E-2</v>
      </c>
      <c r="H29" s="8">
        <v>0</v>
      </c>
      <c r="I29" s="8">
        <v>0</v>
      </c>
      <c r="J29" s="33">
        <v>0</v>
      </c>
      <c r="K29" s="33">
        <v>0</v>
      </c>
      <c r="P29">
        <v>0</v>
      </c>
      <c r="Q29">
        <v>0</v>
      </c>
      <c r="R29">
        <v>0.12864353152345215</v>
      </c>
      <c r="X29" s="3"/>
      <c r="Y29" s="3"/>
      <c r="Z29" s="3"/>
      <c r="AA29" s="3"/>
      <c r="AB29" s="3"/>
      <c r="AC29" s="3"/>
      <c r="AD29" s="3"/>
      <c r="AE29" s="3"/>
    </row>
    <row r="30" spans="1:31">
      <c r="A30" s="7"/>
      <c r="B30" s="8"/>
      <c r="C30" s="8"/>
      <c r="D30" s="8"/>
      <c r="E30" s="7"/>
      <c r="F30" s="7"/>
      <c r="G30" s="7"/>
      <c r="H30" s="7"/>
      <c r="I30" s="7"/>
      <c r="J30" s="7"/>
      <c r="K30" s="7"/>
      <c r="X30" s="3"/>
      <c r="Y30" s="3"/>
      <c r="Z30" s="3"/>
      <c r="AA30" s="3"/>
      <c r="AB30" s="3"/>
      <c r="AC30" s="3"/>
      <c r="AD30" s="3"/>
      <c r="AE30" s="3"/>
    </row>
    <row r="31" spans="1:31">
      <c r="A31" s="7"/>
      <c r="B31" s="8">
        <v>-1.253875629566908</v>
      </c>
      <c r="C31" s="8">
        <v>-3.2592166127769939E-2</v>
      </c>
      <c r="D31" s="8">
        <v>0.73934661383723232</v>
      </c>
      <c r="E31" s="7">
        <v>-1.4990516053215155E-2</v>
      </c>
      <c r="F31" s="8">
        <v>0</v>
      </c>
      <c r="G31" s="8">
        <v>0</v>
      </c>
      <c r="H31" s="33">
        <v>0</v>
      </c>
      <c r="I31" s="7">
        <v>0</v>
      </c>
      <c r="J31" s="7">
        <v>0</v>
      </c>
      <c r="K31" s="7">
        <v>0</v>
      </c>
      <c r="M31">
        <f t="shared" ref="M31" si="18">MDETERM(B31:D33)</f>
        <v>-1.4486721475840947</v>
      </c>
      <c r="N31">
        <f t="shared" ref="N31" si="19">MDETERM(E31:G33)</f>
        <v>-3.3686023826032914E-6</v>
      </c>
      <c r="P31">
        <f t="array" ref="P31:R33">SVDD(B31:D33)</f>
        <v>2.488006770944339</v>
      </c>
      <c r="Q31">
        <v>0</v>
      </c>
      <c r="R31">
        <v>0</v>
      </c>
      <c r="S31" s="3">
        <f t="shared" ref="S31" si="20">MAX(P31,Q32,R33)/MIN(P31,Q32,R33)</f>
        <v>8.8077991376995399</v>
      </c>
      <c r="X31" s="3"/>
      <c r="Y31" s="3"/>
      <c r="Z31" s="3"/>
      <c r="AA31" s="3"/>
      <c r="AB31" s="3"/>
      <c r="AC31" s="3"/>
      <c r="AD31" s="3"/>
      <c r="AE31" s="3"/>
    </row>
    <row r="32" spans="1:31">
      <c r="A32" s="7" t="s">
        <v>23</v>
      </c>
      <c r="B32" s="8">
        <v>-1.4028471761352286</v>
      </c>
      <c r="C32" s="8">
        <v>0.814665459345566</v>
      </c>
      <c r="D32" s="8">
        <v>0.7195871750303805</v>
      </c>
      <c r="E32" s="7">
        <v>0</v>
      </c>
      <c r="F32" s="7">
        <v>-1.4990516053215155E-2</v>
      </c>
      <c r="G32" s="8">
        <v>0</v>
      </c>
      <c r="H32" s="8">
        <v>0</v>
      </c>
      <c r="I32" s="33">
        <v>0</v>
      </c>
      <c r="J32" s="7">
        <v>0</v>
      </c>
      <c r="K32" s="7">
        <v>0</v>
      </c>
      <c r="P32">
        <v>0</v>
      </c>
      <c r="Q32">
        <v>2.0612676932109228</v>
      </c>
      <c r="R32">
        <v>0</v>
      </c>
      <c r="X32" s="3"/>
      <c r="Y32" s="3"/>
      <c r="Z32" s="3"/>
      <c r="AA32" s="3"/>
      <c r="AB32" s="3"/>
      <c r="AC32" s="3"/>
      <c r="AD32" s="3"/>
      <c r="AE32" s="3"/>
    </row>
    <row r="33" spans="1:31">
      <c r="A33" s="7"/>
      <c r="B33" s="8">
        <v>0.58367185674448252</v>
      </c>
      <c r="C33" s="8">
        <v>2.0841504898711007</v>
      </c>
      <c r="D33" s="8">
        <v>0.75171422039661484</v>
      </c>
      <c r="E33" s="7">
        <v>0</v>
      </c>
      <c r="F33" s="8">
        <v>0</v>
      </c>
      <c r="G33" s="7">
        <v>-1.4990516053215155E-2</v>
      </c>
      <c r="H33" s="8">
        <v>0</v>
      </c>
      <c r="I33" s="8">
        <v>0</v>
      </c>
      <c r="J33" s="33">
        <v>0</v>
      </c>
      <c r="K33" s="33">
        <v>0</v>
      </c>
      <c r="P33">
        <v>0</v>
      </c>
      <c r="Q33">
        <v>0</v>
      </c>
      <c r="R33">
        <v>0.28247769187821958</v>
      </c>
      <c r="X33" s="3"/>
      <c r="Y33" s="3"/>
      <c r="Z33" s="3"/>
      <c r="AA33" s="3"/>
      <c r="AB33" s="3"/>
      <c r="AC33" s="3"/>
      <c r="AD33" s="3"/>
      <c r="AE33" s="3"/>
    </row>
    <row r="34" spans="1:31">
      <c r="A34" s="7"/>
      <c r="B34" s="8"/>
      <c r="C34" s="8"/>
      <c r="D34" s="8"/>
      <c r="E34" s="7"/>
      <c r="F34" s="7"/>
      <c r="G34" s="7"/>
      <c r="H34" s="7"/>
      <c r="I34" s="7"/>
      <c r="J34" s="7"/>
      <c r="K34" s="7"/>
      <c r="X34" s="3"/>
      <c r="Y34" s="3"/>
      <c r="Z34" s="3"/>
      <c r="AA34" s="3"/>
      <c r="AB34" s="3"/>
      <c r="AC34" s="3"/>
      <c r="AD34" s="3"/>
      <c r="AE34" s="3"/>
    </row>
    <row r="35" spans="1:31">
      <c r="A35" s="7"/>
      <c r="B35" s="8">
        <v>-1.253875629566908</v>
      </c>
      <c r="C35" s="8">
        <v>-3.2592166127769939E-2</v>
      </c>
      <c r="D35" s="8">
        <v>0.73934661383723232</v>
      </c>
      <c r="E35" s="7">
        <v>-1.4990516053215155E-2</v>
      </c>
      <c r="F35" s="8">
        <v>0</v>
      </c>
      <c r="G35" s="8">
        <v>0</v>
      </c>
      <c r="H35" s="33">
        <v>0</v>
      </c>
      <c r="I35" s="7">
        <v>0</v>
      </c>
      <c r="J35" s="7">
        <v>0</v>
      </c>
      <c r="K35" s="7">
        <v>0</v>
      </c>
      <c r="M35">
        <f t="shared" ref="M35" si="21">MDETERM(B35:D37)</f>
        <v>-0.37135180285820124</v>
      </c>
      <c r="N35">
        <f t="shared" ref="N35" si="22">MDETERM(E35:G37)</f>
        <v>-3.3686023826032914E-6</v>
      </c>
      <c r="P35">
        <f t="array" ref="P35:R37">SVDD(B35:D37)</f>
        <v>2.651591284652667</v>
      </c>
      <c r="Q35">
        <v>0</v>
      </c>
      <c r="R35">
        <v>0</v>
      </c>
      <c r="S35" s="3">
        <f t="shared" ref="S35" si="23">MAX(P35,Q36,R37)/MIN(P35,Q36,R37)</f>
        <v>37.099744408603527</v>
      </c>
      <c r="X35" s="3"/>
      <c r="Y35" s="3"/>
      <c r="Z35" s="3"/>
      <c r="AA35" s="3"/>
      <c r="AB35" s="3"/>
      <c r="AC35" s="3"/>
      <c r="AD35" s="3"/>
      <c r="AE35" s="3"/>
    </row>
    <row r="36" spans="1:31">
      <c r="A36" s="7" t="s">
        <v>24</v>
      </c>
      <c r="B36" s="8">
        <v>-1.4028471761352286</v>
      </c>
      <c r="C36" s="8">
        <v>0.814665459345566</v>
      </c>
      <c r="D36" s="8">
        <v>0.7195871750303805</v>
      </c>
      <c r="E36" s="7">
        <v>0</v>
      </c>
      <c r="F36" s="7">
        <v>-1.4990516053215155E-2</v>
      </c>
      <c r="G36" s="8">
        <v>0</v>
      </c>
      <c r="H36" s="8">
        <v>0</v>
      </c>
      <c r="I36" s="33">
        <v>0</v>
      </c>
      <c r="J36" s="7">
        <v>0</v>
      </c>
      <c r="K36" s="7">
        <v>0</v>
      </c>
      <c r="P36">
        <v>0</v>
      </c>
      <c r="Q36">
        <v>1.9594910697279393</v>
      </c>
      <c r="R36">
        <v>0</v>
      </c>
      <c r="X36" s="3"/>
      <c r="Y36" s="3"/>
      <c r="Z36" s="3"/>
      <c r="AA36" s="3"/>
      <c r="AB36" s="3"/>
      <c r="AC36" s="3"/>
      <c r="AD36" s="3"/>
      <c r="AE36" s="3"/>
    </row>
    <row r="37" spans="1:31">
      <c r="A37" s="7"/>
      <c r="B37" s="8">
        <v>-2.5457845528396139E-2</v>
      </c>
      <c r="C37" s="8">
        <v>2.3667658472617719</v>
      </c>
      <c r="D37" s="8">
        <v>6.368425350466822E-2</v>
      </c>
      <c r="E37" s="7">
        <v>0</v>
      </c>
      <c r="F37" s="8">
        <v>0</v>
      </c>
      <c r="G37" s="7">
        <v>-1.4990516053215155E-2</v>
      </c>
      <c r="H37" s="8">
        <v>0</v>
      </c>
      <c r="I37" s="8">
        <v>0</v>
      </c>
      <c r="J37" s="33">
        <v>0</v>
      </c>
      <c r="K37" s="33">
        <v>0</v>
      </c>
      <c r="P37">
        <v>0</v>
      </c>
      <c r="Q37">
        <v>0</v>
      </c>
      <c r="R37">
        <v>7.147195558678178E-2</v>
      </c>
      <c r="X37" s="3"/>
      <c r="Y37" s="3"/>
      <c r="Z37" s="3"/>
      <c r="AA37" s="3"/>
      <c r="AB37" s="3"/>
      <c r="AC37" s="3"/>
      <c r="AD37" s="3"/>
      <c r="AE37" s="3"/>
    </row>
    <row r="38" spans="1:31">
      <c r="A38" s="7"/>
      <c r="B38" s="8"/>
      <c r="C38" s="8"/>
      <c r="D38" s="8"/>
      <c r="E38" s="7"/>
      <c r="F38" s="7"/>
      <c r="G38" s="7"/>
      <c r="H38" s="7"/>
      <c r="I38" s="7"/>
      <c r="J38" s="7"/>
      <c r="K38" s="7"/>
    </row>
    <row r="39" spans="1:31">
      <c r="A39" s="7"/>
      <c r="B39" s="8">
        <v>-1.253875629566908</v>
      </c>
      <c r="C39" s="8">
        <v>-3.2592166127769939E-2</v>
      </c>
      <c r="D39" s="8">
        <v>0.73934661383723232</v>
      </c>
      <c r="E39" s="7">
        <v>-1.4990516053215155E-2</v>
      </c>
      <c r="F39" s="8">
        <v>0</v>
      </c>
      <c r="G39" s="8">
        <v>0</v>
      </c>
      <c r="H39" s="33">
        <v>0</v>
      </c>
      <c r="I39" s="7">
        <v>0</v>
      </c>
      <c r="J39" s="7">
        <v>0</v>
      </c>
      <c r="K39" s="7">
        <v>0</v>
      </c>
      <c r="M39">
        <f t="shared" ref="M39" si="24">MDETERM(B39:D41)</f>
        <v>4.1046095569423082</v>
      </c>
      <c r="N39">
        <f t="shared" ref="N39" si="25">MDETERM(E39:G41)</f>
        <v>-3.3686023826032914E-6</v>
      </c>
      <c r="P39">
        <f t="array" ref="P39:R41">SVDD(B39:D41)</f>
        <v>2.6696215673144486</v>
      </c>
      <c r="Q39">
        <v>0</v>
      </c>
      <c r="R39">
        <v>0</v>
      </c>
      <c r="S39" s="3">
        <f t="shared" ref="S39" si="26">MAX(P39,Q40,R41)/MIN(P39,Q40,R41)</f>
        <v>3.6568969588621991</v>
      </c>
    </row>
    <row r="40" spans="1:31">
      <c r="A40" s="7" t="s">
        <v>25</v>
      </c>
      <c r="B40" s="8">
        <v>1.4421025939282253</v>
      </c>
      <c r="C40" s="8">
        <v>1.0431877148697888</v>
      </c>
      <c r="D40" s="8">
        <v>0.78932433807079116</v>
      </c>
      <c r="E40" s="7">
        <v>0</v>
      </c>
      <c r="F40" s="7">
        <v>-1.4990516053215155E-2</v>
      </c>
      <c r="G40" s="8">
        <v>0</v>
      </c>
      <c r="H40" s="8">
        <v>0</v>
      </c>
      <c r="I40" s="33">
        <v>0</v>
      </c>
      <c r="J40" s="7">
        <v>0</v>
      </c>
      <c r="K40" s="7">
        <v>0</v>
      </c>
      <c r="P40">
        <v>0</v>
      </c>
      <c r="Q40">
        <v>2.1061299830647373</v>
      </c>
      <c r="R40">
        <v>0</v>
      </c>
    </row>
    <row r="41" spans="1:31">
      <c r="A41" s="7"/>
      <c r="B41" s="8">
        <v>-1.0351585166444348</v>
      </c>
      <c r="C41" s="8">
        <v>2.1037449841221099</v>
      </c>
      <c r="D41" s="8">
        <v>0.82913701269133588</v>
      </c>
      <c r="E41" s="7">
        <v>0</v>
      </c>
      <c r="F41" s="8">
        <v>0</v>
      </c>
      <c r="G41" s="7">
        <v>-1.4990516053215155E-2</v>
      </c>
      <c r="H41" s="8">
        <v>0</v>
      </c>
      <c r="I41" s="8">
        <v>0</v>
      </c>
      <c r="J41" s="33">
        <v>0</v>
      </c>
      <c r="K41" s="33">
        <v>0</v>
      </c>
      <c r="P41">
        <v>0</v>
      </c>
      <c r="Q41">
        <v>0</v>
      </c>
      <c r="R41">
        <v>0.73002373251038233</v>
      </c>
    </row>
    <row r="42" spans="1:31">
      <c r="A42" s="7"/>
      <c r="B42" s="8"/>
      <c r="C42" s="8"/>
      <c r="D42" s="8"/>
      <c r="E42" s="7"/>
      <c r="F42" s="7"/>
      <c r="G42" s="7"/>
      <c r="H42" s="7"/>
      <c r="I42" s="7"/>
      <c r="J42" s="7"/>
      <c r="K42" s="7"/>
    </row>
    <row r="43" spans="1:31">
      <c r="A43" s="7"/>
      <c r="B43" s="8">
        <v>-1.253875629566908</v>
      </c>
      <c r="C43" s="8">
        <v>-3.2592166127769939E-2</v>
      </c>
      <c r="D43" s="8">
        <v>0.73934661383723232</v>
      </c>
      <c r="E43" s="7">
        <v>-1.4990516053215155E-2</v>
      </c>
      <c r="F43" s="8">
        <v>0</v>
      </c>
      <c r="G43" s="8">
        <v>0</v>
      </c>
      <c r="H43" s="33">
        <v>0</v>
      </c>
      <c r="I43" s="7">
        <v>0</v>
      </c>
      <c r="J43" s="7">
        <v>0</v>
      </c>
      <c r="K43" s="7">
        <v>0</v>
      </c>
      <c r="M43">
        <f t="shared" ref="M43" si="27">MDETERM(B43:D45)</f>
        <v>2.871744051574181</v>
      </c>
      <c r="N43">
        <f t="shared" ref="N43" si="28">MDETERM(E43:G45)</f>
        <v>-3.3686023826032914E-6</v>
      </c>
      <c r="P43">
        <f t="array" ref="P43:R45">SVDD(B43:D45)</f>
        <v>2.8914255768305006</v>
      </c>
      <c r="Q43">
        <v>0</v>
      </c>
      <c r="R43">
        <v>0</v>
      </c>
      <c r="S43" s="3">
        <f t="shared" ref="S43" si="29">MAX(P43,Q44,R45)/MIN(P43,Q44,R45)</f>
        <v>4.497468867237159</v>
      </c>
    </row>
    <row r="44" spans="1:31">
      <c r="A44" s="7" t="s">
        <v>26</v>
      </c>
      <c r="B44" s="8">
        <v>1.4421025939282253</v>
      </c>
      <c r="C44" s="8">
        <v>1.0431877148697888</v>
      </c>
      <c r="D44" s="8">
        <v>0.78932433807079116</v>
      </c>
      <c r="E44" s="7">
        <v>0</v>
      </c>
      <c r="F44" s="7">
        <v>-1.4990516053215155E-2</v>
      </c>
      <c r="G44" s="8">
        <v>0</v>
      </c>
      <c r="H44" s="8">
        <v>0</v>
      </c>
      <c r="I44" s="33">
        <v>0</v>
      </c>
      <c r="J44" s="7">
        <v>0</v>
      </c>
      <c r="K44" s="7">
        <v>0</v>
      </c>
      <c r="P44">
        <v>0</v>
      </c>
      <c r="Q44">
        <v>1.5448625992931753</v>
      </c>
      <c r="R44">
        <v>0</v>
      </c>
    </row>
    <row r="45" spans="1:31">
      <c r="A45" s="7"/>
      <c r="B45" s="8">
        <v>0.58367185674448252</v>
      </c>
      <c r="C45" s="8">
        <v>2.0841504898711007</v>
      </c>
      <c r="D45" s="8">
        <v>0.75171422039661484</v>
      </c>
      <c r="E45" s="7">
        <v>0</v>
      </c>
      <c r="F45" s="8">
        <v>0</v>
      </c>
      <c r="G45" s="7">
        <v>-1.4990516053215155E-2</v>
      </c>
      <c r="H45" s="8">
        <v>0</v>
      </c>
      <c r="I45" s="8">
        <v>0</v>
      </c>
      <c r="J45" s="33">
        <v>0</v>
      </c>
      <c r="K45" s="33">
        <v>0</v>
      </c>
      <c r="P45">
        <v>0</v>
      </c>
      <c r="Q45">
        <v>0</v>
      </c>
      <c r="R45">
        <v>0.64290063192960645</v>
      </c>
    </row>
    <row r="46" spans="1:31" ht="19.5" customHeight="1">
      <c r="A46" s="7"/>
      <c r="B46" s="8"/>
      <c r="C46" s="8"/>
      <c r="D46" s="8"/>
      <c r="E46" s="7"/>
      <c r="F46" s="7"/>
      <c r="G46" s="7"/>
      <c r="H46" s="7"/>
      <c r="I46" s="7"/>
      <c r="J46" s="7"/>
      <c r="K46" s="7"/>
    </row>
    <row r="47" spans="1:31">
      <c r="A47" s="7"/>
      <c r="B47" s="8">
        <v>-1.253875629566908</v>
      </c>
      <c r="C47" s="8">
        <v>-3.2592166127769939E-2</v>
      </c>
      <c r="D47" s="8">
        <v>0.73934661383723232</v>
      </c>
      <c r="E47" s="7">
        <v>-1.4990516053215155E-2</v>
      </c>
      <c r="F47" s="8">
        <v>0</v>
      </c>
      <c r="G47" s="8">
        <v>0</v>
      </c>
      <c r="H47" s="33">
        <v>0</v>
      </c>
      <c r="I47" s="7">
        <v>0</v>
      </c>
      <c r="J47" s="7">
        <v>0</v>
      </c>
      <c r="K47" s="7">
        <v>0</v>
      </c>
      <c r="M47">
        <f t="shared" ref="M47" si="30">MDETERM(B47:D49)</f>
        <v>4.8058831541717364</v>
      </c>
      <c r="N47">
        <f t="shared" ref="N47" si="31">MDETERM(E47:G49)</f>
        <v>-3.3686023826032914E-6</v>
      </c>
      <c r="P47">
        <f t="array" ref="P47:R49">SVDD(B47:D49)</f>
        <v>2.728172117965062</v>
      </c>
      <c r="Q47">
        <v>0</v>
      </c>
      <c r="R47">
        <v>0</v>
      </c>
      <c r="S47" s="3">
        <f t="shared" ref="S47" si="32">MAX(P47,Q48,R49)/MIN(P47,Q48,R49)</f>
        <v>2.7091989128856673</v>
      </c>
    </row>
    <row r="48" spans="1:31">
      <c r="A48" s="7" t="s">
        <v>27</v>
      </c>
      <c r="B48" s="8">
        <v>1.4421025939282253</v>
      </c>
      <c r="C48" s="8">
        <v>1.0431877148697888</v>
      </c>
      <c r="D48" s="8">
        <v>0.78932433807079116</v>
      </c>
      <c r="E48" s="7">
        <v>0</v>
      </c>
      <c r="F48" s="7">
        <v>-1.4990516053215155E-2</v>
      </c>
      <c r="G48" s="8">
        <v>0</v>
      </c>
      <c r="H48" s="8">
        <v>0</v>
      </c>
      <c r="I48" s="33">
        <v>0</v>
      </c>
      <c r="J48" s="7">
        <v>0</v>
      </c>
      <c r="K48" s="7">
        <v>0</v>
      </c>
      <c r="P48">
        <v>0</v>
      </c>
      <c r="Q48">
        <v>1.7493252627543197</v>
      </c>
      <c r="R48">
        <v>0</v>
      </c>
    </row>
    <row r="49" spans="1:24">
      <c r="A49" s="7"/>
      <c r="B49" s="8">
        <v>-2.5457845528396139E-2</v>
      </c>
      <c r="C49" s="8">
        <v>2.3667658472617719</v>
      </c>
      <c r="D49" s="8">
        <v>6.368425350466822E-2</v>
      </c>
      <c r="E49" s="7">
        <v>0</v>
      </c>
      <c r="F49" s="8">
        <v>0</v>
      </c>
      <c r="G49" s="7">
        <v>-1.4990516053215155E-2</v>
      </c>
      <c r="H49" s="8">
        <v>0</v>
      </c>
      <c r="I49" s="8">
        <v>0</v>
      </c>
      <c r="J49" s="33">
        <v>0</v>
      </c>
      <c r="K49" s="33">
        <v>0</v>
      </c>
      <c r="P49">
        <v>0</v>
      </c>
      <c r="Q49">
        <v>0</v>
      </c>
      <c r="R49">
        <v>1.0070032528763957</v>
      </c>
    </row>
    <row r="50" spans="1:24">
      <c r="A50" s="7"/>
      <c r="B50" s="8"/>
      <c r="C50" s="8"/>
      <c r="D50" s="8"/>
      <c r="E50" s="7"/>
      <c r="F50" s="7"/>
      <c r="G50" s="7"/>
      <c r="H50" s="7"/>
      <c r="I50" s="7"/>
      <c r="J50" s="7"/>
      <c r="K50" s="7"/>
    </row>
    <row r="51" spans="1:24">
      <c r="A51" s="7"/>
      <c r="B51" s="8">
        <v>-1.253875629566908</v>
      </c>
      <c r="C51" s="8">
        <v>-3.2592166127769939E-2</v>
      </c>
      <c r="D51" s="8">
        <v>0.73934661383723232</v>
      </c>
      <c r="E51" s="7">
        <v>-1.4990516053215155E-2</v>
      </c>
      <c r="F51" s="8">
        <v>0</v>
      </c>
      <c r="G51" s="8">
        <v>0</v>
      </c>
      <c r="H51" s="33">
        <v>0</v>
      </c>
      <c r="I51" s="7">
        <v>0</v>
      </c>
      <c r="J51" s="7">
        <v>0</v>
      </c>
      <c r="K51" s="7">
        <v>0</v>
      </c>
      <c r="M51">
        <f t="shared" ref="M51" si="33">MDETERM(B51:D53)</f>
        <v>-2.3602037588841793</v>
      </c>
      <c r="N51">
        <f t="shared" ref="N51" si="34">MDETERM(E51:G53)</f>
        <v>-3.3686023826032914E-6</v>
      </c>
      <c r="P51">
        <f t="array" ref="P51:R53">SVDD(B51:D53)</f>
        <v>3.2136851799585031</v>
      </c>
      <c r="Q51">
        <v>0</v>
      </c>
      <c r="R51">
        <v>0</v>
      </c>
      <c r="S51" s="3">
        <f t="shared" ref="S51" si="35">MAX(P51,Q52,R53)/MIN(P51,Q52,R53)</f>
        <v>7.6413054265435116</v>
      </c>
    </row>
    <row r="52" spans="1:24">
      <c r="A52" s="7" t="s">
        <v>28</v>
      </c>
      <c r="B52" s="8">
        <v>-1.0351585166444348</v>
      </c>
      <c r="C52" s="8">
        <v>2.1037449841221099</v>
      </c>
      <c r="D52" s="8">
        <v>0.82913701269133588</v>
      </c>
      <c r="E52" s="7">
        <v>0</v>
      </c>
      <c r="F52" s="7">
        <v>-1.4990516053215155E-2</v>
      </c>
      <c r="G52" s="8">
        <v>0</v>
      </c>
      <c r="H52" s="8">
        <v>0</v>
      </c>
      <c r="I52" s="33">
        <v>0</v>
      </c>
      <c r="J52" s="7">
        <v>0</v>
      </c>
      <c r="K52" s="7">
        <v>0</v>
      </c>
      <c r="P52">
        <v>0</v>
      </c>
      <c r="Q52">
        <v>1.7462659932209073</v>
      </c>
      <c r="R52">
        <v>0</v>
      </c>
    </row>
    <row r="53" spans="1:24">
      <c r="A53" s="7"/>
      <c r="B53" s="8">
        <v>0.58367185674448252</v>
      </c>
      <c r="C53" s="8">
        <v>2.0841504898711007</v>
      </c>
      <c r="D53" s="8">
        <v>0.75171422039661484</v>
      </c>
      <c r="E53" s="7">
        <v>0</v>
      </c>
      <c r="F53" s="8">
        <v>0</v>
      </c>
      <c r="G53" s="7">
        <v>-1.4990516053215155E-2</v>
      </c>
      <c r="H53" s="8">
        <v>0</v>
      </c>
      <c r="I53" s="8">
        <v>0</v>
      </c>
      <c r="J53" s="33">
        <v>0</v>
      </c>
      <c r="K53" s="33">
        <v>0</v>
      </c>
      <c r="P53">
        <v>0</v>
      </c>
      <c r="Q53">
        <v>0</v>
      </c>
      <c r="R53">
        <v>0.42056756019660768</v>
      </c>
    </row>
    <row r="54" spans="1:24">
      <c r="A54" s="7"/>
      <c r="B54" s="8"/>
      <c r="C54" s="8"/>
      <c r="D54" s="8"/>
      <c r="E54" s="7"/>
      <c r="F54" s="7"/>
      <c r="G54" s="7"/>
      <c r="H54" s="7"/>
      <c r="I54" s="7"/>
      <c r="J54" s="7"/>
      <c r="K54" s="7"/>
    </row>
    <row r="55" spans="1:24">
      <c r="A55" s="7"/>
      <c r="B55" s="8">
        <v>-1.253875629566908</v>
      </c>
      <c r="C55" s="8">
        <v>-3.2592166127769939E-2</v>
      </c>
      <c r="D55" s="8">
        <v>0.73934661383723232</v>
      </c>
      <c r="E55" s="7">
        <v>-1.4990516053215155E-2</v>
      </c>
      <c r="F55" s="8">
        <v>0</v>
      </c>
      <c r="G55" s="8">
        <v>0</v>
      </c>
      <c r="H55" s="33">
        <v>0</v>
      </c>
      <c r="I55" s="7">
        <v>0</v>
      </c>
      <c r="J55" s="7">
        <v>0</v>
      </c>
      <c r="K55" s="7">
        <v>0</v>
      </c>
      <c r="M55">
        <f t="shared" ref="M55" si="36">MDETERM(B55:D57)</f>
        <v>0.51933697717165062</v>
      </c>
      <c r="N55">
        <f t="shared" ref="N55" si="37">MDETERM(E55:G57)</f>
        <v>-3.3686023826032914E-6</v>
      </c>
      <c r="P55">
        <f t="array" ref="P55:R57">SVDD(B55:D57)</f>
        <v>3.3412903551279411</v>
      </c>
      <c r="Q55">
        <v>0</v>
      </c>
      <c r="R55">
        <v>0</v>
      </c>
      <c r="S55" s="3">
        <f t="shared" ref="S55" si="38">MAX(P55,Q56,R57)/MIN(P55,Q56,R57)</f>
        <v>35.570359419370689</v>
      </c>
    </row>
    <row r="56" spans="1:24">
      <c r="A56" s="7" t="s">
        <v>29</v>
      </c>
      <c r="B56" s="8">
        <v>-1.0351585166444348</v>
      </c>
      <c r="C56" s="8">
        <v>2.1037449841221099</v>
      </c>
      <c r="D56" s="8">
        <v>0.82913701269133588</v>
      </c>
      <c r="E56" s="7">
        <v>0</v>
      </c>
      <c r="F56" s="7">
        <v>-1.4990516053215155E-2</v>
      </c>
      <c r="G56" s="8">
        <v>0</v>
      </c>
      <c r="H56" s="8">
        <v>0</v>
      </c>
      <c r="I56" s="33">
        <v>0</v>
      </c>
      <c r="J56" s="7">
        <v>0</v>
      </c>
      <c r="K56" s="7">
        <v>0</v>
      </c>
      <c r="P56">
        <v>0</v>
      </c>
      <c r="Q56">
        <v>1.6546611308717385</v>
      </c>
      <c r="R56">
        <v>0</v>
      </c>
    </row>
    <row r="57" spans="1:24">
      <c r="A57" s="7"/>
      <c r="B57" s="8">
        <v>-2.5457845528396139E-2</v>
      </c>
      <c r="C57" s="8">
        <v>2.3667658472617719</v>
      </c>
      <c r="D57" s="8">
        <v>6.368425350466822E-2</v>
      </c>
      <c r="E57" s="7">
        <v>0</v>
      </c>
      <c r="F57" s="8">
        <v>0</v>
      </c>
      <c r="G57" s="7">
        <v>-1.4990516053215155E-2</v>
      </c>
      <c r="H57" s="8">
        <v>0</v>
      </c>
      <c r="I57" s="8">
        <v>0</v>
      </c>
      <c r="J57" s="33">
        <v>0</v>
      </c>
      <c r="K57" s="33">
        <v>0</v>
      </c>
      <c r="P57">
        <v>0</v>
      </c>
      <c r="Q57">
        <v>0</v>
      </c>
      <c r="R57">
        <v>9.3934680719260921E-2</v>
      </c>
    </row>
    <row r="58" spans="1:24">
      <c r="A58" s="7"/>
      <c r="B58" s="8"/>
      <c r="C58" s="8"/>
      <c r="D58" s="8"/>
      <c r="E58" s="7"/>
      <c r="F58" s="7"/>
      <c r="G58" s="7"/>
      <c r="H58" s="7"/>
      <c r="I58" s="7"/>
      <c r="J58" s="7"/>
      <c r="K58" s="7"/>
    </row>
    <row r="59" spans="1:24">
      <c r="A59" s="7"/>
      <c r="B59" s="8">
        <v>-1.253875629566908</v>
      </c>
      <c r="C59" s="8">
        <v>-3.2592166127769939E-2</v>
      </c>
      <c r="D59" s="8">
        <v>0.73934661383723232</v>
      </c>
      <c r="E59" s="7">
        <v>-1.4990516053215155E-2</v>
      </c>
      <c r="F59" s="8">
        <v>0</v>
      </c>
      <c r="G59" s="8">
        <v>0</v>
      </c>
      <c r="H59" s="33">
        <v>0</v>
      </c>
      <c r="I59" s="7">
        <v>0</v>
      </c>
      <c r="J59" s="7">
        <v>0</v>
      </c>
      <c r="K59" s="7">
        <v>0</v>
      </c>
      <c r="M59">
        <f t="shared" ref="M59" si="39">MDETERM(B59:D61)</f>
        <v>3.1267934701565783</v>
      </c>
      <c r="N59">
        <f t="shared" ref="N59" si="40">MDETERM(E59:G61)</f>
        <v>-3.3686023826032914E-6</v>
      </c>
      <c r="P59">
        <f t="array" ref="P59:R61">SVDD(B59:D61)</f>
        <v>3.2249316236158738</v>
      </c>
      <c r="Q59">
        <v>0</v>
      </c>
      <c r="R59">
        <v>0</v>
      </c>
      <c r="S59" s="3">
        <f t="shared" ref="S59" si="41">MAX(P59,Q60,R61)/MIN(P59,Q60,R61)</f>
        <v>4.8602217427722341</v>
      </c>
    </row>
    <row r="60" spans="1:24">
      <c r="A60" s="7" t="s">
        <v>30</v>
      </c>
      <c r="B60" s="8">
        <v>0.58367185674448252</v>
      </c>
      <c r="C60" s="8">
        <v>2.0841504898711007</v>
      </c>
      <c r="D60" s="8">
        <v>0.75171422039661484</v>
      </c>
      <c r="E60" s="7">
        <v>0</v>
      </c>
      <c r="F60" s="7">
        <v>-1.4990516053215155E-2</v>
      </c>
      <c r="G60" s="8">
        <v>0</v>
      </c>
      <c r="H60" s="8">
        <v>0</v>
      </c>
      <c r="I60" s="33">
        <v>0</v>
      </c>
      <c r="J60" s="7">
        <v>0</v>
      </c>
      <c r="K60" s="7">
        <v>0</v>
      </c>
      <c r="P60">
        <v>0</v>
      </c>
      <c r="Q60">
        <v>1.4612154594980757</v>
      </c>
      <c r="R60">
        <v>0</v>
      </c>
      <c r="X60" s="3"/>
    </row>
    <row r="61" spans="1:24">
      <c r="A61" s="7"/>
      <c r="B61" s="8">
        <v>-2.5457845528396139E-2</v>
      </c>
      <c r="C61" s="8">
        <v>2.3667658472617719</v>
      </c>
      <c r="D61" s="8">
        <v>6.368425350466822E-2</v>
      </c>
      <c r="E61" s="7">
        <v>0</v>
      </c>
      <c r="F61" s="8">
        <v>0</v>
      </c>
      <c r="G61" s="7">
        <v>-1.4990516053215155E-2</v>
      </c>
      <c r="H61" s="8">
        <v>0</v>
      </c>
      <c r="I61" s="8">
        <v>0</v>
      </c>
      <c r="J61" s="33">
        <v>0</v>
      </c>
      <c r="K61" s="33">
        <v>0</v>
      </c>
      <c r="P61">
        <v>0</v>
      </c>
      <c r="Q61">
        <v>0</v>
      </c>
      <c r="R61">
        <v>0.66353590315333988</v>
      </c>
      <c r="X61" s="3"/>
    </row>
    <row r="62" spans="1:24">
      <c r="A62" s="7"/>
      <c r="B62" s="8"/>
      <c r="C62" s="8"/>
      <c r="D62" s="8"/>
      <c r="E62" s="7"/>
      <c r="F62" s="7"/>
      <c r="G62" s="7"/>
      <c r="H62" s="7"/>
      <c r="I62" s="7"/>
      <c r="J62" s="7"/>
      <c r="K62" s="7"/>
      <c r="X62" s="3"/>
    </row>
    <row r="63" spans="1:24">
      <c r="A63" s="7"/>
      <c r="B63" s="8">
        <v>1.0419123890112216</v>
      </c>
      <c r="C63" s="8">
        <v>-4.0818532431212473E-2</v>
      </c>
      <c r="D63" s="8">
        <v>0.77248383184656022</v>
      </c>
      <c r="E63" s="7">
        <v>-1.4990516053215155E-2</v>
      </c>
      <c r="F63" s="8">
        <v>0</v>
      </c>
      <c r="G63" s="8">
        <v>0</v>
      </c>
      <c r="H63" s="33">
        <v>-2.1796664656245589E-2</v>
      </c>
      <c r="I63" s="7">
        <v>2.2872089329671663E-2</v>
      </c>
      <c r="J63" s="7">
        <v>0</v>
      </c>
      <c r="K63" s="7">
        <v>0</v>
      </c>
      <c r="M63">
        <f t="shared" ref="M63" si="42">MDETERM(B63:D65)</f>
        <v>-2.2377131614660732</v>
      </c>
      <c r="N63">
        <f t="shared" ref="N63" si="43">MDETERM(E63:G65)</f>
        <v>-3.3686023826032914E-6</v>
      </c>
      <c r="P63">
        <f t="array" ref="P63:R65">SVDD(B63:D65)</f>
        <v>2.3451521789295224</v>
      </c>
      <c r="Q63">
        <v>0</v>
      </c>
      <c r="R63">
        <v>0</v>
      </c>
      <c r="S63" s="3">
        <f t="shared" ref="S63" si="44">MAX(P63,Q64,R65)/MIN(P63,Q64,R65)</f>
        <v>4.1121618081555962</v>
      </c>
      <c r="X63" s="3"/>
    </row>
    <row r="64" spans="1:24">
      <c r="A64" s="7" t="s">
        <v>31</v>
      </c>
      <c r="B64" s="8">
        <v>-1.4028471761352286</v>
      </c>
      <c r="C64" s="8">
        <v>0.814665459345566</v>
      </c>
      <c r="D64" s="8">
        <v>0.7195871750303805</v>
      </c>
      <c r="E64" s="7">
        <v>0</v>
      </c>
      <c r="F64" s="7">
        <v>-1.4990516053215155E-2</v>
      </c>
      <c r="G64" s="8">
        <v>0</v>
      </c>
      <c r="H64" s="8">
        <v>-2.1796664656245589E-2</v>
      </c>
      <c r="I64" s="33">
        <v>0</v>
      </c>
      <c r="J64" s="7">
        <v>2.2385887789414392E-2</v>
      </c>
      <c r="K64" s="7">
        <v>0</v>
      </c>
      <c r="P64">
        <v>0</v>
      </c>
      <c r="Q64">
        <v>1.6731410402008109</v>
      </c>
      <c r="R64">
        <v>0</v>
      </c>
      <c r="X64" s="3"/>
    </row>
    <row r="65" spans="1:24">
      <c r="A65" s="7"/>
      <c r="B65" s="8">
        <v>1.4421025939282253</v>
      </c>
      <c r="C65" s="8">
        <v>1.0431877148697888</v>
      </c>
      <c r="D65" s="8">
        <v>0.78932433807079116</v>
      </c>
      <c r="E65" s="7">
        <v>0</v>
      </c>
      <c r="F65" s="8">
        <v>0</v>
      </c>
      <c r="G65" s="7">
        <v>-1.4990516053215155E-2</v>
      </c>
      <c r="H65" s="8">
        <v>-2.1796664656245589E-2</v>
      </c>
      <c r="I65" s="8">
        <v>0</v>
      </c>
      <c r="J65" s="33">
        <v>0</v>
      </c>
      <c r="K65" s="33">
        <v>1.6236379226863738E-2</v>
      </c>
      <c r="P65">
        <v>0</v>
      </c>
      <c r="Q65">
        <v>0</v>
      </c>
      <c r="R65">
        <v>0.57029666835541659</v>
      </c>
      <c r="X65" s="3"/>
    </row>
    <row r="66" spans="1:24">
      <c r="A66" s="7"/>
      <c r="B66" s="8"/>
      <c r="C66" s="8"/>
      <c r="D66" s="8"/>
      <c r="E66" s="7"/>
      <c r="F66" s="7"/>
      <c r="G66" s="7"/>
      <c r="H66" s="7"/>
      <c r="I66" s="7"/>
      <c r="J66" s="7"/>
      <c r="K66" s="7"/>
      <c r="X66" s="3"/>
    </row>
    <row r="67" spans="1:24">
      <c r="A67" s="7"/>
      <c r="B67" s="8">
        <v>1.0419123890112216</v>
      </c>
      <c r="C67" s="8">
        <v>-4.0818532431212473E-2</v>
      </c>
      <c r="D67" s="8">
        <v>0.77248383184656022</v>
      </c>
      <c r="E67" s="7">
        <v>-1.4990516053215155E-2</v>
      </c>
      <c r="F67" s="8">
        <v>0</v>
      </c>
      <c r="G67" s="8">
        <v>0</v>
      </c>
      <c r="H67" s="33">
        <v>-2.1796664656245589E-2</v>
      </c>
      <c r="I67" s="7">
        <v>2.2872089329671663E-2</v>
      </c>
      <c r="J67" s="7">
        <v>0</v>
      </c>
      <c r="K67" s="7">
        <v>0</v>
      </c>
      <c r="M67">
        <f t="shared" ref="M67" si="45">MDETERM(B67:D69)</f>
        <v>-2.5189070742544719</v>
      </c>
      <c r="N67">
        <f t="shared" ref="N67" si="46">MDETERM(E67:G69)</f>
        <v>-3.3686023826032914E-6</v>
      </c>
      <c r="P67">
        <f t="array" ref="P67:R69">SVDD(B67:D69)</f>
        <v>2.975443089335613</v>
      </c>
      <c r="Q67">
        <v>0</v>
      </c>
      <c r="R67">
        <v>0</v>
      </c>
      <c r="S67" s="3">
        <f t="shared" ref="S67" si="47">MAX(P67,Q68,R69)/MIN(P67,Q68,R69)</f>
        <v>4.6589206831506358</v>
      </c>
      <c r="X67" s="3"/>
    </row>
    <row r="68" spans="1:24">
      <c r="A68" s="7" t="s">
        <v>32</v>
      </c>
      <c r="B68" s="8">
        <v>-1.4028471761352286</v>
      </c>
      <c r="C68" s="8">
        <v>0.814665459345566</v>
      </c>
      <c r="D68" s="8">
        <v>0.7195871750303805</v>
      </c>
      <c r="E68" s="7">
        <v>0</v>
      </c>
      <c r="F68" s="7">
        <v>-1.4990516053215155E-2</v>
      </c>
      <c r="G68" s="8">
        <v>0</v>
      </c>
      <c r="H68" s="8">
        <v>-2.1796664656245589E-2</v>
      </c>
      <c r="I68" s="33">
        <v>0</v>
      </c>
      <c r="J68" s="7">
        <v>2.2385887789414392E-2</v>
      </c>
      <c r="K68" s="7">
        <v>0</v>
      </c>
      <c r="P68">
        <v>0</v>
      </c>
      <c r="Q68">
        <v>1.3255440567243852</v>
      </c>
      <c r="R68">
        <v>0</v>
      </c>
      <c r="X68" s="3"/>
    </row>
    <row r="69" spans="1:24">
      <c r="A69" s="7"/>
      <c r="B69" s="8">
        <v>-1.0351585166444348</v>
      </c>
      <c r="C69" s="8">
        <v>2.1037449841221099</v>
      </c>
      <c r="D69" s="8">
        <v>0.82913701269133588</v>
      </c>
      <c r="E69" s="7">
        <v>0</v>
      </c>
      <c r="F69" s="8">
        <v>0</v>
      </c>
      <c r="G69" s="7">
        <v>-1.4990516053215155E-2</v>
      </c>
      <c r="H69" s="8">
        <v>-2.1796664656245589E-2</v>
      </c>
      <c r="I69" s="8">
        <v>0</v>
      </c>
      <c r="J69" s="33">
        <v>0</v>
      </c>
      <c r="K69" s="33">
        <v>1.5970575730977998E-2</v>
      </c>
      <c r="P69">
        <v>0</v>
      </c>
      <c r="Q69">
        <v>0</v>
      </c>
      <c r="R69">
        <v>0.6386550215582214</v>
      </c>
      <c r="X69" s="3"/>
    </row>
    <row r="70" spans="1:24">
      <c r="A70" s="7"/>
      <c r="B70" s="8"/>
      <c r="C70" s="8"/>
      <c r="D70" s="8"/>
      <c r="E70" s="7"/>
      <c r="F70" s="7"/>
      <c r="G70" s="7"/>
      <c r="H70" s="7"/>
      <c r="I70" s="7"/>
      <c r="J70" s="7"/>
      <c r="K70" s="7"/>
      <c r="X70" s="3"/>
    </row>
    <row r="71" spans="1:24">
      <c r="A71" s="7"/>
      <c r="B71" s="8">
        <v>1.0419123890112216</v>
      </c>
      <c r="C71" s="8">
        <v>-4.0818532431212473E-2</v>
      </c>
      <c r="D71" s="8">
        <v>0.77248383184656022</v>
      </c>
      <c r="E71" s="7">
        <v>-1.4990516053215155E-2</v>
      </c>
      <c r="F71" s="8">
        <v>0</v>
      </c>
      <c r="G71" s="8">
        <v>0</v>
      </c>
      <c r="H71" s="33">
        <v>0</v>
      </c>
      <c r="I71" s="7">
        <v>0</v>
      </c>
      <c r="J71" s="7">
        <v>0</v>
      </c>
      <c r="K71" s="7">
        <v>0</v>
      </c>
      <c r="M71">
        <f t="shared" ref="M71" si="48">MDETERM(B71:D73)</f>
        <v>-3.6105706827739761</v>
      </c>
      <c r="N71">
        <f t="shared" ref="N71" si="49">MDETERM(E71:G73)</f>
        <v>-3.3686023826032914E-6</v>
      </c>
      <c r="P71">
        <f t="array" ref="P71:R73">SVDD(B71:D73)</f>
        <v>2.4591288090582286</v>
      </c>
      <c r="Q71">
        <v>0</v>
      </c>
      <c r="R71">
        <v>0</v>
      </c>
      <c r="S71" s="3">
        <f t="shared" ref="S71" si="50">MAX(P71,Q72,R73)/MIN(P71,Q72,R73)</f>
        <v>3.0892013418031681</v>
      </c>
      <c r="X71" s="3"/>
    </row>
    <row r="72" spans="1:24">
      <c r="A72" s="7" t="s">
        <v>33</v>
      </c>
      <c r="B72" s="8">
        <v>-1.4028471761352286</v>
      </c>
      <c r="C72" s="8">
        <v>0.814665459345566</v>
      </c>
      <c r="D72" s="8">
        <v>0.7195871750303805</v>
      </c>
      <c r="E72" s="7">
        <v>0</v>
      </c>
      <c r="F72" s="7">
        <v>-1.4990516053215155E-2</v>
      </c>
      <c r="G72" s="8">
        <v>0</v>
      </c>
      <c r="H72" s="8">
        <v>0</v>
      </c>
      <c r="I72" s="33">
        <v>0</v>
      </c>
      <c r="J72" s="7">
        <v>0</v>
      </c>
      <c r="K72" s="7">
        <v>0</v>
      </c>
      <c r="P72">
        <v>0</v>
      </c>
      <c r="Q72">
        <v>1.8444186752233112</v>
      </c>
      <c r="R72">
        <v>0</v>
      </c>
      <c r="X72" s="3"/>
    </row>
    <row r="73" spans="1:24">
      <c r="A73" s="7"/>
      <c r="B73" s="8">
        <v>0.58367185674448252</v>
      </c>
      <c r="C73" s="8">
        <v>2.0841504898711007</v>
      </c>
      <c r="D73" s="8">
        <v>0.75171422039661484</v>
      </c>
      <c r="E73" s="7">
        <v>0</v>
      </c>
      <c r="F73" s="8">
        <v>0</v>
      </c>
      <c r="G73" s="7">
        <v>-1.4990516053215155E-2</v>
      </c>
      <c r="H73" s="8">
        <v>0</v>
      </c>
      <c r="I73" s="8">
        <v>0</v>
      </c>
      <c r="J73" s="33">
        <v>0</v>
      </c>
      <c r="K73" s="33">
        <v>0</v>
      </c>
      <c r="P73">
        <v>0</v>
      </c>
      <c r="Q73">
        <v>0</v>
      </c>
      <c r="R73">
        <v>0.79604031494523242</v>
      </c>
      <c r="X73" s="3"/>
    </row>
    <row r="74" spans="1:24">
      <c r="A74" s="7"/>
      <c r="B74" s="8"/>
      <c r="C74" s="8"/>
      <c r="D74" s="8"/>
      <c r="E74" s="7"/>
      <c r="F74" s="7"/>
      <c r="G74" s="7"/>
      <c r="H74" s="7"/>
      <c r="I74" s="7"/>
      <c r="J74" s="7"/>
      <c r="K74" s="7"/>
      <c r="X74" s="3"/>
    </row>
    <row r="75" spans="1:24">
      <c r="A75" s="7"/>
      <c r="B75" s="8">
        <v>1.0419123890112216</v>
      </c>
      <c r="C75" s="8">
        <v>-4.0818532431212473E-2</v>
      </c>
      <c r="D75" s="8">
        <v>0.77248383184656022</v>
      </c>
      <c r="E75" s="7">
        <v>-1.4990516053215155E-2</v>
      </c>
      <c r="F75" s="8">
        <v>0</v>
      </c>
      <c r="G75" s="8">
        <v>0</v>
      </c>
      <c r="H75" s="33">
        <v>-2.1796664656245589E-2</v>
      </c>
      <c r="I75" s="7">
        <v>2.2872089329671663E-2</v>
      </c>
      <c r="J75" s="7">
        <v>0</v>
      </c>
      <c r="K75" s="7">
        <v>0</v>
      </c>
      <c r="M75">
        <f t="shared" ref="M75" si="51">MDETERM(B75:D77)</f>
        <v>-4.2721063303758733</v>
      </c>
      <c r="N75">
        <f t="shared" ref="N75" si="52">MDETERM(E75:G77)</f>
        <v>-3.3686023826032914E-6</v>
      </c>
      <c r="P75">
        <f t="array" ref="P75:R77">SVDD(B75:D77)</f>
        <v>2.6054507303709133</v>
      </c>
      <c r="Q75">
        <v>0</v>
      </c>
      <c r="R75">
        <v>0</v>
      </c>
      <c r="S75" s="3">
        <f t="shared" ref="S75" si="53">MAX(P75,Q76,R77)/MIN(P75,Q76,R77)</f>
        <v>2.5761959575841629</v>
      </c>
      <c r="X75" s="3"/>
    </row>
    <row r="76" spans="1:24">
      <c r="A76" s="7" t="s">
        <v>34</v>
      </c>
      <c r="B76" s="8">
        <v>-1.4028471761352286</v>
      </c>
      <c r="C76" s="8">
        <v>0.814665459345566</v>
      </c>
      <c r="D76" s="8">
        <v>0.7195871750303805</v>
      </c>
      <c r="E76" s="7">
        <v>0</v>
      </c>
      <c r="F76" s="7">
        <v>-1.4990516053215155E-2</v>
      </c>
      <c r="G76" s="8">
        <v>0</v>
      </c>
      <c r="H76" s="8">
        <v>-2.1796664656245589E-2</v>
      </c>
      <c r="I76" s="33">
        <v>0</v>
      </c>
      <c r="J76" s="7">
        <v>2.2385887789414392E-2</v>
      </c>
      <c r="K76" s="7">
        <v>0</v>
      </c>
      <c r="P76">
        <v>0</v>
      </c>
      <c r="Q76">
        <v>1.6212695198755724</v>
      </c>
      <c r="R76">
        <v>0</v>
      </c>
      <c r="X76" s="3"/>
    </row>
    <row r="77" spans="1:24">
      <c r="A77" s="7"/>
      <c r="B77" s="8">
        <v>-2.5457845528396139E-2</v>
      </c>
      <c r="C77" s="8">
        <v>2.3667658472617719</v>
      </c>
      <c r="D77" s="8">
        <v>6.368425350466822E-2</v>
      </c>
      <c r="E77" s="7">
        <v>0</v>
      </c>
      <c r="F77" s="8">
        <v>0</v>
      </c>
      <c r="G77" s="7">
        <v>-1.4990516053215155E-2</v>
      </c>
      <c r="H77" s="8">
        <v>-2.1796664656245589E-2</v>
      </c>
      <c r="I77" s="8">
        <v>0</v>
      </c>
      <c r="J77" s="33">
        <v>0</v>
      </c>
      <c r="K77" s="33">
        <v>2.0521745021313972E-2</v>
      </c>
      <c r="P77">
        <v>0</v>
      </c>
      <c r="Q77">
        <v>0</v>
      </c>
      <c r="R77">
        <v>1.0113558026130063</v>
      </c>
      <c r="X77" s="3"/>
    </row>
    <row r="78" spans="1:24">
      <c r="A78" s="7"/>
      <c r="B78" s="8"/>
      <c r="C78" s="8"/>
      <c r="D78" s="8"/>
      <c r="E78" s="7"/>
      <c r="F78" s="7"/>
      <c r="G78" s="7"/>
      <c r="H78" s="7"/>
      <c r="I78" s="7"/>
      <c r="J78" s="7"/>
      <c r="K78" s="7"/>
      <c r="X78" s="3"/>
    </row>
    <row r="79" spans="1:24">
      <c r="A79" s="7"/>
      <c r="B79" s="8">
        <v>1.0419123890112216</v>
      </c>
      <c r="C79" s="8">
        <v>-4.0818532431212473E-2</v>
      </c>
      <c r="D79" s="8">
        <v>0.77248383184656022</v>
      </c>
      <c r="E79" s="7">
        <v>-1.4990516053215155E-2</v>
      </c>
      <c r="F79" s="8">
        <v>0</v>
      </c>
      <c r="G79" s="8">
        <v>0</v>
      </c>
      <c r="H79" s="33">
        <v>-2.1796664656245589E-2</v>
      </c>
      <c r="I79" s="7">
        <v>2.2872089329671663E-2</v>
      </c>
      <c r="J79" s="7">
        <v>0</v>
      </c>
      <c r="K79" s="7">
        <v>0</v>
      </c>
      <c r="M79">
        <f t="shared" ref="M79" si="54">MDETERM(B79:D81)</f>
        <v>2.4309737315091069</v>
      </c>
      <c r="N79">
        <f t="shared" ref="N79" si="55">MDETERM(E79:G81)</f>
        <v>-3.3686023826032914E-6</v>
      </c>
      <c r="P79">
        <f t="array" ref="P79:R81">SVDD(B79:D81)</f>
        <v>2.6138433346780006</v>
      </c>
      <c r="Q79">
        <v>0</v>
      </c>
      <c r="R79">
        <v>0</v>
      </c>
      <c r="S79" s="3">
        <f t="shared" ref="S79" si="56">MAX(P79,Q80,R81)/MIN(P79,Q80,R81)</f>
        <v>6.0546724397063105</v>
      </c>
      <c r="X79" s="3"/>
    </row>
    <row r="80" spans="1:24">
      <c r="A80" s="7" t="s">
        <v>35</v>
      </c>
      <c r="B80" s="8">
        <v>1.4421025939282253</v>
      </c>
      <c r="C80" s="8">
        <v>1.0431877148697888</v>
      </c>
      <c r="D80" s="8">
        <v>0.78932433807079116</v>
      </c>
      <c r="E80" s="7">
        <v>0</v>
      </c>
      <c r="F80" s="7">
        <v>-1.4990516053215155E-2</v>
      </c>
      <c r="G80" s="8">
        <v>0</v>
      </c>
      <c r="H80" s="8">
        <v>-2.1796664656245589E-2</v>
      </c>
      <c r="I80" s="33">
        <v>0</v>
      </c>
      <c r="J80" s="7">
        <v>1.6236379226863738E-2</v>
      </c>
      <c r="K80" s="7">
        <v>0</v>
      </c>
      <c r="P80">
        <v>0</v>
      </c>
      <c r="Q80">
        <v>2.1543279251540266</v>
      </c>
      <c r="R80">
        <v>0</v>
      </c>
      <c r="X80" s="3"/>
    </row>
    <row r="81" spans="1:24">
      <c r="A81" s="7"/>
      <c r="B81" s="8">
        <v>-1.0351585166444348</v>
      </c>
      <c r="C81" s="8">
        <v>2.1037449841221099</v>
      </c>
      <c r="D81" s="8">
        <v>0.82913701269133588</v>
      </c>
      <c r="E81" s="7">
        <v>0</v>
      </c>
      <c r="F81" s="8">
        <v>0</v>
      </c>
      <c r="G81" s="7">
        <v>-1.4990516053215155E-2</v>
      </c>
      <c r="H81" s="8">
        <v>-2.1796664656245589E-2</v>
      </c>
      <c r="I81" s="8">
        <v>0</v>
      </c>
      <c r="J81" s="33">
        <v>0</v>
      </c>
      <c r="K81" s="33">
        <v>1.5970575730977998E-2</v>
      </c>
      <c r="P81">
        <v>0</v>
      </c>
      <c r="Q81">
        <v>0</v>
      </c>
      <c r="R81">
        <v>0.43170681167432212</v>
      </c>
      <c r="X81" s="3"/>
    </row>
    <row r="82" spans="1:24">
      <c r="A82" s="7"/>
      <c r="B82" s="8"/>
      <c r="C82" s="8"/>
      <c r="D82" s="8"/>
      <c r="E82" s="7"/>
      <c r="F82" s="7"/>
      <c r="G82" s="7"/>
      <c r="H82" s="7"/>
      <c r="I82" s="7"/>
      <c r="J82" s="7"/>
      <c r="K82" s="7"/>
      <c r="X82" s="3"/>
    </row>
    <row r="83" spans="1:24">
      <c r="A83" s="7"/>
      <c r="B83" s="8">
        <v>1.0419123890112216</v>
      </c>
      <c r="C83" s="8">
        <v>-4.0818532431212473E-2</v>
      </c>
      <c r="D83" s="8">
        <v>0.77248383184656022</v>
      </c>
      <c r="E83" s="7">
        <v>-1.4990516053215155E-2</v>
      </c>
      <c r="F83" s="8">
        <v>0</v>
      </c>
      <c r="G83" s="8">
        <v>0</v>
      </c>
      <c r="H83" s="33">
        <v>0</v>
      </c>
      <c r="I83" s="7">
        <v>0</v>
      </c>
      <c r="J83" s="7">
        <v>0</v>
      </c>
      <c r="K83" s="7">
        <v>0</v>
      </c>
      <c r="M83">
        <f t="shared" ref="M83" si="57">MDETERM(B83:D85)</f>
        <v>0.97986641579425215</v>
      </c>
      <c r="N83">
        <f t="shared" ref="N83" si="58">MDETERM(E83:G85)</f>
        <v>-3.3686023826032914E-6</v>
      </c>
      <c r="P83">
        <f t="array" ref="P83:R85">SVDD(B83:D85)</f>
        <v>2.9773137805162069</v>
      </c>
      <c r="Q83">
        <v>0</v>
      </c>
      <c r="R83">
        <v>0</v>
      </c>
      <c r="S83" s="3">
        <f t="shared" ref="S83" si="59">MAX(P83,Q84,R85)/MIN(P83,Q84,R85)</f>
        <v>12.13640308765223</v>
      </c>
      <c r="X83" s="3"/>
    </row>
    <row r="84" spans="1:24">
      <c r="A84" s="7" t="s">
        <v>36</v>
      </c>
      <c r="B84" s="8">
        <v>1.4421025939282253</v>
      </c>
      <c r="C84" s="8">
        <v>1.0431877148697888</v>
      </c>
      <c r="D84" s="8">
        <v>0.78932433807079116</v>
      </c>
      <c r="E84" s="7">
        <v>0</v>
      </c>
      <c r="F84" s="7">
        <v>-1.4990516053215155E-2</v>
      </c>
      <c r="G84" s="8">
        <v>0</v>
      </c>
      <c r="H84" s="8">
        <v>0</v>
      </c>
      <c r="I84" s="33">
        <v>0</v>
      </c>
      <c r="J84" s="7">
        <v>0</v>
      </c>
      <c r="K84" s="7">
        <v>0</v>
      </c>
      <c r="P84">
        <v>0</v>
      </c>
      <c r="Q84">
        <v>1.341552429086726</v>
      </c>
      <c r="R84">
        <v>0</v>
      </c>
      <c r="X84" s="3"/>
    </row>
    <row r="85" spans="1:24">
      <c r="A85" s="7"/>
      <c r="B85" s="8">
        <v>0.58367185674448252</v>
      </c>
      <c r="C85" s="8">
        <v>2.0841504898711007</v>
      </c>
      <c r="D85" s="8">
        <v>0.75171422039661484</v>
      </c>
      <c r="E85" s="7">
        <v>0</v>
      </c>
      <c r="F85" s="8">
        <v>0</v>
      </c>
      <c r="G85" s="7">
        <v>-1.4990516053215155E-2</v>
      </c>
      <c r="H85" s="8">
        <v>0</v>
      </c>
      <c r="I85" s="8">
        <v>0</v>
      </c>
      <c r="J85" s="33">
        <v>0</v>
      </c>
      <c r="K85" s="33">
        <v>0</v>
      </c>
      <c r="P85">
        <v>0</v>
      </c>
      <c r="Q85">
        <v>0</v>
      </c>
      <c r="R85">
        <v>0.24532093726726772</v>
      </c>
      <c r="X85" s="3"/>
    </row>
    <row r="86" spans="1:24">
      <c r="A86" s="7"/>
      <c r="B86" s="8"/>
      <c r="C86" s="8"/>
      <c r="D86" s="8"/>
      <c r="E86" s="7"/>
      <c r="F86" s="7"/>
      <c r="G86" s="7"/>
      <c r="H86" s="7"/>
      <c r="I86" s="7"/>
      <c r="J86" s="7"/>
      <c r="K86" s="7"/>
      <c r="X86" s="3"/>
    </row>
    <row r="87" spans="1:24">
      <c r="A87" s="7"/>
      <c r="B87" s="8">
        <v>1.0419123890112216</v>
      </c>
      <c r="C87" s="8">
        <v>-4.0818532431212473E-2</v>
      </c>
      <c r="D87" s="8">
        <v>0.77248383184656022</v>
      </c>
      <c r="E87" s="7">
        <v>-1.4990516053215155E-2</v>
      </c>
      <c r="F87" s="8">
        <v>0</v>
      </c>
      <c r="G87" s="8">
        <v>0</v>
      </c>
      <c r="H87" s="33">
        <v>-2.1796664656245589E-2</v>
      </c>
      <c r="I87" s="7">
        <v>2.2872089329671663E-2</v>
      </c>
      <c r="J87" s="7">
        <v>0</v>
      </c>
      <c r="K87" s="7">
        <v>0</v>
      </c>
      <c r="M87">
        <f t="shared" ref="M87" si="60">MDETERM(B87:D89)</f>
        <v>0.7844381594919434</v>
      </c>
      <c r="N87">
        <f t="shared" ref="N87" si="61">MDETERM(E87:G89)</f>
        <v>-3.3686023826032914E-6</v>
      </c>
      <c r="P87">
        <f t="array" ref="P87:R89">SVDD(B87:D89)</f>
        <v>2.7529403786937126</v>
      </c>
      <c r="Q87">
        <v>0</v>
      </c>
      <c r="R87">
        <v>0</v>
      </c>
      <c r="S87" s="3">
        <f t="shared" ref="S87" si="62">MAX(P87,Q88,R89)/MIN(P87,Q88,R89)</f>
        <v>18.020767054039418</v>
      </c>
      <c r="X87" s="3"/>
    </row>
    <row r="88" spans="1:24">
      <c r="A88" s="7" t="s">
        <v>37</v>
      </c>
      <c r="B88" s="8">
        <v>1.4421025939282253</v>
      </c>
      <c r="C88" s="8">
        <v>1.0431877148697888</v>
      </c>
      <c r="D88" s="8">
        <v>0.78932433807079116</v>
      </c>
      <c r="E88" s="7">
        <v>0</v>
      </c>
      <c r="F88" s="7">
        <v>-1.4990516053215155E-2</v>
      </c>
      <c r="G88" s="8">
        <v>0</v>
      </c>
      <c r="H88" s="8">
        <v>-2.1796664656245589E-2</v>
      </c>
      <c r="I88" s="33">
        <v>0</v>
      </c>
      <c r="J88" s="7">
        <v>1.6236379226863738E-2</v>
      </c>
      <c r="K88" s="7">
        <v>0</v>
      </c>
      <c r="P88">
        <v>0</v>
      </c>
      <c r="Q88">
        <v>1.8652556885103455</v>
      </c>
      <c r="R88">
        <v>0</v>
      </c>
      <c r="X88" s="3"/>
    </row>
    <row r="89" spans="1:24">
      <c r="A89" s="7"/>
      <c r="B89" s="8">
        <v>-2.5457845528396139E-2</v>
      </c>
      <c r="C89" s="8">
        <v>2.3667658472617719</v>
      </c>
      <c r="D89" s="8">
        <v>6.368425350466822E-2</v>
      </c>
      <c r="E89" s="7">
        <v>0</v>
      </c>
      <c r="F89" s="8">
        <v>0</v>
      </c>
      <c r="G89" s="7">
        <v>-1.4990516053215155E-2</v>
      </c>
      <c r="H89" s="8">
        <v>-2.1796664656245589E-2</v>
      </c>
      <c r="I89" s="8">
        <v>0</v>
      </c>
      <c r="J89" s="33">
        <v>0</v>
      </c>
      <c r="K89" s="33">
        <v>2.0521745021313972E-2</v>
      </c>
      <c r="P89">
        <v>0</v>
      </c>
      <c r="Q89">
        <v>0</v>
      </c>
      <c r="R89">
        <v>0.15276488345020983</v>
      </c>
      <c r="X89" s="3"/>
    </row>
    <row r="90" spans="1:24">
      <c r="A90" s="7"/>
      <c r="B90" s="8"/>
      <c r="C90" s="8"/>
      <c r="D90" s="8"/>
      <c r="E90" s="7"/>
      <c r="F90" s="7"/>
      <c r="G90" s="7"/>
      <c r="H90" s="7"/>
      <c r="I90" s="7"/>
      <c r="J90" s="7"/>
      <c r="K90" s="7"/>
      <c r="X90" s="3"/>
    </row>
    <row r="91" spans="1:24">
      <c r="A91" s="7"/>
      <c r="B91" s="8">
        <v>1.0419123890112216</v>
      </c>
      <c r="C91" s="8">
        <v>-4.0818532431212473E-2</v>
      </c>
      <c r="D91" s="8">
        <v>0.77248383184656022</v>
      </c>
      <c r="E91" s="7">
        <v>-1.4990516053215155E-2</v>
      </c>
      <c r="F91" s="8">
        <v>0</v>
      </c>
      <c r="G91" s="8">
        <v>0</v>
      </c>
      <c r="H91" s="33">
        <v>0</v>
      </c>
      <c r="I91" s="7">
        <v>0</v>
      </c>
      <c r="J91" s="7">
        <v>0</v>
      </c>
      <c r="K91" s="7">
        <v>0</v>
      </c>
      <c r="M91">
        <f t="shared" ref="M91" si="63">MDETERM(B91:D93)</f>
        <v>-2.8194006933750488</v>
      </c>
      <c r="N91">
        <f t="shared" ref="N91" si="64">MDETERM(E91:G93)</f>
        <v>-3.3686023826032914E-6</v>
      </c>
      <c r="P91">
        <f t="array" ref="P91:R93">SVDD(B91:D93)</f>
        <v>3.1874855438542502</v>
      </c>
      <c r="Q91">
        <v>0</v>
      </c>
      <c r="R91">
        <v>0</v>
      </c>
      <c r="S91" s="3">
        <f t="shared" ref="S91" si="65">MAX(P91,Q92,R93)/MIN(P91,Q92,R93)</f>
        <v>5.8822782062311054</v>
      </c>
      <c r="X91" s="3"/>
    </row>
    <row r="92" spans="1:24">
      <c r="A92" s="7" t="s">
        <v>38</v>
      </c>
      <c r="B92" s="8">
        <v>-1.0351585166444348</v>
      </c>
      <c r="C92" s="8">
        <v>2.1037449841221099</v>
      </c>
      <c r="D92" s="8">
        <v>0.82913701269133588</v>
      </c>
      <c r="E92" s="7">
        <v>0</v>
      </c>
      <c r="F92" s="7">
        <v>-1.4990516053215155E-2</v>
      </c>
      <c r="G92" s="8">
        <v>0</v>
      </c>
      <c r="H92" s="8">
        <v>0</v>
      </c>
      <c r="I92" s="33">
        <v>0</v>
      </c>
      <c r="J92" s="7">
        <v>0</v>
      </c>
      <c r="K92" s="7">
        <v>0</v>
      </c>
      <c r="P92">
        <v>0</v>
      </c>
      <c r="Q92">
        <v>1.6323223064975287</v>
      </c>
      <c r="R92">
        <v>0</v>
      </c>
      <c r="X92" s="3"/>
    </row>
    <row r="93" spans="1:24">
      <c r="A93" s="7"/>
      <c r="B93" s="8">
        <v>0.58367185674448252</v>
      </c>
      <c r="C93" s="8">
        <v>2.0841504898711007</v>
      </c>
      <c r="D93" s="8">
        <v>0.75171422039661484</v>
      </c>
      <c r="E93" s="7">
        <v>0</v>
      </c>
      <c r="F93" s="8">
        <v>0</v>
      </c>
      <c r="G93" s="7">
        <v>-1.4990516053215155E-2</v>
      </c>
      <c r="H93" s="8">
        <v>0</v>
      </c>
      <c r="I93" s="8">
        <v>0</v>
      </c>
      <c r="J93" s="33">
        <v>0</v>
      </c>
      <c r="K93" s="33">
        <v>0</v>
      </c>
      <c r="P93">
        <v>0</v>
      </c>
      <c r="Q93">
        <v>0</v>
      </c>
      <c r="R93">
        <v>0.54187942700121572</v>
      </c>
      <c r="X93" s="3"/>
    </row>
    <row r="94" spans="1:24">
      <c r="A94" s="7"/>
      <c r="B94" s="8"/>
      <c r="C94" s="8"/>
      <c r="D94" s="8"/>
      <c r="E94" s="7"/>
      <c r="F94" s="7"/>
      <c r="G94" s="7"/>
      <c r="H94" s="7"/>
      <c r="I94" s="7"/>
      <c r="J94" s="7"/>
      <c r="K94" s="7"/>
      <c r="X94" s="3"/>
    </row>
    <row r="95" spans="1:24">
      <c r="A95" s="7"/>
      <c r="B95" s="8">
        <v>1.0419123890112216</v>
      </c>
      <c r="C95" s="8">
        <v>-4.0818532431212473E-2</v>
      </c>
      <c r="D95" s="8">
        <v>0.77248383184656022</v>
      </c>
      <c r="E95" s="7">
        <v>-1.4990516053215155E-2</v>
      </c>
      <c r="F95" s="8">
        <v>0</v>
      </c>
      <c r="G95" s="8">
        <v>0</v>
      </c>
      <c r="H95" s="33">
        <v>-2.1796664656245589E-2</v>
      </c>
      <c r="I95" s="7">
        <v>2.2872089329671663E-2</v>
      </c>
      <c r="J95" s="7">
        <v>0</v>
      </c>
      <c r="K95" s="7">
        <v>0</v>
      </c>
      <c r="M95">
        <f t="shared" ref="M95" si="66">MDETERM(B95:D97)</f>
        <v>-3.758056029213555</v>
      </c>
      <c r="N95">
        <f t="shared" ref="N95" si="67">MDETERM(E95:G97)</f>
        <v>-3.3686023826032914E-6</v>
      </c>
      <c r="P95">
        <f t="array" ref="P95:R97">SVDD(B95:D97)</f>
        <v>3.3139213619700745</v>
      </c>
      <c r="Q95">
        <v>0</v>
      </c>
      <c r="R95">
        <v>0</v>
      </c>
      <c r="S95" s="3">
        <f t="shared" ref="S95" si="68">MAX(P95,Q96,R97)/MIN(P95,Q96,R97)</f>
        <v>3.8811004351956018</v>
      </c>
      <c r="X95" s="3"/>
    </row>
    <row r="96" spans="1:24">
      <c r="A96" s="7" t="s">
        <v>39</v>
      </c>
      <c r="B96" s="8">
        <v>-1.0351585166444348</v>
      </c>
      <c r="C96" s="8">
        <v>2.1037449841221099</v>
      </c>
      <c r="D96" s="8">
        <v>0.82913701269133588</v>
      </c>
      <c r="E96" s="7">
        <v>0</v>
      </c>
      <c r="F96" s="7">
        <v>-1.4990516053215155E-2</v>
      </c>
      <c r="G96" s="8">
        <v>0</v>
      </c>
      <c r="H96" s="8">
        <v>-2.1796664656245589E-2</v>
      </c>
      <c r="I96" s="33">
        <v>0</v>
      </c>
      <c r="J96" s="7">
        <v>1.5970575730977998E-2</v>
      </c>
      <c r="K96" s="7">
        <v>0</v>
      </c>
      <c r="P96">
        <v>0</v>
      </c>
      <c r="Q96">
        <v>1.3281090472393997</v>
      </c>
      <c r="R96">
        <v>0</v>
      </c>
      <c r="X96" s="3"/>
    </row>
    <row r="97" spans="1:24">
      <c r="A97" s="7"/>
      <c r="B97" s="8">
        <v>-2.5457845528396139E-2</v>
      </c>
      <c r="C97" s="8">
        <v>2.3667658472617719</v>
      </c>
      <c r="D97" s="8">
        <v>6.368425350466822E-2</v>
      </c>
      <c r="E97" s="7">
        <v>0</v>
      </c>
      <c r="F97" s="8">
        <v>0</v>
      </c>
      <c r="G97" s="7">
        <v>-1.4990516053215155E-2</v>
      </c>
      <c r="H97" s="8">
        <v>-2.1796664656245589E-2</v>
      </c>
      <c r="I97" s="8">
        <v>0</v>
      </c>
      <c r="J97" s="33">
        <v>0</v>
      </c>
      <c r="K97" s="33">
        <v>2.0521745021313972E-2</v>
      </c>
      <c r="P97">
        <v>0</v>
      </c>
      <c r="Q97">
        <v>0</v>
      </c>
      <c r="R97">
        <v>0.8538612739618674</v>
      </c>
      <c r="X97" s="3"/>
    </row>
    <row r="98" spans="1:24">
      <c r="A98" s="7"/>
      <c r="B98" s="8"/>
      <c r="C98" s="8"/>
      <c r="D98" s="8"/>
      <c r="E98" s="7"/>
      <c r="F98" s="7"/>
      <c r="G98" s="7"/>
      <c r="H98" s="7"/>
      <c r="I98" s="7"/>
      <c r="J98" s="7"/>
      <c r="K98" s="7"/>
      <c r="X98" s="3"/>
    </row>
    <row r="99" spans="1:24">
      <c r="A99" s="7"/>
      <c r="B99" s="8">
        <v>1.0419123890112216</v>
      </c>
      <c r="C99" s="8">
        <v>-4.0818532431212473E-2</v>
      </c>
      <c r="D99" s="8">
        <v>0.77248383184656022</v>
      </c>
      <c r="E99" s="7">
        <v>-1.4990516053215155E-2</v>
      </c>
      <c r="F99" s="8">
        <v>0</v>
      </c>
      <c r="G99" s="8">
        <v>0</v>
      </c>
      <c r="H99" s="33">
        <v>0</v>
      </c>
      <c r="I99" s="7">
        <v>0</v>
      </c>
      <c r="J99" s="7">
        <v>0</v>
      </c>
      <c r="K99" s="7">
        <v>0</v>
      </c>
      <c r="M99">
        <f t="shared" ref="M99" si="69">MDETERM(B99:D101)</f>
        <v>-0.60500341153625614</v>
      </c>
      <c r="N99">
        <f t="shared" ref="N99" si="70">MDETERM(E99:G101)</f>
        <v>-3.3686023826032914E-6</v>
      </c>
      <c r="P99">
        <f t="array" ref="P99:R101">SVDD(B99:D101)</f>
        <v>3.2334541453705148</v>
      </c>
      <c r="Q99">
        <v>0</v>
      </c>
      <c r="R99">
        <v>0</v>
      </c>
      <c r="S99" s="3">
        <f t="shared" ref="S99" si="71">MAX(P99,Q100,R101)/MIN(P99,Q100,R101)</f>
        <v>24.848605975354669</v>
      </c>
      <c r="X99" s="3"/>
    </row>
    <row r="100" spans="1:24">
      <c r="A100" s="7" t="s">
        <v>40</v>
      </c>
      <c r="B100" s="8">
        <v>0.58367185674448252</v>
      </c>
      <c r="C100" s="8">
        <v>2.0841504898711007</v>
      </c>
      <c r="D100" s="8">
        <v>0.75171422039661484</v>
      </c>
      <c r="E100" s="7">
        <v>0</v>
      </c>
      <c r="F100" s="7">
        <v>-1.4990516053215155E-2</v>
      </c>
      <c r="G100" s="8">
        <v>0</v>
      </c>
      <c r="H100" s="8">
        <v>0</v>
      </c>
      <c r="I100" s="33">
        <v>0</v>
      </c>
      <c r="J100" s="7">
        <v>0</v>
      </c>
      <c r="K100" s="7">
        <v>0</v>
      </c>
      <c r="P100">
        <v>0</v>
      </c>
      <c r="Q100">
        <v>1.4378925719722622</v>
      </c>
      <c r="R100">
        <v>0</v>
      </c>
      <c r="X100" s="3"/>
    </row>
    <row r="101" spans="1:24">
      <c r="A101" s="7"/>
      <c r="B101" s="8">
        <v>-2.5457845528396139E-2</v>
      </c>
      <c r="C101" s="8">
        <v>2.3667658472617719</v>
      </c>
      <c r="D101" s="8">
        <v>6.368425350466822E-2</v>
      </c>
      <c r="E101" s="7">
        <v>0</v>
      </c>
      <c r="F101" s="8">
        <v>0</v>
      </c>
      <c r="G101" s="7">
        <v>-1.4990516053215155E-2</v>
      </c>
      <c r="H101" s="8">
        <v>0</v>
      </c>
      <c r="I101" s="8">
        <v>0</v>
      </c>
      <c r="J101" s="33">
        <v>0</v>
      </c>
      <c r="K101" s="33">
        <v>0</v>
      </c>
      <c r="P101">
        <v>0</v>
      </c>
      <c r="Q101">
        <v>0</v>
      </c>
      <c r="R101">
        <v>0.13012617885194516</v>
      </c>
      <c r="X101" s="3"/>
    </row>
    <row r="102" spans="1:24">
      <c r="A102" s="7"/>
      <c r="B102" s="8"/>
      <c r="C102" s="8"/>
      <c r="D102" s="8"/>
      <c r="E102" s="7"/>
      <c r="F102" s="7"/>
      <c r="G102" s="7"/>
      <c r="H102" s="7"/>
      <c r="I102" s="7"/>
      <c r="J102" s="7"/>
      <c r="K102" s="7"/>
      <c r="X102" s="3"/>
    </row>
    <row r="103" spans="1:24">
      <c r="A103" s="7"/>
      <c r="B103" s="8">
        <v>-1.4028471761352286</v>
      </c>
      <c r="C103" s="8">
        <v>0.814665459345566</v>
      </c>
      <c r="D103" s="8">
        <v>0.7195871750303805</v>
      </c>
      <c r="E103" s="7">
        <v>-1.4990516053215155E-2</v>
      </c>
      <c r="F103" s="8">
        <v>0</v>
      </c>
      <c r="G103" s="8">
        <v>0</v>
      </c>
      <c r="H103" s="33">
        <v>-2.1796664656245589E-2</v>
      </c>
      <c r="I103" s="7">
        <v>2.2385887789414392E-2</v>
      </c>
      <c r="J103" s="7">
        <v>0</v>
      </c>
      <c r="K103" s="7">
        <v>0</v>
      </c>
      <c r="M103">
        <f t="shared" ref="M103" si="72">MDETERM(B103:D105)</f>
        <v>2.4365058471453391</v>
      </c>
      <c r="N103">
        <f t="shared" ref="N103" si="73">MDETERM(E103:G105)</f>
        <v>-3.3686023826032914E-6</v>
      </c>
      <c r="P103">
        <f t="array" ref="P103:R105">SVDD(B103:D105)</f>
        <v>2.9750799152706904</v>
      </c>
      <c r="Q103">
        <v>0</v>
      </c>
      <c r="R103">
        <v>0</v>
      </c>
      <c r="S103" s="3">
        <f t="shared" ref="S103" si="74">MAX(P103,Q104,R105)/MIN(P103,Q104,R105)</f>
        <v>7.3654400484483462</v>
      </c>
      <c r="X103" s="3"/>
    </row>
    <row r="104" spans="1:24">
      <c r="A104" s="7" t="s">
        <v>41</v>
      </c>
      <c r="B104" s="8">
        <v>1.4421025939282253</v>
      </c>
      <c r="C104" s="8">
        <v>1.0431877148697888</v>
      </c>
      <c r="D104" s="8">
        <v>0.78932433807079116</v>
      </c>
      <c r="E104" s="7">
        <v>0</v>
      </c>
      <c r="F104" s="7">
        <v>-1.4990516053215155E-2</v>
      </c>
      <c r="G104" s="8">
        <v>0</v>
      </c>
      <c r="H104" s="8">
        <v>-2.1796664656245589E-2</v>
      </c>
      <c r="I104" s="33">
        <v>0</v>
      </c>
      <c r="J104" s="7">
        <v>1.6236379226863738E-2</v>
      </c>
      <c r="K104" s="7">
        <v>0</v>
      </c>
      <c r="P104">
        <v>0</v>
      </c>
      <c r="Q104">
        <v>2.0275374503189587</v>
      </c>
      <c r="R104">
        <v>0</v>
      </c>
      <c r="X104" s="3"/>
    </row>
    <row r="105" spans="1:24">
      <c r="A105" s="7"/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8">
        <v>0</v>
      </c>
      <c r="G105" s="7">
        <v>-1.4990516053215155E-2</v>
      </c>
      <c r="H105" s="8">
        <v>-2.1796664656245589E-2</v>
      </c>
      <c r="I105" s="8">
        <v>0</v>
      </c>
      <c r="J105" s="33">
        <v>0</v>
      </c>
      <c r="K105" s="33">
        <v>1.5970575730977998E-2</v>
      </c>
      <c r="P105">
        <v>0</v>
      </c>
      <c r="Q105">
        <v>0</v>
      </c>
      <c r="R105">
        <v>0.40392425920260405</v>
      </c>
      <c r="X105" s="3"/>
    </row>
    <row r="106" spans="1:24">
      <c r="A106" s="7"/>
      <c r="B106" s="8"/>
      <c r="C106" s="8"/>
      <c r="D106" s="8"/>
      <c r="E106" s="7"/>
      <c r="F106" s="7"/>
      <c r="G106" s="7"/>
      <c r="H106" s="7"/>
      <c r="I106" s="7"/>
      <c r="J106" s="7"/>
      <c r="K106" s="7"/>
      <c r="X106" s="3"/>
    </row>
    <row r="107" spans="1:24">
      <c r="A107" s="7"/>
      <c r="B107" s="8">
        <v>-1.4028471761352286</v>
      </c>
      <c r="C107" s="8">
        <v>0.814665459345566</v>
      </c>
      <c r="D107" s="8">
        <v>0.7195871750303805</v>
      </c>
      <c r="E107" s="7">
        <v>-1.4990516053215155E-2</v>
      </c>
      <c r="F107" s="8">
        <v>0</v>
      </c>
      <c r="G107" s="8">
        <v>0</v>
      </c>
      <c r="H107" s="33">
        <v>0</v>
      </c>
      <c r="I107" s="7">
        <v>0</v>
      </c>
      <c r="J107" s="7">
        <v>0</v>
      </c>
      <c r="K107" s="7">
        <v>0</v>
      </c>
      <c r="M107">
        <f t="shared" ref="M107" si="75">MDETERM(B107:D109)</f>
        <v>2.4245035797929879</v>
      </c>
      <c r="N107">
        <f t="shared" ref="N107" si="76">MDETERM(E107:G109)</f>
        <v>-3.3686023826032914E-6</v>
      </c>
      <c r="P107">
        <f t="array" ref="P107:R109">SVDD(B107:D109)</f>
        <v>2.8821447381519611</v>
      </c>
      <c r="Q107">
        <v>0</v>
      </c>
      <c r="R107">
        <v>0</v>
      </c>
      <c r="S107" s="3">
        <f t="shared" ref="S107" si="77">MAX(P107,Q108,R109)/MIN(P107,Q108,R109)</f>
        <v>6.5826761170413119</v>
      </c>
      <c r="X107" s="3"/>
    </row>
    <row r="108" spans="1:24">
      <c r="A108" s="7" t="s">
        <v>42</v>
      </c>
      <c r="B108" s="8">
        <v>1.4421025939282253</v>
      </c>
      <c r="C108" s="8">
        <v>1.0431877148697888</v>
      </c>
      <c r="D108" s="8">
        <v>0.78932433807079116</v>
      </c>
      <c r="E108" s="7">
        <v>0</v>
      </c>
      <c r="F108" s="7">
        <v>-1.4990516053215155E-2</v>
      </c>
      <c r="G108" s="8">
        <v>0</v>
      </c>
      <c r="H108" s="8">
        <v>0</v>
      </c>
      <c r="I108" s="33">
        <v>0</v>
      </c>
      <c r="J108" s="7">
        <v>0</v>
      </c>
      <c r="K108" s="7">
        <v>0</v>
      </c>
      <c r="P108">
        <v>0</v>
      </c>
      <c r="Q108">
        <v>1.9212936322480629</v>
      </c>
      <c r="R108">
        <v>0</v>
      </c>
      <c r="X108" s="3"/>
    </row>
    <row r="109" spans="1:24">
      <c r="A109" s="7"/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8">
        <v>0</v>
      </c>
      <c r="G109" s="7">
        <v>-1.4990516053215155E-2</v>
      </c>
      <c r="H109" s="8">
        <v>0</v>
      </c>
      <c r="I109" s="8">
        <v>0</v>
      </c>
      <c r="J109" s="33">
        <v>0</v>
      </c>
      <c r="K109" s="33">
        <v>0</v>
      </c>
      <c r="P109">
        <v>0</v>
      </c>
      <c r="Q109">
        <v>0</v>
      </c>
      <c r="R109">
        <v>0.43783784693441469</v>
      </c>
      <c r="X109" s="3"/>
    </row>
    <row r="110" spans="1:24">
      <c r="A110" s="7"/>
      <c r="B110" s="8"/>
      <c r="C110" s="8"/>
      <c r="D110" s="8"/>
      <c r="E110" s="7"/>
      <c r="F110" s="7"/>
      <c r="G110" s="7"/>
      <c r="H110" s="7"/>
      <c r="I110" s="7"/>
      <c r="J110" s="7"/>
      <c r="K110" s="7"/>
      <c r="X110" s="3"/>
    </row>
    <row r="111" spans="1:24">
      <c r="A111" s="7"/>
      <c r="B111" s="8">
        <v>-1.4028471761352286</v>
      </c>
      <c r="C111" s="8">
        <v>0.814665459345566</v>
      </c>
      <c r="D111" s="8">
        <v>0.7195871750303805</v>
      </c>
      <c r="E111" s="7">
        <v>-1.4990516053215155E-2</v>
      </c>
      <c r="F111" s="8">
        <v>0</v>
      </c>
      <c r="G111" s="8">
        <v>0</v>
      </c>
      <c r="H111" s="33">
        <v>-2.1796664656245589E-2</v>
      </c>
      <c r="I111" s="7">
        <v>2.2385887789414392E-2</v>
      </c>
      <c r="J111" s="7">
        <v>0</v>
      </c>
      <c r="K111" s="7">
        <v>0</v>
      </c>
      <c r="M111">
        <f t="shared" ref="M111" si="78">MDETERM(B111:D113)</f>
        <v>4.9114840879606803</v>
      </c>
      <c r="N111">
        <f t="shared" ref="N111" si="79">MDETERM(E111:G113)</f>
        <v>-3.3686023826032914E-6</v>
      </c>
      <c r="P111">
        <f t="array" ref="P111:R113">SVDD(B111:D113)</f>
        <v>2.7841841272498788</v>
      </c>
      <c r="Q111">
        <v>0</v>
      </c>
      <c r="R111">
        <v>0</v>
      </c>
      <c r="S111" s="3">
        <f t="shared" ref="S111" si="80">MAX(P111,Q112,R113)/MIN(P111,Q112,R113)</f>
        <v>3.1648692167093064</v>
      </c>
      <c r="X111" s="3"/>
    </row>
    <row r="112" spans="1:24">
      <c r="A112" s="7" t="s">
        <v>43</v>
      </c>
      <c r="B112" s="8">
        <v>1.4421025939282253</v>
      </c>
      <c r="C112" s="8">
        <v>1.0431877148697888</v>
      </c>
      <c r="D112" s="8">
        <v>0.78932433807079116</v>
      </c>
      <c r="E112" s="7">
        <v>0</v>
      </c>
      <c r="F112" s="7">
        <v>-1.4990516053215155E-2</v>
      </c>
      <c r="G112" s="8">
        <v>0</v>
      </c>
      <c r="H112" s="8">
        <v>-2.1796664656245589E-2</v>
      </c>
      <c r="I112" s="33">
        <v>0</v>
      </c>
      <c r="J112" s="7">
        <v>1.6236379226863738E-2</v>
      </c>
      <c r="K112" s="7">
        <v>0</v>
      </c>
      <c r="P112">
        <v>0</v>
      </c>
      <c r="Q112">
        <v>2.0052688298374828</v>
      </c>
      <c r="R112">
        <v>0</v>
      </c>
      <c r="X112" s="3"/>
    </row>
    <row r="113" spans="1:24">
      <c r="A113" s="7"/>
      <c r="B113" s="8">
        <v>-2.5457845528396139E-2</v>
      </c>
      <c r="C113" s="8">
        <v>2.3667658472617719</v>
      </c>
      <c r="D113" s="8">
        <v>6.368425350466822E-2</v>
      </c>
      <c r="E113" s="7">
        <v>0</v>
      </c>
      <c r="F113" s="8">
        <v>0</v>
      </c>
      <c r="G113" s="7">
        <v>-1.4990516053215155E-2</v>
      </c>
      <c r="H113" s="8">
        <v>-2.1796664656245589E-2</v>
      </c>
      <c r="I113" s="8">
        <v>0</v>
      </c>
      <c r="J113" s="33">
        <v>0</v>
      </c>
      <c r="K113" s="33">
        <v>2.0521745021313972E-2</v>
      </c>
      <c r="P113">
        <v>0</v>
      </c>
      <c r="Q113">
        <v>0</v>
      </c>
      <c r="R113">
        <v>0.87971538051254849</v>
      </c>
      <c r="X113" s="3"/>
    </row>
    <row r="114" spans="1:24">
      <c r="A114" s="7"/>
      <c r="B114" s="8"/>
      <c r="C114" s="8"/>
      <c r="D114" s="8"/>
      <c r="E114" s="7"/>
      <c r="F114" s="7"/>
      <c r="G114" s="7"/>
      <c r="H114" s="7"/>
      <c r="I114" s="7"/>
      <c r="J114" s="7"/>
      <c r="K114" s="7"/>
      <c r="X114" s="3"/>
    </row>
    <row r="115" spans="1:24">
      <c r="A115" s="7"/>
      <c r="B115" s="8">
        <v>-1.4028471761352286</v>
      </c>
      <c r="C115" s="8">
        <v>0.814665459345566</v>
      </c>
      <c r="D115" s="8">
        <v>0.7195871750303805</v>
      </c>
      <c r="E115" s="7">
        <v>-1.4990516053215155E-2</v>
      </c>
      <c r="F115" s="8">
        <v>0</v>
      </c>
      <c r="G115" s="8">
        <v>0</v>
      </c>
      <c r="H115" s="33">
        <v>0</v>
      </c>
      <c r="I115" s="7">
        <v>0</v>
      </c>
      <c r="J115" s="7">
        <v>0</v>
      </c>
      <c r="K115" s="7">
        <v>0</v>
      </c>
      <c r="M115">
        <f t="shared" ref="M115" si="81">MDETERM(B115:D117)</f>
        <v>-1.2021546853002527</v>
      </c>
      <c r="N115">
        <f t="shared" ref="N115" si="82">MDETERM(E115:G117)</f>
        <v>-3.3686023826032914E-6</v>
      </c>
      <c r="P115">
        <f t="array" ref="P115:R117">SVDD(B115:D117)</f>
        <v>3.4360355001316996</v>
      </c>
      <c r="Q115">
        <v>0</v>
      </c>
      <c r="R115">
        <v>0</v>
      </c>
      <c r="S115" s="3">
        <f t="shared" ref="S115" si="83">MAX(P115,Q116,R117)/MIN(P115,Q116,R117)</f>
        <v>16.234426054507814</v>
      </c>
      <c r="X115" s="3"/>
    </row>
    <row r="116" spans="1:24">
      <c r="A116" s="7" t="s">
        <v>44</v>
      </c>
      <c r="B116" s="8">
        <v>-1.0351585166444348</v>
      </c>
      <c r="C116" s="8">
        <v>2.1037449841221099</v>
      </c>
      <c r="D116" s="8">
        <v>0.82913701269133588</v>
      </c>
      <c r="E116" s="7">
        <v>0</v>
      </c>
      <c r="F116" s="7">
        <v>-1.4990516053215155E-2</v>
      </c>
      <c r="G116" s="8">
        <v>0</v>
      </c>
      <c r="H116" s="8">
        <v>0</v>
      </c>
      <c r="I116" s="33">
        <v>0</v>
      </c>
      <c r="J116" s="7">
        <v>0</v>
      </c>
      <c r="K116" s="7">
        <v>0</v>
      </c>
      <c r="P116">
        <v>0</v>
      </c>
      <c r="Q116">
        <v>1.6530348451544925</v>
      </c>
      <c r="R116">
        <v>0</v>
      </c>
      <c r="X116" s="3"/>
    </row>
    <row r="117" spans="1:24">
      <c r="A117" s="7"/>
      <c r="B117" s="8">
        <v>0.58367185674448252</v>
      </c>
      <c r="C117" s="8">
        <v>2.0841504898711007</v>
      </c>
      <c r="D117" s="8">
        <v>0.75171422039661484</v>
      </c>
      <c r="E117" s="7">
        <v>0</v>
      </c>
      <c r="F117" s="8">
        <v>0</v>
      </c>
      <c r="G117" s="7">
        <v>-1.4990516053215155E-2</v>
      </c>
      <c r="H117" s="8">
        <v>0</v>
      </c>
      <c r="I117" s="8">
        <v>0</v>
      </c>
      <c r="J117" s="33">
        <v>0</v>
      </c>
      <c r="K117" s="33">
        <v>0</v>
      </c>
      <c r="P117">
        <v>0</v>
      </c>
      <c r="Q117">
        <v>0</v>
      </c>
      <c r="R117">
        <v>0.21165118425468543</v>
      </c>
      <c r="X117" s="3"/>
    </row>
    <row r="118" spans="1:24">
      <c r="A118" s="7"/>
      <c r="B118" s="8"/>
      <c r="C118" s="8"/>
      <c r="D118" s="8"/>
      <c r="E118" s="7"/>
      <c r="F118" s="7"/>
      <c r="G118" s="7"/>
      <c r="H118" s="7"/>
      <c r="I118" s="7"/>
      <c r="J118" s="7"/>
      <c r="K118" s="7"/>
      <c r="X118" s="3"/>
    </row>
    <row r="119" spans="1:24">
      <c r="A119" s="7"/>
      <c r="B119" s="8">
        <v>-1.4028471761352286</v>
      </c>
      <c r="C119" s="8">
        <v>0.814665459345566</v>
      </c>
      <c r="D119" s="8">
        <v>0.7195871750303805</v>
      </c>
      <c r="E119" s="7">
        <v>-1.4990516053215155E-2</v>
      </c>
      <c r="F119" s="8">
        <v>0</v>
      </c>
      <c r="G119" s="8">
        <v>0</v>
      </c>
      <c r="H119" s="33">
        <v>-2.1796664656245589E-2</v>
      </c>
      <c r="I119" s="7">
        <v>2.2385887789414392E-2</v>
      </c>
      <c r="J119" s="7">
        <v>0</v>
      </c>
      <c r="K119" s="7">
        <v>0</v>
      </c>
      <c r="M119">
        <f t="shared" ref="M119" si="84">MDETERM(B119:D121)</f>
        <v>0.87703821672085791</v>
      </c>
      <c r="N119">
        <f t="shared" ref="N119" si="85">MDETERM(E119:G121)</f>
        <v>-3.3686023826032914E-6</v>
      </c>
      <c r="P119">
        <f t="array" ref="P119:R121">SVDD(B119:D121)</f>
        <v>3.5702144380300824</v>
      </c>
      <c r="Q119">
        <v>0</v>
      </c>
      <c r="R119">
        <v>0</v>
      </c>
      <c r="S119" s="3">
        <f t="shared" ref="S119" si="86">MAX(P119,Q120,R121)/MIN(P119,Q120,R121)</f>
        <v>21.390548698925272</v>
      </c>
      <c r="X119" s="3"/>
    </row>
    <row r="120" spans="1:24">
      <c r="A120" s="7" t="s">
        <v>45</v>
      </c>
      <c r="B120" s="8">
        <v>-1.0351585166444348</v>
      </c>
      <c r="C120" s="8">
        <v>2.1037449841221099</v>
      </c>
      <c r="D120" s="8">
        <v>0.82913701269133588</v>
      </c>
      <c r="E120" s="7">
        <v>0</v>
      </c>
      <c r="F120" s="7">
        <v>-1.4990516053215155E-2</v>
      </c>
      <c r="G120" s="8">
        <v>0</v>
      </c>
      <c r="H120" s="8">
        <v>-2.1796664656245589E-2</v>
      </c>
      <c r="I120" s="33">
        <v>0</v>
      </c>
      <c r="J120" s="7">
        <v>1.5970575730977998E-2</v>
      </c>
      <c r="K120" s="7">
        <v>0</v>
      </c>
      <c r="P120">
        <v>0</v>
      </c>
      <c r="Q120">
        <v>1.4718103043175164</v>
      </c>
      <c r="R120">
        <v>0</v>
      </c>
      <c r="X120" s="3"/>
    </row>
    <row r="121" spans="1:24">
      <c r="A121" s="7"/>
      <c r="B121" s="8">
        <v>-2.5457845528396139E-2</v>
      </c>
      <c r="C121" s="8">
        <v>2.3667658472617719</v>
      </c>
      <c r="D121" s="8">
        <v>6.368425350466822E-2</v>
      </c>
      <c r="E121" s="7">
        <v>0</v>
      </c>
      <c r="F121" s="8">
        <v>0</v>
      </c>
      <c r="G121" s="7">
        <v>-1.4990516053215155E-2</v>
      </c>
      <c r="H121" s="8">
        <v>-2.1796664656245589E-2</v>
      </c>
      <c r="I121" s="8">
        <v>0</v>
      </c>
      <c r="J121" s="33">
        <v>0</v>
      </c>
      <c r="K121" s="33">
        <v>2.0521745021313972E-2</v>
      </c>
      <c r="P121">
        <v>0</v>
      </c>
      <c r="Q121">
        <v>0</v>
      </c>
      <c r="R121">
        <v>0.16690616441313921</v>
      </c>
      <c r="X121" s="3"/>
    </row>
    <row r="122" spans="1:24">
      <c r="A122" s="7"/>
      <c r="B122" s="8"/>
      <c r="C122" s="8"/>
      <c r="D122" s="8"/>
      <c r="E122" s="7"/>
      <c r="F122" s="7"/>
      <c r="G122" s="7"/>
      <c r="H122" s="7"/>
      <c r="I122" s="7"/>
      <c r="J122" s="7"/>
      <c r="K122" s="7"/>
      <c r="X122" s="3"/>
    </row>
    <row r="123" spans="1:24">
      <c r="A123" s="7"/>
      <c r="B123" s="8">
        <v>-1.4028471761352286</v>
      </c>
      <c r="C123" s="8">
        <v>0.814665459345566</v>
      </c>
      <c r="D123" s="8">
        <v>0.7195871750303805</v>
      </c>
      <c r="E123" s="7">
        <v>-1.4990516053215155E-2</v>
      </c>
      <c r="F123" s="8">
        <v>0</v>
      </c>
      <c r="G123" s="8">
        <v>0</v>
      </c>
      <c r="H123" s="33">
        <v>0</v>
      </c>
      <c r="I123" s="7">
        <v>0</v>
      </c>
      <c r="J123" s="7">
        <v>0</v>
      </c>
      <c r="K123" s="7">
        <v>0</v>
      </c>
      <c r="M123">
        <f t="shared" ref="M123" si="87">MDETERM(B123:D125)</f>
        <v>3.296009288704782</v>
      </c>
      <c r="N123">
        <f t="shared" ref="N123" si="88">MDETERM(E123:G125)</f>
        <v>-3.3686023826032914E-6</v>
      </c>
      <c r="P123">
        <f t="array" ref="P123:R125">SVDD(B123:D125)</f>
        <v>3.3374351810568914</v>
      </c>
      <c r="Q123">
        <v>0</v>
      </c>
      <c r="R123">
        <v>0</v>
      </c>
      <c r="S123" s="3">
        <f t="shared" ref="S123" si="89">MAX(P123,Q124,R125)/MIN(P123,Q124,R125)</f>
        <v>5.3134649198272017</v>
      </c>
      <c r="X123" s="3"/>
    </row>
    <row r="124" spans="1:24">
      <c r="A124" s="7" t="s">
        <v>46</v>
      </c>
      <c r="B124" s="8">
        <v>0.58367185674448252</v>
      </c>
      <c r="C124" s="8">
        <v>2.0841504898711007</v>
      </c>
      <c r="D124" s="8">
        <v>0.75171422039661484</v>
      </c>
      <c r="E124" s="7">
        <v>0</v>
      </c>
      <c r="F124" s="7">
        <v>-1.4990516053215155E-2</v>
      </c>
      <c r="G124" s="8">
        <v>0</v>
      </c>
      <c r="H124" s="8">
        <v>0</v>
      </c>
      <c r="I124" s="33">
        <v>0</v>
      </c>
      <c r="J124" s="7">
        <v>0</v>
      </c>
      <c r="K124" s="7">
        <v>0</v>
      </c>
      <c r="P124">
        <v>0</v>
      </c>
      <c r="Q124">
        <v>1.5723186478808495</v>
      </c>
      <c r="R124">
        <v>0</v>
      </c>
      <c r="X124" s="3"/>
    </row>
    <row r="125" spans="1:24">
      <c r="A125" s="7"/>
      <c r="B125" s="8">
        <v>-2.5457845528396139E-2</v>
      </c>
      <c r="C125" s="8">
        <v>2.3667658472617719</v>
      </c>
      <c r="D125" s="8">
        <v>6.368425350466822E-2</v>
      </c>
      <c r="E125" s="7">
        <v>0</v>
      </c>
      <c r="F125" s="8">
        <v>0</v>
      </c>
      <c r="G125" s="7">
        <v>-1.4990516053215155E-2</v>
      </c>
      <c r="H125" s="8">
        <v>0</v>
      </c>
      <c r="I125" s="8">
        <v>0</v>
      </c>
      <c r="J125" s="33">
        <v>0</v>
      </c>
      <c r="K125" s="33">
        <v>0</v>
      </c>
      <c r="P125">
        <v>0</v>
      </c>
      <c r="Q125">
        <v>0</v>
      </c>
      <c r="R125">
        <v>0.62810900822987414</v>
      </c>
      <c r="X125" s="3"/>
    </row>
    <row r="126" spans="1:24">
      <c r="A126" s="7"/>
      <c r="B126" s="8"/>
      <c r="C126" s="8"/>
      <c r="D126" s="8"/>
      <c r="E126" s="7"/>
      <c r="F126" s="7"/>
      <c r="G126" s="7"/>
      <c r="H126" s="7"/>
      <c r="I126" s="7"/>
      <c r="J126" s="7"/>
      <c r="K126" s="7"/>
      <c r="X126" s="3"/>
    </row>
    <row r="127" spans="1:24">
      <c r="A127" s="7"/>
      <c r="B127" s="8">
        <v>1.4421025939282253</v>
      </c>
      <c r="C127" s="8">
        <v>1.0431877148697888</v>
      </c>
      <c r="D127" s="8">
        <v>0.78932433807079116</v>
      </c>
      <c r="E127" s="7">
        <v>-1.4990516053215155E-2</v>
      </c>
      <c r="F127" s="8">
        <v>0</v>
      </c>
      <c r="G127" s="8">
        <v>0</v>
      </c>
      <c r="H127" s="33">
        <v>0</v>
      </c>
      <c r="I127" s="7">
        <v>0</v>
      </c>
      <c r="J127" s="7">
        <v>0</v>
      </c>
      <c r="K127" s="7">
        <v>0</v>
      </c>
      <c r="M127">
        <f t="shared" ref="M127" si="90">MDETERM(B127:D129)</f>
        <v>-1.566981114159063</v>
      </c>
      <c r="N127">
        <f t="shared" ref="N127" si="91">MDETERM(E127:G129)</f>
        <v>-3.3686023826032914E-6</v>
      </c>
      <c r="P127">
        <f t="array" ref="P127:R129">SVDD(B127:D129)</f>
        <v>3.4187160392163447</v>
      </c>
      <c r="Q127">
        <v>0</v>
      </c>
      <c r="R127">
        <v>0</v>
      </c>
      <c r="S127" s="3">
        <f t="shared" ref="S127" si="92">MAX(P127,Q128,R129)/MIN(P127,Q128,R129)</f>
        <v>13.908174758807807</v>
      </c>
      <c r="X127" s="3"/>
    </row>
    <row r="128" spans="1:24">
      <c r="A128" s="7" t="s">
        <v>47</v>
      </c>
      <c r="B128" s="8">
        <v>-1.0351585166444348</v>
      </c>
      <c r="C128" s="8">
        <v>2.1037449841221099</v>
      </c>
      <c r="D128" s="8">
        <v>0.82913701269133588</v>
      </c>
      <c r="E128" s="7">
        <v>0</v>
      </c>
      <c r="F128" s="7">
        <v>-1.4990516053215155E-2</v>
      </c>
      <c r="G128" s="8">
        <v>0</v>
      </c>
      <c r="H128" s="8">
        <v>0</v>
      </c>
      <c r="I128" s="33">
        <v>0</v>
      </c>
      <c r="J128" s="7">
        <v>0</v>
      </c>
      <c r="K128" s="7">
        <v>0</v>
      </c>
      <c r="P128">
        <v>0</v>
      </c>
      <c r="Q128">
        <v>1.8646951542620871</v>
      </c>
      <c r="R128">
        <v>0</v>
      </c>
      <c r="X128" s="3"/>
    </row>
    <row r="129" spans="1:24">
      <c r="A129" s="7"/>
      <c r="B129" s="8">
        <v>0.58367185674448252</v>
      </c>
      <c r="C129" s="8">
        <v>2.0841504898711007</v>
      </c>
      <c r="D129" s="8">
        <v>0.75171422039661484</v>
      </c>
      <c r="E129" s="7">
        <v>0</v>
      </c>
      <c r="F129" s="8">
        <v>0</v>
      </c>
      <c r="G129" s="7">
        <v>-1.4990516053215155E-2</v>
      </c>
      <c r="H129" s="8">
        <v>0</v>
      </c>
      <c r="I129" s="8">
        <v>0</v>
      </c>
      <c r="J129" s="33">
        <v>0</v>
      </c>
      <c r="K129" s="33">
        <v>0</v>
      </c>
      <c r="P129">
        <v>0</v>
      </c>
      <c r="Q129">
        <v>0</v>
      </c>
      <c r="R129">
        <v>0.24580623255767842</v>
      </c>
      <c r="X129" s="3"/>
    </row>
    <row r="130" spans="1:24">
      <c r="A130" s="7"/>
      <c r="B130" s="8"/>
      <c r="C130" s="8"/>
      <c r="D130" s="8"/>
      <c r="E130" s="7"/>
      <c r="F130" s="7"/>
      <c r="G130" s="7"/>
      <c r="H130" s="7"/>
      <c r="I130" s="7"/>
      <c r="J130" s="7"/>
      <c r="K130" s="7"/>
      <c r="X130" s="3"/>
    </row>
    <row r="131" spans="1:24">
      <c r="A131" s="7"/>
      <c r="B131" s="8">
        <v>1.4421025939282253</v>
      </c>
      <c r="C131" s="8">
        <v>1.0431877148697888</v>
      </c>
      <c r="D131" s="8">
        <v>0.78932433807079116</v>
      </c>
      <c r="E131" s="7">
        <v>-1.4990516053215155E-2</v>
      </c>
      <c r="F131" s="8">
        <v>0</v>
      </c>
      <c r="G131" s="8">
        <v>0</v>
      </c>
      <c r="H131" s="33">
        <v>-2.1796664656245589E-2</v>
      </c>
      <c r="I131" s="7">
        <v>1.6236379226863738E-2</v>
      </c>
      <c r="J131" s="7">
        <v>0</v>
      </c>
      <c r="K131" s="7">
        <v>0</v>
      </c>
      <c r="M131">
        <f t="shared" ref="M131" si="93">MDETERM(B131:D133)</f>
        <v>-4.4815398197242864</v>
      </c>
      <c r="N131">
        <f t="shared" ref="N131" si="94">MDETERM(E131:G133)</f>
        <v>-3.3686023826032914E-6</v>
      </c>
      <c r="P131">
        <f t="array" ref="P131:R133">SVDD(B131:D133)</f>
        <v>3.4447389109044444</v>
      </c>
      <c r="Q131">
        <v>0</v>
      </c>
      <c r="R131">
        <v>0</v>
      </c>
      <c r="S131" s="3">
        <f t="shared" ref="S131" si="95">MAX(P131,Q132,R133)/MIN(P131,Q132,R133)</f>
        <v>4.7248309144760778</v>
      </c>
      <c r="X131" s="3"/>
    </row>
    <row r="132" spans="1:24">
      <c r="A132" s="7" t="s">
        <v>48</v>
      </c>
      <c r="B132" s="8">
        <v>-1.0351585166444348</v>
      </c>
      <c r="C132" s="8">
        <v>2.1037449841221099</v>
      </c>
      <c r="D132" s="8">
        <v>0.82913701269133588</v>
      </c>
      <c r="E132" s="7">
        <v>0</v>
      </c>
      <c r="F132" s="7">
        <v>-1.4990516053215155E-2</v>
      </c>
      <c r="G132" s="8">
        <v>0</v>
      </c>
      <c r="H132" s="8">
        <v>-2.1796664656245589E-2</v>
      </c>
      <c r="I132" s="33">
        <v>0</v>
      </c>
      <c r="J132" s="7">
        <v>1.5970575730977998E-2</v>
      </c>
      <c r="K132" s="7">
        <v>0</v>
      </c>
      <c r="P132">
        <v>0</v>
      </c>
      <c r="Q132">
        <v>1.7844357246783964</v>
      </c>
      <c r="R132">
        <v>0</v>
      </c>
      <c r="X132" s="3"/>
    </row>
    <row r="133" spans="1:24">
      <c r="A133" s="7"/>
      <c r="B133" s="8">
        <v>-2.5457845528396139E-2</v>
      </c>
      <c r="C133" s="8">
        <v>2.3667658472617719</v>
      </c>
      <c r="D133" s="8">
        <v>6.368425350466822E-2</v>
      </c>
      <c r="E133" s="7">
        <v>0</v>
      </c>
      <c r="F133" s="8">
        <v>0</v>
      </c>
      <c r="G133" s="7">
        <v>-1.4990516053215155E-2</v>
      </c>
      <c r="H133" s="8">
        <v>-2.1796664656245589E-2</v>
      </c>
      <c r="I133" s="8">
        <v>0</v>
      </c>
      <c r="J133" s="33">
        <v>0</v>
      </c>
      <c r="K133" s="33">
        <v>2.0521745021313972E-2</v>
      </c>
      <c r="P133">
        <v>0</v>
      </c>
      <c r="Q133">
        <v>0</v>
      </c>
      <c r="R133">
        <v>0.72907136218363933</v>
      </c>
      <c r="X133" s="3"/>
    </row>
    <row r="134" spans="1:24">
      <c r="A134" s="7"/>
      <c r="B134" s="8"/>
      <c r="C134" s="8"/>
      <c r="D134" s="8"/>
      <c r="E134" s="7"/>
      <c r="F134" s="7"/>
      <c r="G134" s="7"/>
      <c r="H134" s="7"/>
      <c r="I134" s="7"/>
      <c r="J134" s="7"/>
      <c r="K134" s="7"/>
      <c r="X134" s="3"/>
    </row>
    <row r="135" spans="1:24">
      <c r="A135" s="7"/>
      <c r="B135" s="8">
        <v>1.4421025939282253</v>
      </c>
      <c r="C135" s="8">
        <v>1.0431877148697888</v>
      </c>
      <c r="D135" s="8">
        <v>0.78932433807079116</v>
      </c>
      <c r="E135" s="7">
        <v>-1.4990516053215155E-2</v>
      </c>
      <c r="F135" s="8">
        <v>0</v>
      </c>
      <c r="G135" s="8">
        <v>0</v>
      </c>
      <c r="H135" s="33">
        <v>0</v>
      </c>
      <c r="I135" s="7">
        <v>0</v>
      </c>
      <c r="J135" s="7">
        <v>0</v>
      </c>
      <c r="K135" s="7">
        <v>0</v>
      </c>
      <c r="M135">
        <f t="shared" ref="M135" si="96">MDETERM(B135:D137)</f>
        <v>-1.3007588433626971</v>
      </c>
      <c r="N135">
        <f t="shared" ref="N135" si="97">MDETERM(E135:G137)</f>
        <v>-3.3686023826032914E-6</v>
      </c>
      <c r="P135">
        <f t="array" ref="P135:R137">SVDD(B135:D137)</f>
        <v>3.5387063312071363</v>
      </c>
      <c r="Q135">
        <v>0</v>
      </c>
      <c r="R135">
        <v>0</v>
      </c>
      <c r="S135" s="3">
        <f t="shared" ref="S135" si="98">MAX(P135,Q136,R137)/MIN(P135,Q136,R137)</f>
        <v>13.812589110219603</v>
      </c>
      <c r="X135" s="3"/>
    </row>
    <row r="136" spans="1:24">
      <c r="A136" s="7" t="s">
        <v>49</v>
      </c>
      <c r="B136" s="8">
        <v>0.58367185674448252</v>
      </c>
      <c r="C136" s="8">
        <v>2.0841504898711007</v>
      </c>
      <c r="D136" s="8">
        <v>0.75171422039661484</v>
      </c>
      <c r="E136" s="7">
        <v>0</v>
      </c>
      <c r="F136" s="7">
        <v>-1.4990516053215155E-2</v>
      </c>
      <c r="G136" s="8">
        <v>0</v>
      </c>
      <c r="H136" s="8">
        <v>0</v>
      </c>
      <c r="I136" s="33">
        <v>0</v>
      </c>
      <c r="J136" s="7">
        <v>0</v>
      </c>
      <c r="K136" s="7">
        <v>0</v>
      </c>
      <c r="P136">
        <v>0</v>
      </c>
      <c r="Q136">
        <v>1.4347718056576448</v>
      </c>
      <c r="R136">
        <v>0</v>
      </c>
      <c r="X136" s="3"/>
    </row>
    <row r="137" spans="1:24">
      <c r="A137" s="7"/>
      <c r="B137" s="8">
        <v>-2.5457845528396139E-2</v>
      </c>
      <c r="C137" s="8">
        <v>2.3667658472617719</v>
      </c>
      <c r="D137" s="8">
        <v>6.368425350466822E-2</v>
      </c>
      <c r="E137" s="7">
        <v>0</v>
      </c>
      <c r="F137" s="8">
        <v>0</v>
      </c>
      <c r="G137" s="7">
        <v>-1.4990516053215155E-2</v>
      </c>
      <c r="H137" s="8">
        <v>0</v>
      </c>
      <c r="I137" s="8">
        <v>0</v>
      </c>
      <c r="J137" s="33">
        <v>0</v>
      </c>
      <c r="K137" s="33">
        <v>0</v>
      </c>
      <c r="P137">
        <v>0</v>
      </c>
      <c r="Q137">
        <v>0</v>
      </c>
      <c r="R137">
        <v>0.25619428066450861</v>
      </c>
      <c r="X137" s="3"/>
    </row>
    <row r="138" spans="1:24">
      <c r="A138" s="7"/>
      <c r="B138" s="8"/>
      <c r="C138" s="8"/>
      <c r="D138" s="8"/>
      <c r="E138" s="7"/>
      <c r="F138" s="7"/>
      <c r="G138" s="7"/>
      <c r="H138" s="7"/>
      <c r="I138" s="7"/>
      <c r="J138" s="7"/>
      <c r="K138" s="7"/>
      <c r="X138" s="3"/>
    </row>
    <row r="139" spans="1:24">
      <c r="A139" s="7"/>
      <c r="B139" s="8">
        <v>-1.0351585166444348</v>
      </c>
      <c r="C139" s="8">
        <v>2.1037449841221099</v>
      </c>
      <c r="D139" s="8">
        <v>0.82913701269133588</v>
      </c>
      <c r="E139" s="7">
        <v>-1.4990516053215155E-2</v>
      </c>
      <c r="F139" s="8">
        <v>0</v>
      </c>
      <c r="G139" s="8">
        <v>0</v>
      </c>
      <c r="H139" s="33">
        <v>0</v>
      </c>
      <c r="I139" s="7">
        <v>0</v>
      </c>
      <c r="J139" s="7">
        <v>0</v>
      </c>
      <c r="K139" s="7">
        <v>0</v>
      </c>
      <c r="M139">
        <f t="shared" ref="M139" si="99">MDETERM(B139:D141)</f>
        <v>2.7752063150436528</v>
      </c>
      <c r="N139">
        <f t="shared" ref="N139" si="100">MDETERM(E139:G141)</f>
        <v>-3.3686023826032914E-6</v>
      </c>
      <c r="P139">
        <f t="array" ref="P139:R141">SVDD(B139:D141)</f>
        <v>3.9133860237963831</v>
      </c>
      <c r="Q139">
        <v>0</v>
      </c>
      <c r="R139">
        <v>0</v>
      </c>
      <c r="S139" s="3">
        <f t="shared" ref="S139" si="101">MAX(P139,Q140,R141)/MIN(P139,Q140,R141)</f>
        <v>6.4227760464603234</v>
      </c>
      <c r="X139" s="3"/>
    </row>
    <row r="140" spans="1:24">
      <c r="A140" s="7" t="s">
        <v>50</v>
      </c>
      <c r="B140" s="8">
        <v>0.58367185674448252</v>
      </c>
      <c r="C140" s="8">
        <v>2.0841504898711007</v>
      </c>
      <c r="D140" s="8">
        <v>0.75171422039661484</v>
      </c>
      <c r="E140" s="7">
        <v>0</v>
      </c>
      <c r="F140" s="7">
        <v>-1.4990516053215155E-2</v>
      </c>
      <c r="G140" s="8">
        <v>0</v>
      </c>
      <c r="H140" s="8">
        <v>0</v>
      </c>
      <c r="I140" s="33">
        <v>0</v>
      </c>
      <c r="J140" s="7">
        <v>0</v>
      </c>
      <c r="K140" s="7">
        <v>0</v>
      </c>
      <c r="P140">
        <v>0</v>
      </c>
      <c r="Q140">
        <v>1.1638919778418664</v>
      </c>
      <c r="R140">
        <v>0</v>
      </c>
      <c r="X140" s="3"/>
    </row>
    <row r="141" spans="1:24">
      <c r="A141" s="7"/>
      <c r="B141" s="8">
        <v>-2.5457845528396139E-2</v>
      </c>
      <c r="C141" s="8">
        <v>2.3667658472617719</v>
      </c>
      <c r="D141" s="8">
        <v>6.368425350466822E-2</v>
      </c>
      <c r="E141" s="7">
        <v>0</v>
      </c>
      <c r="F141" s="8">
        <v>0</v>
      </c>
      <c r="G141" s="7">
        <v>-1.4990516053215155E-2</v>
      </c>
      <c r="H141" s="8">
        <v>0</v>
      </c>
      <c r="I141" s="8">
        <v>0</v>
      </c>
      <c r="J141" s="33">
        <v>0</v>
      </c>
      <c r="K141" s="33">
        <v>0</v>
      </c>
      <c r="P141">
        <v>0</v>
      </c>
      <c r="Q141">
        <v>0</v>
      </c>
      <c r="R141">
        <v>0.60929822174838277</v>
      </c>
      <c r="X141" s="3"/>
    </row>
    <row r="142" spans="1:24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X142" s="3"/>
    </row>
    <row r="143" spans="1:24">
      <c r="A143" s="7"/>
      <c r="B143" s="8">
        <v>1.253875629566908</v>
      </c>
      <c r="C143" s="8">
        <v>3.2592166127769939E-2</v>
      </c>
      <c r="D143" s="8">
        <v>-0.73934661383723232</v>
      </c>
      <c r="E143" s="7">
        <v>-1.4990516053215155E-2</v>
      </c>
      <c r="F143" s="8">
        <v>0</v>
      </c>
      <c r="G143" s="8">
        <v>0</v>
      </c>
      <c r="H143" s="33">
        <v>0</v>
      </c>
      <c r="I143" s="7">
        <v>0</v>
      </c>
      <c r="J143" s="7">
        <v>0</v>
      </c>
      <c r="K143" s="7">
        <v>0</v>
      </c>
      <c r="M143">
        <f t="shared" ref="M143" si="102">MDETERM(B143:D145)</f>
        <v>-1.4708968013385888</v>
      </c>
      <c r="N143">
        <f t="shared" ref="N143" si="103">MDETERM(E143:G145)</f>
        <v>-3.3686023826032914E-6</v>
      </c>
      <c r="P143">
        <f t="array" ref="P143:R145">SVDD(B143:D145)</f>
        <v>2.6416731835810845</v>
      </c>
      <c r="Q143">
        <v>0</v>
      </c>
      <c r="R143">
        <v>0</v>
      </c>
      <c r="S143" s="3">
        <f t="shared" ref="S143" si="104">MAX(P143,Q144,R145)/MIN(P143,Q144,R145)</f>
        <v>4.0468810703453864</v>
      </c>
      <c r="X143" s="3"/>
    </row>
    <row r="144" spans="1:24">
      <c r="A144" s="7" t="s">
        <v>51</v>
      </c>
      <c r="B144" s="8">
        <v>2.2957880185781296</v>
      </c>
      <c r="C144" s="8">
        <v>-8.2263663034425338E-3</v>
      </c>
      <c r="D144" s="8">
        <v>3.3137218009327896E-2</v>
      </c>
      <c r="E144" s="7">
        <v>0</v>
      </c>
      <c r="F144" s="7">
        <v>-1.4990516053215155E-2</v>
      </c>
      <c r="G144" s="8">
        <v>0</v>
      </c>
      <c r="H144" s="8">
        <v>0</v>
      </c>
      <c r="I144" s="33">
        <v>0</v>
      </c>
      <c r="J144" s="7">
        <v>0</v>
      </c>
      <c r="K144" s="7">
        <v>0</v>
      </c>
      <c r="P144">
        <v>0</v>
      </c>
      <c r="Q144">
        <v>0.85299104134927606</v>
      </c>
      <c r="R144">
        <v>0</v>
      </c>
      <c r="X144" s="3"/>
    </row>
    <row r="145" spans="1:24">
      <c r="A145" s="7"/>
      <c r="B145" s="8">
        <v>-0.14897154656832046</v>
      </c>
      <c r="C145" s="8">
        <v>0.84725762547333594</v>
      </c>
      <c r="D145" s="8">
        <v>-1.9759438806851826E-2</v>
      </c>
      <c r="E145" s="7">
        <v>0</v>
      </c>
      <c r="F145" s="8">
        <v>0</v>
      </c>
      <c r="G145" s="7">
        <v>-1.4990516053215155E-2</v>
      </c>
      <c r="H145" s="8">
        <v>0</v>
      </c>
      <c r="I145" s="8">
        <v>0</v>
      </c>
      <c r="J145" s="33">
        <v>0</v>
      </c>
      <c r="K145" s="33">
        <v>0</v>
      </c>
      <c r="P145">
        <v>0</v>
      </c>
      <c r="Q145">
        <v>0</v>
      </c>
      <c r="R145">
        <v>0.65276768396745288</v>
      </c>
      <c r="X145" s="3"/>
    </row>
    <row r="146" spans="1:24">
      <c r="A146" s="7"/>
      <c r="B146" s="8"/>
      <c r="C146" s="8"/>
      <c r="D146" s="8"/>
      <c r="E146" s="7"/>
      <c r="F146" s="7"/>
      <c r="G146" s="7"/>
      <c r="H146" s="7"/>
      <c r="I146" s="7"/>
      <c r="J146" s="7"/>
      <c r="K146" s="7"/>
      <c r="X146" s="3"/>
    </row>
    <row r="147" spans="1:24">
      <c r="A147" s="7"/>
      <c r="B147" s="8">
        <v>1.253875629566908</v>
      </c>
      <c r="C147" s="8">
        <v>3.2592166127769939E-2</v>
      </c>
      <c r="D147" s="8">
        <v>-0.73934661383723232</v>
      </c>
      <c r="E147" s="7">
        <v>-1.4990516053215155E-2</v>
      </c>
      <c r="F147" s="8">
        <v>0</v>
      </c>
      <c r="G147" s="8">
        <v>0</v>
      </c>
      <c r="H147" s="33">
        <v>0</v>
      </c>
      <c r="I147" s="7">
        <v>0</v>
      </c>
      <c r="J147" s="7">
        <v>0</v>
      </c>
      <c r="K147" s="7">
        <v>0</v>
      </c>
      <c r="M147">
        <f t="shared" ref="M147" si="105">MDETERM(B147:D149)</f>
        <v>-1.8884498807674159</v>
      </c>
      <c r="N147">
        <f t="shared" ref="N147" si="106">MDETERM(E147:G149)</f>
        <v>-3.3686023826032914E-6</v>
      </c>
      <c r="P147">
        <f t="array" ref="P147:R149">SVDD(B147:D149)</f>
        <v>3.8436679203872028</v>
      </c>
      <c r="Q147">
        <v>0</v>
      </c>
      <c r="R147">
        <v>0</v>
      </c>
      <c r="S147" s="3">
        <f t="shared" ref="S147" si="107">MAX(P147,Q148,R149)/MIN(P147,Q148,R149)</f>
        <v>6.5562246319096911</v>
      </c>
      <c r="X147" s="3"/>
    </row>
    <row r="148" spans="1:24">
      <c r="A148" s="7" t="s">
        <v>52</v>
      </c>
      <c r="B148" s="8">
        <v>2.2957880185781296</v>
      </c>
      <c r="C148" s="8">
        <v>-8.2263663034425338E-3</v>
      </c>
      <c r="D148" s="8">
        <v>3.3137218009327896E-2</v>
      </c>
      <c r="E148" s="7">
        <v>0</v>
      </c>
      <c r="F148" s="7">
        <v>-1.4990516053215155E-2</v>
      </c>
      <c r="G148" s="8">
        <v>0</v>
      </c>
      <c r="H148" s="8">
        <v>0</v>
      </c>
      <c r="I148" s="33">
        <v>0</v>
      </c>
      <c r="J148" s="7">
        <v>0</v>
      </c>
      <c r="K148" s="7">
        <v>0</v>
      </c>
      <c r="P148">
        <v>0</v>
      </c>
      <c r="Q148">
        <v>0.83804544547022508</v>
      </c>
      <c r="R148">
        <v>0</v>
      </c>
      <c r="X148" s="3"/>
    </row>
    <row r="149" spans="1:24">
      <c r="A149" s="7"/>
      <c r="B149" s="8">
        <v>2.6959782234951333</v>
      </c>
      <c r="C149" s="8">
        <v>1.0757798809975587</v>
      </c>
      <c r="D149" s="8">
        <v>4.997772423355884E-2</v>
      </c>
      <c r="E149" s="7">
        <v>0</v>
      </c>
      <c r="F149" s="8">
        <v>0</v>
      </c>
      <c r="G149" s="7">
        <v>-1.4990516053215155E-2</v>
      </c>
      <c r="H149" s="8">
        <v>0</v>
      </c>
      <c r="I149" s="8">
        <v>0</v>
      </c>
      <c r="J149" s="33">
        <v>0</v>
      </c>
      <c r="K149" s="33">
        <v>0</v>
      </c>
      <c r="P149">
        <v>0</v>
      </c>
      <c r="Q149">
        <v>0</v>
      </c>
      <c r="R149">
        <v>0.58626238974176559</v>
      </c>
      <c r="X149" s="3"/>
    </row>
    <row r="150" spans="1:24">
      <c r="A150" s="7"/>
      <c r="B150" s="8"/>
      <c r="C150" s="8"/>
      <c r="D150" s="8"/>
      <c r="E150" s="7"/>
      <c r="F150" s="7"/>
      <c r="G150" s="7"/>
      <c r="H150" s="7"/>
      <c r="I150" s="7"/>
      <c r="J150" s="7"/>
      <c r="K150" s="7"/>
      <c r="X150" s="3"/>
    </row>
    <row r="151" spans="1:24">
      <c r="A151" s="7"/>
      <c r="B151" s="8">
        <v>1.253875629566908</v>
      </c>
      <c r="C151" s="8">
        <v>3.2592166127769939E-2</v>
      </c>
      <c r="D151" s="8">
        <v>-0.73934661383723232</v>
      </c>
      <c r="E151" s="7">
        <v>-1.4990516053215155E-2</v>
      </c>
      <c r="F151" s="8">
        <v>0</v>
      </c>
      <c r="G151" s="8">
        <v>0</v>
      </c>
      <c r="H151" s="33">
        <v>0</v>
      </c>
      <c r="I151" s="7">
        <v>0</v>
      </c>
      <c r="J151" s="7">
        <v>0</v>
      </c>
      <c r="K151" s="7">
        <v>0</v>
      </c>
      <c r="M151">
        <f t="shared" ref="M151" si="108">MDETERM(B151:D153)</f>
        <v>-3.7236860350750867</v>
      </c>
      <c r="N151">
        <f t="shared" ref="N151" si="109">MDETERM(E151:G153)</f>
        <v>-3.3686023826032914E-6</v>
      </c>
      <c r="P151">
        <f t="array" ref="P151:R153">SVDD(B151:D153)</f>
        <v>2.6615097650284536</v>
      </c>
      <c r="Q151">
        <v>0</v>
      </c>
      <c r="R151">
        <v>0</v>
      </c>
      <c r="S151" s="3">
        <f t="shared" ref="S151" si="110">MAX(P151,Q152,R153)/MIN(P151,Q152,R153)</f>
        <v>4.0319098330014373</v>
      </c>
      <c r="X151" s="3"/>
    </row>
    <row r="152" spans="1:24">
      <c r="A152" s="7" t="s">
        <v>53</v>
      </c>
      <c r="B152" s="8">
        <v>2.2957880185781296</v>
      </c>
      <c r="C152" s="8">
        <v>-8.2263663034425338E-3</v>
      </c>
      <c r="D152" s="8">
        <v>3.3137218009327896E-2</v>
      </c>
      <c r="E152" s="7">
        <v>0</v>
      </c>
      <c r="F152" s="7">
        <v>-1.4990516053215155E-2</v>
      </c>
      <c r="G152" s="8">
        <v>0</v>
      </c>
      <c r="H152" s="8">
        <v>0</v>
      </c>
      <c r="I152" s="33">
        <v>0</v>
      </c>
      <c r="J152" s="7">
        <v>0</v>
      </c>
      <c r="K152" s="7">
        <v>0</v>
      </c>
      <c r="P152">
        <v>0</v>
      </c>
      <c r="Q152">
        <v>2.1194722728116355</v>
      </c>
      <c r="R152">
        <v>0</v>
      </c>
      <c r="X152" s="3"/>
    </row>
    <row r="153" spans="1:24">
      <c r="A153" s="7"/>
      <c r="B153" s="8">
        <v>0.21871711292247331</v>
      </c>
      <c r="C153" s="8">
        <v>2.1363371502498802</v>
      </c>
      <c r="D153" s="8">
        <v>8.9790398854103559E-2</v>
      </c>
      <c r="E153" s="7">
        <v>0</v>
      </c>
      <c r="F153" s="8">
        <v>0</v>
      </c>
      <c r="G153" s="7">
        <v>-1.4990516053215155E-2</v>
      </c>
      <c r="H153" s="8">
        <v>0</v>
      </c>
      <c r="I153" s="8">
        <v>0</v>
      </c>
      <c r="J153" s="33">
        <v>0</v>
      </c>
      <c r="K153" s="33">
        <v>0</v>
      </c>
      <c r="P153">
        <v>0</v>
      </c>
      <c r="Q153">
        <v>0</v>
      </c>
      <c r="R153">
        <v>0.66011142988462379</v>
      </c>
      <c r="X153" s="3"/>
    </row>
    <row r="154" spans="1:24">
      <c r="A154" s="7"/>
      <c r="B154" s="8"/>
      <c r="C154" s="8"/>
      <c r="D154" s="8"/>
      <c r="E154" s="7"/>
      <c r="F154" s="7"/>
      <c r="G154" s="7"/>
      <c r="H154" s="7"/>
      <c r="I154" s="7"/>
      <c r="J154" s="7"/>
      <c r="K154" s="7"/>
      <c r="X154" s="3"/>
    </row>
    <row r="155" spans="1:24">
      <c r="A155" s="7"/>
      <c r="B155" s="8">
        <v>1.253875629566908</v>
      </c>
      <c r="C155" s="8">
        <v>3.2592166127769939E-2</v>
      </c>
      <c r="D155" s="8">
        <v>-0.73934661383723232</v>
      </c>
      <c r="E155" s="7">
        <v>-1.4990516053215155E-2</v>
      </c>
      <c r="F155" s="8">
        <v>0</v>
      </c>
      <c r="G155" s="8">
        <v>0</v>
      </c>
      <c r="H155" s="33">
        <v>0</v>
      </c>
      <c r="I155" s="7">
        <v>0</v>
      </c>
      <c r="J155" s="7">
        <v>0</v>
      </c>
      <c r="K155" s="7">
        <v>0</v>
      </c>
      <c r="M155">
        <f t="shared" ref="M155" si="111">MDETERM(B155:D157)</f>
        <v>-3.6911183677832358</v>
      </c>
      <c r="N155">
        <f t="shared" ref="N155" si="112">MDETERM(E155:G157)</f>
        <v>-3.3686023826032914E-6</v>
      </c>
      <c r="P155">
        <f t="array" ref="P155:R157">SVDD(B155:D157)</f>
        <v>3.4997213227152026</v>
      </c>
      <c r="Q155">
        <v>0</v>
      </c>
      <c r="R155">
        <v>0</v>
      </c>
      <c r="S155" s="3">
        <f t="shared" ref="S155" si="113">MAX(P155,Q156,R157)/MIN(P155,Q156,R157)</f>
        <v>5.3172710655545243</v>
      </c>
      <c r="X155" s="3"/>
    </row>
    <row r="156" spans="1:24">
      <c r="A156" s="7" t="s">
        <v>54</v>
      </c>
      <c r="B156" s="8">
        <v>2.2957880185781296</v>
      </c>
      <c r="C156" s="8">
        <v>-8.2263663034425338E-3</v>
      </c>
      <c r="D156" s="8">
        <v>3.3137218009327896E-2</v>
      </c>
      <c r="E156" s="7">
        <v>0</v>
      </c>
      <c r="F156" s="7">
        <v>-1.4990516053215155E-2</v>
      </c>
      <c r="G156" s="8">
        <v>0</v>
      </c>
      <c r="H156" s="8">
        <v>0</v>
      </c>
      <c r="I156" s="33">
        <v>0</v>
      </c>
      <c r="J156" s="7">
        <v>0</v>
      </c>
      <c r="K156" s="7">
        <v>0</v>
      </c>
      <c r="P156">
        <v>0</v>
      </c>
      <c r="Q156">
        <v>1.6024328737632954</v>
      </c>
      <c r="R156">
        <v>0</v>
      </c>
      <c r="X156" s="3"/>
    </row>
    <row r="157" spans="1:24">
      <c r="A157" s="7"/>
      <c r="B157" s="8">
        <v>1.8375474863113905</v>
      </c>
      <c r="C157" s="8">
        <v>2.1167426559988707</v>
      </c>
      <c r="D157" s="8">
        <v>1.2367606559382516E-2</v>
      </c>
      <c r="E157" s="7">
        <v>0</v>
      </c>
      <c r="F157" s="8">
        <v>0</v>
      </c>
      <c r="G157" s="7">
        <v>-1.4990516053215155E-2</v>
      </c>
      <c r="H157" s="8">
        <v>0</v>
      </c>
      <c r="I157" s="8">
        <v>0</v>
      </c>
      <c r="J157" s="33">
        <v>0</v>
      </c>
      <c r="K157" s="33">
        <v>0</v>
      </c>
      <c r="P157">
        <v>0</v>
      </c>
      <c r="Q157">
        <v>0</v>
      </c>
      <c r="R157">
        <v>0.65817997231446879</v>
      </c>
      <c r="X157" s="3"/>
    </row>
    <row r="158" spans="1:24">
      <c r="A158" s="7"/>
      <c r="B158" s="8"/>
      <c r="C158" s="8"/>
      <c r="D158" s="8"/>
      <c r="E158" s="7"/>
      <c r="F158" s="7"/>
      <c r="G158" s="7"/>
      <c r="H158" s="7"/>
      <c r="I158" s="7"/>
      <c r="J158" s="7"/>
      <c r="K158" s="7"/>
      <c r="X158" s="3"/>
    </row>
    <row r="159" spans="1:24">
      <c r="A159" s="7"/>
      <c r="B159" s="8">
        <v>1.253875629566908</v>
      </c>
      <c r="C159" s="8">
        <v>3.2592166127769939E-2</v>
      </c>
      <c r="D159" s="8">
        <v>-0.73934661383723232</v>
      </c>
      <c r="E159" s="7">
        <v>-1.4990516053215155E-2</v>
      </c>
      <c r="F159" s="8">
        <v>0</v>
      </c>
      <c r="G159" s="8">
        <v>0</v>
      </c>
      <c r="H159" s="33">
        <v>0</v>
      </c>
      <c r="I159" s="7">
        <v>0</v>
      </c>
      <c r="J159" s="7">
        <v>0</v>
      </c>
      <c r="K159" s="7">
        <v>0</v>
      </c>
      <c r="M159">
        <f t="shared" ref="M159" si="114">MDETERM(B159:D161)</f>
        <v>-4.1209420531034766</v>
      </c>
      <c r="N159">
        <f t="shared" ref="N159" si="115">MDETERM(E159:G161)</f>
        <v>-3.3686023826032914E-6</v>
      </c>
      <c r="P159">
        <f t="array" ref="P159:R161">SVDD(B159:D161)</f>
        <v>3.2921643587257168</v>
      </c>
      <c r="Q159">
        <v>0</v>
      </c>
      <c r="R159">
        <v>0</v>
      </c>
      <c r="S159" s="3">
        <f t="shared" ref="S159" si="116">MAX(P159,Q160,R161)/MIN(P159,Q160,R161)</f>
        <v>5.1746470606257837</v>
      </c>
      <c r="X159" s="3"/>
    </row>
    <row r="160" spans="1:24">
      <c r="A160" s="7" t="s">
        <v>55</v>
      </c>
      <c r="B160" s="8">
        <v>2.2957880185781296</v>
      </c>
      <c r="C160" s="8">
        <v>-8.2263663034425338E-3</v>
      </c>
      <c r="D160" s="8">
        <v>3.3137218009327896E-2</v>
      </c>
      <c r="E160" s="7">
        <v>0</v>
      </c>
      <c r="F160" s="7">
        <v>-1.4990516053215155E-2</v>
      </c>
      <c r="G160" s="8">
        <v>0</v>
      </c>
      <c r="H160" s="8">
        <v>0</v>
      </c>
      <c r="I160" s="33">
        <v>0</v>
      </c>
      <c r="J160" s="7">
        <v>0</v>
      </c>
      <c r="K160" s="7">
        <v>0</v>
      </c>
      <c r="P160">
        <v>0</v>
      </c>
      <c r="Q160">
        <v>1.9674976567210289</v>
      </c>
      <c r="R160">
        <v>0</v>
      </c>
      <c r="X160" s="3"/>
    </row>
    <row r="161" spans="1:24">
      <c r="A161" s="7"/>
      <c r="B161" s="8">
        <v>1.2284177840385118</v>
      </c>
      <c r="C161" s="8">
        <v>2.3993580133895418</v>
      </c>
      <c r="D161" s="8">
        <v>-0.6756623603325641</v>
      </c>
      <c r="E161" s="7">
        <v>0</v>
      </c>
      <c r="F161" s="8">
        <v>0</v>
      </c>
      <c r="G161" s="7">
        <v>-1.4990516053215155E-2</v>
      </c>
      <c r="H161" s="8">
        <v>0</v>
      </c>
      <c r="I161" s="8">
        <v>0</v>
      </c>
      <c r="J161" s="33">
        <v>0</v>
      </c>
      <c r="K161" s="33">
        <v>0</v>
      </c>
      <c r="P161">
        <v>0</v>
      </c>
      <c r="Q161">
        <v>0</v>
      </c>
      <c r="R161">
        <v>0.63621041592884731</v>
      </c>
      <c r="X161" s="3"/>
    </row>
    <row r="162" spans="1:24">
      <c r="A162" s="7"/>
      <c r="B162" s="8"/>
      <c r="C162" s="8"/>
      <c r="D162" s="8"/>
      <c r="E162" s="7"/>
      <c r="F162" s="7"/>
      <c r="G162" s="7"/>
      <c r="H162" s="7"/>
      <c r="I162" s="7"/>
      <c r="J162" s="7"/>
      <c r="K162" s="7"/>
      <c r="X162" s="3"/>
    </row>
    <row r="163" spans="1:24">
      <c r="A163" s="7"/>
      <c r="B163" s="8">
        <v>1.253875629566908</v>
      </c>
      <c r="C163" s="8">
        <v>3.2592166127769939E-2</v>
      </c>
      <c r="D163" s="8">
        <v>-0.73934661383723232</v>
      </c>
      <c r="E163" s="7">
        <v>-1.4990516053215155E-2</v>
      </c>
      <c r="F163" s="8">
        <v>0</v>
      </c>
      <c r="G163" s="8">
        <v>0</v>
      </c>
      <c r="H163" s="33">
        <v>0</v>
      </c>
      <c r="I163" s="7">
        <v>0</v>
      </c>
      <c r="J163" s="7">
        <v>0</v>
      </c>
      <c r="K163" s="7">
        <v>0</v>
      </c>
      <c r="M163">
        <f t="shared" ref="M163" si="117">MDETERM(B163:D165)</f>
        <v>1.8855488203375226</v>
      </c>
      <c r="N163">
        <f t="shared" ref="N163" si="118">MDETERM(E163:G165)</f>
        <v>-3.3686023826032914E-6</v>
      </c>
      <c r="P163">
        <f t="array" ref="P163:R165">SVDD(B163:D165)</f>
        <v>3.1486918152895274</v>
      </c>
      <c r="Q163">
        <v>0</v>
      </c>
      <c r="R163">
        <v>0</v>
      </c>
      <c r="S163" s="3">
        <f t="shared" ref="S163" si="119">MAX(P163,Q164,R165)/MIN(P163,Q164,R165)</f>
        <v>5.3206171986713269</v>
      </c>
      <c r="X163" s="3"/>
    </row>
    <row r="164" spans="1:24">
      <c r="A164" s="7" t="s">
        <v>56</v>
      </c>
      <c r="B164" s="8">
        <v>-0.14897154656832046</v>
      </c>
      <c r="C164" s="8">
        <v>0.84725762547333594</v>
      </c>
      <c r="D164" s="8">
        <v>-1.9759438806851826E-2</v>
      </c>
      <c r="E164" s="7">
        <v>0</v>
      </c>
      <c r="F164" s="7">
        <v>-1.4990516053215155E-2</v>
      </c>
      <c r="G164" s="8">
        <v>0</v>
      </c>
      <c r="H164" s="8">
        <v>0</v>
      </c>
      <c r="I164" s="33">
        <v>0</v>
      </c>
      <c r="J164" s="7">
        <v>0</v>
      </c>
      <c r="K164" s="7">
        <v>0</v>
      </c>
      <c r="P164">
        <v>0</v>
      </c>
      <c r="Q164">
        <v>1.0119044016389576</v>
      </c>
      <c r="R164">
        <v>0</v>
      </c>
      <c r="X164" s="3"/>
    </row>
    <row r="165" spans="1:24">
      <c r="A165" s="7"/>
      <c r="B165" s="8">
        <v>2.6959782234951333</v>
      </c>
      <c r="C165" s="8">
        <v>1.0757798809975587</v>
      </c>
      <c r="D165" s="8">
        <v>4.997772423355884E-2</v>
      </c>
      <c r="E165" s="7">
        <v>0</v>
      </c>
      <c r="F165" s="8">
        <v>0</v>
      </c>
      <c r="G165" s="7">
        <v>-1.4990516053215155E-2</v>
      </c>
      <c r="H165" s="8">
        <v>0</v>
      </c>
      <c r="I165" s="8">
        <v>0</v>
      </c>
      <c r="J165" s="33">
        <v>0</v>
      </c>
      <c r="K165" s="33">
        <v>0</v>
      </c>
      <c r="P165">
        <v>0</v>
      </c>
      <c r="Q165">
        <v>0</v>
      </c>
      <c r="R165">
        <v>0.59179070730287153</v>
      </c>
      <c r="X165" s="3"/>
    </row>
    <row r="166" spans="1:24">
      <c r="A166" s="7"/>
      <c r="B166" s="8"/>
      <c r="C166" s="8"/>
      <c r="D166" s="8"/>
      <c r="E166" s="7"/>
      <c r="F166" s="7"/>
      <c r="G166" s="7"/>
      <c r="H166" s="7"/>
      <c r="I166" s="7"/>
      <c r="J166" s="7"/>
      <c r="K166" s="7"/>
      <c r="X166" s="3"/>
    </row>
    <row r="167" spans="1:24">
      <c r="A167" s="7"/>
      <c r="B167" s="8">
        <v>1.253875629566908</v>
      </c>
      <c r="C167" s="8">
        <v>3.2592166127769939E-2</v>
      </c>
      <c r="D167" s="8">
        <v>-0.73934661383723232</v>
      </c>
      <c r="E167" s="7">
        <v>-1.4990516053215155E-2</v>
      </c>
      <c r="F167" s="8">
        <v>0</v>
      </c>
      <c r="G167" s="8">
        <v>0</v>
      </c>
      <c r="H167" s="33">
        <v>0</v>
      </c>
      <c r="I167" s="7">
        <v>0</v>
      </c>
      <c r="J167" s="7">
        <v>0</v>
      </c>
      <c r="K167" s="7">
        <v>0</v>
      </c>
      <c r="M167">
        <f t="shared" ref="M167" si="120">MDETERM(B167:D169)</f>
        <v>0.52092181672998861</v>
      </c>
      <c r="N167">
        <f t="shared" ref="N167" si="121">MDETERM(E167:G169)</f>
        <v>-3.3686023826032914E-6</v>
      </c>
      <c r="P167">
        <f t="array" ref="P167:R169">SVDD(B167:D169)</f>
        <v>2.3072029244269689</v>
      </c>
      <c r="Q167">
        <v>0</v>
      </c>
      <c r="R167">
        <v>0</v>
      </c>
      <c r="S167" s="3">
        <f t="shared" ref="S167" si="122">MAX(P167,Q168,R169)/MIN(P167,Q168,R169)</f>
        <v>14.924598791824929</v>
      </c>
      <c r="X167" s="3"/>
    </row>
    <row r="168" spans="1:24">
      <c r="A168" s="7" t="s">
        <v>57</v>
      </c>
      <c r="B168" s="8">
        <v>-0.14897154656832046</v>
      </c>
      <c r="C168" s="8">
        <v>0.84725762547333594</v>
      </c>
      <c r="D168" s="8">
        <v>-1.9759438806851826E-2</v>
      </c>
      <c r="E168" s="7">
        <v>0</v>
      </c>
      <c r="F168" s="7">
        <v>-1.4990516053215155E-2</v>
      </c>
      <c r="G168" s="8">
        <v>0</v>
      </c>
      <c r="H168" s="8">
        <v>0</v>
      </c>
      <c r="I168" s="33">
        <v>0</v>
      </c>
      <c r="J168" s="7">
        <v>0</v>
      </c>
      <c r="K168" s="7">
        <v>0</v>
      </c>
      <c r="P168">
        <v>0</v>
      </c>
      <c r="Q168">
        <v>1.4605069386254479</v>
      </c>
      <c r="R168">
        <v>0</v>
      </c>
      <c r="X168" s="3"/>
    </row>
    <row r="169" spans="1:24">
      <c r="A169" s="7"/>
      <c r="B169" s="8">
        <v>0.21871711292247331</v>
      </c>
      <c r="C169" s="8">
        <v>2.1363371502498802</v>
      </c>
      <c r="D169" s="8">
        <v>8.9790398854103559E-2</v>
      </c>
      <c r="E169" s="7">
        <v>0</v>
      </c>
      <c r="F169" s="8">
        <v>0</v>
      </c>
      <c r="G169" s="7">
        <v>-1.4990516053215155E-2</v>
      </c>
      <c r="H169" s="8">
        <v>0</v>
      </c>
      <c r="I169" s="8">
        <v>0</v>
      </c>
      <c r="J169" s="33">
        <v>0</v>
      </c>
      <c r="K169" s="33">
        <v>0</v>
      </c>
      <c r="P169">
        <v>0</v>
      </c>
      <c r="Q169">
        <v>0</v>
      </c>
      <c r="R169">
        <v>0.1545906162442878</v>
      </c>
      <c r="X169" s="3"/>
    </row>
    <row r="170" spans="1:24">
      <c r="A170" s="7"/>
      <c r="B170" s="8"/>
      <c r="C170" s="8"/>
      <c r="D170" s="8"/>
      <c r="E170" s="7"/>
      <c r="F170" s="7"/>
      <c r="G170" s="7"/>
      <c r="H170" s="7"/>
      <c r="I170" s="7"/>
      <c r="J170" s="7"/>
      <c r="K170" s="7"/>
      <c r="X170" s="3"/>
    </row>
    <row r="171" spans="1:24">
      <c r="A171" s="7"/>
      <c r="B171" s="8">
        <v>1.253875629566908</v>
      </c>
      <c r="C171" s="8">
        <v>3.2592166127769939E-2</v>
      </c>
      <c r="D171" s="8">
        <v>-0.73934661383723232</v>
      </c>
      <c r="E171" s="7">
        <v>-1.4990516053215155E-2</v>
      </c>
      <c r="F171" s="8">
        <v>0</v>
      </c>
      <c r="G171" s="8">
        <v>0</v>
      </c>
      <c r="H171" s="33">
        <v>0</v>
      </c>
      <c r="I171" s="7">
        <v>0</v>
      </c>
      <c r="J171" s="7">
        <v>0</v>
      </c>
      <c r="K171" s="7">
        <v>0</v>
      </c>
      <c r="M171">
        <f t="shared" ref="M171" si="123">MDETERM(B171:D173)</f>
        <v>1.4486721475840942</v>
      </c>
      <c r="N171">
        <f t="shared" ref="N171" si="124">MDETERM(E171:G173)</f>
        <v>-3.3686023826032914E-6</v>
      </c>
      <c r="P171">
        <f t="array" ref="P171:R173">SVDD(B171:D173)</f>
        <v>2.9899944880535863</v>
      </c>
      <c r="Q171">
        <v>0</v>
      </c>
      <c r="R171">
        <v>0</v>
      </c>
      <c r="S171" s="3">
        <f t="shared" ref="S171" si="125">MAX(P171,Q172,R173)/MIN(P171,Q172,R173)</f>
        <v>7.888357243357154</v>
      </c>
      <c r="X171" s="3"/>
    </row>
    <row r="172" spans="1:24">
      <c r="A172" s="7" t="s">
        <v>58</v>
      </c>
      <c r="B172" s="8">
        <v>-0.14897154656832046</v>
      </c>
      <c r="C172" s="8">
        <v>0.84725762547333594</v>
      </c>
      <c r="D172" s="8">
        <v>-1.9759438806851826E-2</v>
      </c>
      <c r="E172" s="7">
        <v>0</v>
      </c>
      <c r="F172" s="7">
        <v>-1.4990516053215155E-2</v>
      </c>
      <c r="G172" s="8">
        <v>0</v>
      </c>
      <c r="H172" s="8">
        <v>0</v>
      </c>
      <c r="I172" s="33">
        <v>0</v>
      </c>
      <c r="J172" s="7">
        <v>0</v>
      </c>
      <c r="K172" s="7">
        <v>0</v>
      </c>
      <c r="P172">
        <v>0</v>
      </c>
      <c r="Q172">
        <v>1.2782503061012871</v>
      </c>
      <c r="R172">
        <v>0</v>
      </c>
      <c r="X172" s="3"/>
    </row>
    <row r="173" spans="1:24">
      <c r="A173" s="7"/>
      <c r="B173" s="8">
        <v>1.8375474863113905</v>
      </c>
      <c r="C173" s="8">
        <v>2.1167426559988707</v>
      </c>
      <c r="D173" s="8">
        <v>1.2367606559382516E-2</v>
      </c>
      <c r="E173" s="7">
        <v>0</v>
      </c>
      <c r="F173" s="8">
        <v>0</v>
      </c>
      <c r="G173" s="7">
        <v>-1.4990516053215155E-2</v>
      </c>
      <c r="H173" s="8">
        <v>0</v>
      </c>
      <c r="I173" s="8">
        <v>0</v>
      </c>
      <c r="J173" s="33">
        <v>0</v>
      </c>
      <c r="K173" s="33">
        <v>0</v>
      </c>
      <c r="P173">
        <v>0</v>
      </c>
      <c r="Q173">
        <v>0</v>
      </c>
      <c r="R173">
        <v>0.37903892988257898</v>
      </c>
      <c r="X173" s="3"/>
    </row>
    <row r="174" spans="1:24">
      <c r="A174" s="7"/>
      <c r="B174" s="8"/>
      <c r="C174" s="8"/>
      <c r="D174" s="8"/>
      <c r="E174" s="7"/>
      <c r="F174" s="7"/>
      <c r="G174" s="7"/>
      <c r="H174" s="7"/>
      <c r="I174" s="7"/>
      <c r="J174" s="7"/>
      <c r="K174" s="7"/>
      <c r="X174" s="3"/>
    </row>
    <row r="175" spans="1:24">
      <c r="A175" s="7"/>
      <c r="B175" s="8">
        <v>1.253875629566908</v>
      </c>
      <c r="C175" s="8">
        <v>3.2592166127769939E-2</v>
      </c>
      <c r="D175" s="8">
        <v>-0.73934661383723232</v>
      </c>
      <c r="E175" s="7">
        <v>-1.4990516053215155E-2</v>
      </c>
      <c r="F175" s="8">
        <v>0</v>
      </c>
      <c r="G175" s="8">
        <v>0</v>
      </c>
      <c r="H175" s="33">
        <v>0</v>
      </c>
      <c r="I175" s="7">
        <v>0</v>
      </c>
      <c r="J175" s="7">
        <v>0</v>
      </c>
      <c r="K175" s="7">
        <v>0</v>
      </c>
      <c r="M175">
        <f t="shared" ref="M175" si="126">MDETERM(B175:D177)</f>
        <v>0.37135180285820096</v>
      </c>
      <c r="N175">
        <f t="shared" ref="N175" si="127">MDETERM(E175:G177)</f>
        <v>-3.3686023826032914E-6</v>
      </c>
      <c r="P175">
        <f t="array" ref="P175:R177">SVDD(B175:D177)</f>
        <v>2.9670627237475808</v>
      </c>
      <c r="Q175">
        <v>0</v>
      </c>
      <c r="R175">
        <v>0</v>
      </c>
      <c r="S175" s="3">
        <f t="shared" ref="S175" si="128">MAX(P175,Q176,R177)/MIN(P175,Q176,R177)</f>
        <v>31.543651568563895</v>
      </c>
      <c r="X175" s="3"/>
    </row>
    <row r="176" spans="1:24">
      <c r="A176" s="7" t="s">
        <v>59</v>
      </c>
      <c r="B176" s="8">
        <v>-0.14897154656832046</v>
      </c>
      <c r="C176" s="8">
        <v>0.84725762547333594</v>
      </c>
      <c r="D176" s="8">
        <v>-1.9759438806851826E-2</v>
      </c>
      <c r="E176" s="7">
        <v>0</v>
      </c>
      <c r="F176" s="7">
        <v>-1.4990516053215155E-2</v>
      </c>
      <c r="G176" s="8">
        <v>0</v>
      </c>
      <c r="H176" s="8">
        <v>0</v>
      </c>
      <c r="I176" s="33">
        <v>0</v>
      </c>
      <c r="J176" s="7">
        <v>0</v>
      </c>
      <c r="K176" s="7">
        <v>0</v>
      </c>
      <c r="P176">
        <v>0</v>
      </c>
      <c r="Q176">
        <v>1.3305893674939453</v>
      </c>
      <c r="R176">
        <v>0</v>
      </c>
      <c r="X176" s="3"/>
    </row>
    <row r="177" spans="1:24">
      <c r="A177" s="7"/>
      <c r="B177" s="8">
        <v>1.2284177840385118</v>
      </c>
      <c r="C177" s="8">
        <v>2.3993580133895418</v>
      </c>
      <c r="D177" s="8">
        <v>-0.6756623603325641</v>
      </c>
      <c r="E177" s="7">
        <v>0</v>
      </c>
      <c r="F177" s="8">
        <v>0</v>
      </c>
      <c r="G177" s="7">
        <v>-1.4990516053215155E-2</v>
      </c>
      <c r="H177" s="8">
        <v>0</v>
      </c>
      <c r="I177" s="8">
        <v>0</v>
      </c>
      <c r="J177" s="33">
        <v>0</v>
      </c>
      <c r="K177" s="33">
        <v>0</v>
      </c>
      <c r="P177">
        <v>0</v>
      </c>
      <c r="Q177">
        <v>0</v>
      </c>
      <c r="R177">
        <v>9.4062119513915993E-2</v>
      </c>
      <c r="X177" s="3"/>
    </row>
    <row r="178" spans="1:24">
      <c r="A178" s="7"/>
      <c r="B178" s="8"/>
      <c r="C178" s="8"/>
      <c r="D178" s="8"/>
      <c r="E178" s="7"/>
      <c r="F178" s="7"/>
      <c r="G178" s="7"/>
      <c r="H178" s="7"/>
      <c r="I178" s="7"/>
      <c r="J178" s="7"/>
      <c r="K178" s="7"/>
      <c r="X178" s="3"/>
    </row>
    <row r="179" spans="1:24">
      <c r="A179" s="7"/>
      <c r="B179" s="8">
        <v>1.253875629566908</v>
      </c>
      <c r="C179" s="8">
        <v>3.2592166127769939E-2</v>
      </c>
      <c r="D179" s="8">
        <v>-0.73934661383723232</v>
      </c>
      <c r="E179" s="7">
        <v>-1.4990516053215155E-2</v>
      </c>
      <c r="F179" s="8">
        <v>0</v>
      </c>
      <c r="G179" s="8">
        <v>0</v>
      </c>
      <c r="H179" s="33">
        <v>0</v>
      </c>
      <c r="I179" s="7">
        <v>0</v>
      </c>
      <c r="J179" s="7">
        <v>0</v>
      </c>
      <c r="K179" s="7">
        <v>0</v>
      </c>
      <c r="M179">
        <f t="shared" ref="M179" si="129">MDETERM(B179:D181)</f>
        <v>-4.1046095569423091</v>
      </c>
      <c r="N179">
        <f t="shared" ref="N179" si="130">MDETERM(E179:G181)</f>
        <v>-3.3686023826032914E-6</v>
      </c>
      <c r="P179">
        <f t="array" ref="P179:R181">SVDD(B179:D181)</f>
        <v>3.3302266211342055</v>
      </c>
      <c r="Q179">
        <v>0</v>
      </c>
      <c r="R179">
        <v>0</v>
      </c>
      <c r="S179" s="3">
        <f t="shared" ref="S179" si="131">MAX(P179,Q180,R181)/MIN(P179,Q180,R181)</f>
        <v>5.1709959027855508</v>
      </c>
      <c r="X179" s="3"/>
    </row>
    <row r="180" spans="1:24">
      <c r="A180" s="7" t="s">
        <v>60</v>
      </c>
      <c r="B180" s="8">
        <v>2.6959782234951333</v>
      </c>
      <c r="C180" s="8">
        <v>1.0757798809975587</v>
      </c>
      <c r="D180" s="8">
        <v>4.997772423355884E-2</v>
      </c>
      <c r="E180" s="7">
        <v>0</v>
      </c>
      <c r="F180" s="7">
        <v>-1.4990516053215155E-2</v>
      </c>
      <c r="G180" s="8">
        <v>0</v>
      </c>
      <c r="H180" s="8">
        <v>0</v>
      </c>
      <c r="I180" s="33">
        <v>0</v>
      </c>
      <c r="J180" s="7">
        <v>0</v>
      </c>
      <c r="K180" s="7">
        <v>0</v>
      </c>
      <c r="P180">
        <v>0</v>
      </c>
      <c r="Q180">
        <v>1.913808456952796</v>
      </c>
      <c r="R180">
        <v>0</v>
      </c>
      <c r="X180" s="3"/>
    </row>
    <row r="181" spans="1:24">
      <c r="A181" s="7"/>
      <c r="B181" s="8">
        <v>0.21871711292247331</v>
      </c>
      <c r="C181" s="8">
        <v>2.1363371502498802</v>
      </c>
      <c r="D181" s="8">
        <v>8.9790398854103559E-2</v>
      </c>
      <c r="E181" s="7">
        <v>0</v>
      </c>
      <c r="F181" s="8">
        <v>0</v>
      </c>
      <c r="G181" s="7">
        <v>-1.4990516053215155E-2</v>
      </c>
      <c r="H181" s="8">
        <v>0</v>
      </c>
      <c r="I181" s="8">
        <v>0</v>
      </c>
      <c r="J181" s="33">
        <v>0</v>
      </c>
      <c r="K181" s="33">
        <v>0</v>
      </c>
      <c r="P181">
        <v>0</v>
      </c>
      <c r="Q181">
        <v>0</v>
      </c>
      <c r="R181">
        <v>0.64402035579650219</v>
      </c>
      <c r="X181" s="3"/>
    </row>
    <row r="182" spans="1:24">
      <c r="A182" s="7"/>
      <c r="B182" s="8"/>
      <c r="C182" s="8"/>
      <c r="D182" s="8"/>
      <c r="E182" s="7"/>
      <c r="F182" s="7"/>
      <c r="G182" s="7"/>
      <c r="H182" s="7"/>
      <c r="I182" s="7"/>
      <c r="J182" s="7"/>
      <c r="K182" s="7"/>
      <c r="X182" s="3"/>
    </row>
    <row r="183" spans="1:24">
      <c r="A183" s="7"/>
      <c r="B183" s="8">
        <v>1.253875629566908</v>
      </c>
      <c r="C183" s="8">
        <v>3.2592166127769939E-2</v>
      </c>
      <c r="D183" s="8">
        <v>-0.73934661383723232</v>
      </c>
      <c r="E183" s="7">
        <v>-1.4990516053215155E-2</v>
      </c>
      <c r="F183" s="8">
        <v>0</v>
      </c>
      <c r="G183" s="8">
        <v>0</v>
      </c>
      <c r="H183" s="33">
        <v>0</v>
      </c>
      <c r="I183" s="7">
        <v>0</v>
      </c>
      <c r="J183" s="7">
        <v>0</v>
      </c>
      <c r="K183" s="7">
        <v>0</v>
      </c>
      <c r="M183">
        <f t="shared" ref="M183" si="132">MDETERM(B183:D185)</f>
        <v>-2.871744051574181</v>
      </c>
      <c r="N183">
        <f t="shared" ref="N183" si="133">MDETERM(E183:G185)</f>
        <v>-3.3686023826032914E-6</v>
      </c>
      <c r="P183">
        <f t="array" ref="P183:R185">SVDD(B183:D185)</f>
        <v>4.0661545852043153</v>
      </c>
      <c r="Q183">
        <v>0</v>
      </c>
      <c r="R183">
        <v>0</v>
      </c>
      <c r="S183" s="3">
        <f t="shared" ref="S183" si="134">MAX(P183,Q184,R185)/MIN(P183,Q184,R185)</f>
        <v>7.1675826345810227</v>
      </c>
      <c r="X183" s="3"/>
    </row>
    <row r="184" spans="1:24">
      <c r="A184" s="7" t="s">
        <v>61</v>
      </c>
      <c r="B184" s="8">
        <v>2.6959782234951333</v>
      </c>
      <c r="C184" s="8">
        <v>1.0757798809975587</v>
      </c>
      <c r="D184" s="8">
        <v>4.997772423355884E-2</v>
      </c>
      <c r="E184" s="7">
        <v>0</v>
      </c>
      <c r="F184" s="7">
        <v>-1.4990516053215155E-2</v>
      </c>
      <c r="G184" s="8">
        <v>0</v>
      </c>
      <c r="H184" s="8">
        <v>0</v>
      </c>
      <c r="I184" s="33">
        <v>0</v>
      </c>
      <c r="J184" s="7">
        <v>0</v>
      </c>
      <c r="K184" s="7">
        <v>0</v>
      </c>
      <c r="P184">
        <v>0</v>
      </c>
      <c r="Q184">
        <v>1.244946440751435</v>
      </c>
      <c r="R184">
        <v>0</v>
      </c>
      <c r="X184" s="3"/>
    </row>
    <row r="185" spans="1:24">
      <c r="A185" s="7"/>
      <c r="B185" s="8">
        <v>1.8375474863113905</v>
      </c>
      <c r="C185" s="8">
        <v>2.1167426559988707</v>
      </c>
      <c r="D185" s="8">
        <v>1.2367606559382516E-2</v>
      </c>
      <c r="E185" s="7">
        <v>0</v>
      </c>
      <c r="F185" s="8">
        <v>0</v>
      </c>
      <c r="G185" s="7">
        <v>-1.4990516053215155E-2</v>
      </c>
      <c r="H185" s="8">
        <v>0</v>
      </c>
      <c r="I185" s="8">
        <v>0</v>
      </c>
      <c r="J185" s="33">
        <v>0</v>
      </c>
      <c r="K185" s="33">
        <v>0</v>
      </c>
      <c r="P185">
        <v>0</v>
      </c>
      <c r="Q185">
        <v>0</v>
      </c>
      <c r="R185">
        <v>0.56729790119008516</v>
      </c>
      <c r="X185" s="3"/>
    </row>
    <row r="186" spans="1:24">
      <c r="A186" s="7"/>
      <c r="B186" s="8"/>
      <c r="C186" s="8"/>
      <c r="D186" s="8"/>
      <c r="E186" s="7"/>
      <c r="F186" s="7"/>
      <c r="G186" s="7"/>
      <c r="H186" s="7"/>
      <c r="I186" s="7"/>
      <c r="J186" s="7"/>
      <c r="K186" s="7"/>
      <c r="X186" s="3"/>
    </row>
    <row r="187" spans="1:24">
      <c r="A187" s="7"/>
      <c r="B187" s="8">
        <v>1.253875629566908</v>
      </c>
      <c r="C187" s="8">
        <v>3.2592166127769939E-2</v>
      </c>
      <c r="D187" s="8">
        <v>-0.73934661383723232</v>
      </c>
      <c r="E187" s="7">
        <v>-1.4990516053215155E-2</v>
      </c>
      <c r="F187" s="8">
        <v>0</v>
      </c>
      <c r="G187" s="8">
        <v>0</v>
      </c>
      <c r="H187" s="33">
        <v>0</v>
      </c>
      <c r="I187" s="7">
        <v>0</v>
      </c>
      <c r="J187" s="7">
        <v>0</v>
      </c>
      <c r="K187" s="7">
        <v>0</v>
      </c>
      <c r="M187">
        <f t="shared" ref="M187" si="135">MDETERM(B187:D189)</f>
        <v>-4.8058831541717364</v>
      </c>
      <c r="N187">
        <f t="shared" ref="N187" si="136">MDETERM(E187:G189)</f>
        <v>-3.3686023826032914E-6</v>
      </c>
      <c r="P187">
        <f t="array" ref="P187:R189">SVDD(B187:D189)</f>
        <v>3.8891894868665049</v>
      </c>
      <c r="Q187">
        <v>0</v>
      </c>
      <c r="R187">
        <v>0</v>
      </c>
      <c r="S187" s="3">
        <f t="shared" ref="S187" si="137">MAX(P187,Q188,R189)/MIN(P187,Q188,R189)</f>
        <v>5.020555181865034</v>
      </c>
      <c r="X187" s="3"/>
    </row>
    <row r="188" spans="1:24">
      <c r="A188" s="7" t="s">
        <v>62</v>
      </c>
      <c r="B188" s="8">
        <v>2.6959782234951333</v>
      </c>
      <c r="C188" s="8">
        <v>1.0757798809975587</v>
      </c>
      <c r="D188" s="8">
        <v>4.997772423355884E-2</v>
      </c>
      <c r="E188" s="7">
        <v>0</v>
      </c>
      <c r="F188" s="7">
        <v>-1.4990516053215155E-2</v>
      </c>
      <c r="G188" s="8">
        <v>0</v>
      </c>
      <c r="H188" s="8">
        <v>0</v>
      </c>
      <c r="I188" s="33">
        <v>0</v>
      </c>
      <c r="J188" s="7">
        <v>0</v>
      </c>
      <c r="K188" s="7">
        <v>0</v>
      </c>
      <c r="P188">
        <v>0</v>
      </c>
      <c r="Q188">
        <v>1.5951691655781863</v>
      </c>
      <c r="R188">
        <v>0</v>
      </c>
      <c r="X188" s="3"/>
    </row>
    <row r="189" spans="1:24">
      <c r="A189" s="7"/>
      <c r="B189" s="8">
        <v>1.2284177840385118</v>
      </c>
      <c r="C189" s="8">
        <v>2.3993580133895418</v>
      </c>
      <c r="D189" s="8">
        <v>-0.6756623603325641</v>
      </c>
      <c r="E189" s="7">
        <v>0</v>
      </c>
      <c r="F189" s="8">
        <v>0</v>
      </c>
      <c r="G189" s="7">
        <v>-1.4990516053215155E-2</v>
      </c>
      <c r="H189" s="8">
        <v>0</v>
      </c>
      <c r="I189" s="8">
        <v>0</v>
      </c>
      <c r="J189" s="33">
        <v>0</v>
      </c>
      <c r="K189" s="33">
        <v>0</v>
      </c>
      <c r="P189">
        <v>0</v>
      </c>
      <c r="Q189">
        <v>0</v>
      </c>
      <c r="R189">
        <v>0.7746532696054842</v>
      </c>
      <c r="X189" s="3"/>
    </row>
    <row r="190" spans="1:24">
      <c r="A190" s="7"/>
      <c r="B190" s="8"/>
      <c r="C190" s="8"/>
      <c r="D190" s="8"/>
      <c r="E190" s="7"/>
      <c r="F190" s="7"/>
      <c r="G190" s="7"/>
      <c r="H190" s="7"/>
      <c r="I190" s="7"/>
      <c r="J190" s="7"/>
      <c r="K190" s="7"/>
      <c r="X190" s="3"/>
    </row>
    <row r="191" spans="1:24">
      <c r="A191" s="7"/>
      <c r="B191" s="8">
        <v>1.253875629566908</v>
      </c>
      <c r="C191" s="8">
        <v>3.2592166127769939E-2</v>
      </c>
      <c r="D191" s="8">
        <v>-0.73934661383723232</v>
      </c>
      <c r="E191" s="7">
        <v>-1.4990516053215155E-2</v>
      </c>
      <c r="F191" s="8">
        <v>0</v>
      </c>
      <c r="G191" s="8">
        <v>0</v>
      </c>
      <c r="H191" s="33">
        <v>0</v>
      </c>
      <c r="I191" s="7">
        <v>0</v>
      </c>
      <c r="J191" s="7">
        <v>0</v>
      </c>
      <c r="K191" s="7">
        <v>0</v>
      </c>
      <c r="M191">
        <f t="shared" ref="M191" si="138">MDETERM(B191:D193)</f>
        <v>2.3602037588841798</v>
      </c>
      <c r="N191">
        <f t="shared" ref="N191" si="139">MDETERM(E191:G193)</f>
        <v>-3.3686023826032914E-6</v>
      </c>
      <c r="P191">
        <f t="array" ref="P191:R193">SVDD(B191:D193)</f>
        <v>3.4454636478766267</v>
      </c>
      <c r="Q191">
        <v>0</v>
      </c>
      <c r="R191">
        <v>0</v>
      </c>
      <c r="S191" s="3">
        <f t="shared" ref="S191" si="140">MAX(P191,Q192,R193)/MIN(P191,Q192,R193)</f>
        <v>8.0179728515029733</v>
      </c>
      <c r="X191" s="3"/>
    </row>
    <row r="192" spans="1:24">
      <c r="A192" s="7" t="s">
        <v>63</v>
      </c>
      <c r="B192" s="8">
        <v>0.21871711292247331</v>
      </c>
      <c r="C192" s="8">
        <v>2.1363371502498802</v>
      </c>
      <c r="D192" s="8">
        <v>8.9790398854103559E-2</v>
      </c>
      <c r="E192" s="7">
        <v>0</v>
      </c>
      <c r="F192" s="7">
        <v>-1.4990516053215155E-2</v>
      </c>
      <c r="G192" s="8">
        <v>0</v>
      </c>
      <c r="H192" s="8">
        <v>0</v>
      </c>
      <c r="I192" s="33">
        <v>0</v>
      </c>
      <c r="J192" s="7">
        <v>0</v>
      </c>
      <c r="K192" s="7">
        <v>0</v>
      </c>
      <c r="P192">
        <v>0</v>
      </c>
      <c r="Q192">
        <v>1.5941116467496008</v>
      </c>
      <c r="R192">
        <v>0</v>
      </c>
      <c r="X192" s="3"/>
    </row>
    <row r="193" spans="1:24">
      <c r="A193" s="7"/>
      <c r="B193" s="8">
        <v>1.8375474863113905</v>
      </c>
      <c r="C193" s="8">
        <v>2.1167426559988707</v>
      </c>
      <c r="D193" s="8">
        <v>1.2367606559382516E-2</v>
      </c>
      <c r="E193" s="7">
        <v>0</v>
      </c>
      <c r="F193" s="8">
        <v>0</v>
      </c>
      <c r="G193" s="7">
        <v>-1.4990516053215155E-2</v>
      </c>
      <c r="H193" s="8">
        <v>0</v>
      </c>
      <c r="I193" s="8">
        <v>0</v>
      </c>
      <c r="J193" s="33">
        <v>0</v>
      </c>
      <c r="K193" s="33">
        <v>0</v>
      </c>
      <c r="P193">
        <v>0</v>
      </c>
      <c r="Q193">
        <v>0</v>
      </c>
      <c r="R193">
        <v>0.42971754977079685</v>
      </c>
      <c r="X193" s="3"/>
    </row>
    <row r="194" spans="1:24">
      <c r="A194" s="7"/>
      <c r="B194" s="8"/>
      <c r="C194" s="8"/>
      <c r="D194" s="8"/>
      <c r="E194" s="7"/>
      <c r="F194" s="7"/>
      <c r="G194" s="7"/>
      <c r="H194" s="7"/>
      <c r="I194" s="7"/>
      <c r="J194" s="7"/>
      <c r="K194" s="7"/>
      <c r="X194" s="3"/>
    </row>
    <row r="195" spans="1:24">
      <c r="A195" s="7"/>
      <c r="B195" s="8">
        <v>1.253875629566908</v>
      </c>
      <c r="C195" s="8">
        <v>3.2592166127769939E-2</v>
      </c>
      <c r="D195" s="8">
        <v>-0.73934661383723232</v>
      </c>
      <c r="E195" s="7">
        <v>-1.4990516053215155E-2</v>
      </c>
      <c r="F195" s="8">
        <v>0</v>
      </c>
      <c r="G195" s="8">
        <v>0</v>
      </c>
      <c r="H195" s="33">
        <v>0</v>
      </c>
      <c r="I195" s="7">
        <v>0</v>
      </c>
      <c r="J195" s="7">
        <v>0</v>
      </c>
      <c r="K195" s="7">
        <v>0</v>
      </c>
      <c r="M195">
        <f t="shared" ref="M195" si="141">MDETERM(B195:D197)</f>
        <v>-0.51933697717165095</v>
      </c>
      <c r="N195">
        <f t="shared" ref="N195" si="142">MDETERM(E195:G197)</f>
        <v>-3.3686023826032914E-6</v>
      </c>
      <c r="P195">
        <f t="array" ref="P195:R197">SVDD(B195:D197)</f>
        <v>3.4752025889825835</v>
      </c>
      <c r="Q195">
        <v>0</v>
      </c>
      <c r="R195">
        <v>0</v>
      </c>
      <c r="S195" s="3">
        <f t="shared" ref="S195" si="143">MAX(P195,Q196,R197)/MIN(P195,Q196,R197)</f>
        <v>35.843588743019239</v>
      </c>
      <c r="X195" s="3"/>
    </row>
    <row r="196" spans="1:24">
      <c r="A196" s="7" t="s">
        <v>64</v>
      </c>
      <c r="B196" s="8">
        <v>0.21871711292247331</v>
      </c>
      <c r="C196" s="8">
        <v>2.1363371502498802</v>
      </c>
      <c r="D196" s="8">
        <v>8.9790398854103559E-2</v>
      </c>
      <c r="E196" s="7">
        <v>0</v>
      </c>
      <c r="F196" s="7">
        <v>-1.4990516053215155E-2</v>
      </c>
      <c r="G196" s="8">
        <v>0</v>
      </c>
      <c r="H196" s="8">
        <v>0</v>
      </c>
      <c r="I196" s="33">
        <v>0</v>
      </c>
      <c r="J196" s="7">
        <v>0</v>
      </c>
      <c r="K196" s="7">
        <v>0</v>
      </c>
      <c r="P196">
        <v>0</v>
      </c>
      <c r="Q196">
        <v>1.5413471980784736</v>
      </c>
      <c r="R196">
        <v>0</v>
      </c>
      <c r="X196" s="3"/>
    </row>
    <row r="197" spans="1:24">
      <c r="A197" s="7"/>
      <c r="B197" s="8">
        <v>1.2284177840385118</v>
      </c>
      <c r="C197" s="8">
        <v>2.3993580133895418</v>
      </c>
      <c r="D197" s="8">
        <v>-0.6756623603325641</v>
      </c>
      <c r="E197" s="7">
        <v>0</v>
      </c>
      <c r="F197" s="8">
        <v>0</v>
      </c>
      <c r="G197" s="7">
        <v>-1.4990516053215155E-2</v>
      </c>
      <c r="H197" s="8">
        <v>0</v>
      </c>
      <c r="I197" s="8">
        <v>0</v>
      </c>
      <c r="J197" s="33">
        <v>0</v>
      </c>
      <c r="K197" s="33">
        <v>0</v>
      </c>
      <c r="P197">
        <v>0</v>
      </c>
      <c r="Q197">
        <v>0</v>
      </c>
      <c r="R197">
        <v>9.6954649655704495E-2</v>
      </c>
      <c r="X197" s="3"/>
    </row>
    <row r="198" spans="1:24">
      <c r="A198" s="7"/>
      <c r="B198" s="8"/>
      <c r="C198" s="8"/>
      <c r="D198" s="8"/>
      <c r="E198" s="7"/>
      <c r="F198" s="7"/>
      <c r="G198" s="7"/>
      <c r="H198" s="7"/>
      <c r="I198" s="7"/>
      <c r="J198" s="7"/>
      <c r="K198" s="7"/>
      <c r="X198" s="3"/>
    </row>
    <row r="199" spans="1:24">
      <c r="A199" s="7"/>
      <c r="B199" s="8">
        <v>1.253875629566908</v>
      </c>
      <c r="C199" s="8">
        <v>3.2592166127769939E-2</v>
      </c>
      <c r="D199" s="8">
        <v>-0.73934661383723232</v>
      </c>
      <c r="E199" s="7">
        <v>-1.4990516053215155E-2</v>
      </c>
      <c r="F199" s="8">
        <v>0</v>
      </c>
      <c r="G199" s="8">
        <v>0</v>
      </c>
      <c r="H199" s="33">
        <v>0</v>
      </c>
      <c r="I199" s="7">
        <v>0</v>
      </c>
      <c r="J199" s="7">
        <v>0</v>
      </c>
      <c r="K199" s="7">
        <v>0</v>
      </c>
      <c r="M199">
        <f t="shared" ref="M199" si="144">MDETERM(B199:D201)</f>
        <v>-3.1267934701565778</v>
      </c>
      <c r="N199">
        <f t="shared" ref="N199" si="145">MDETERM(E199:G201)</f>
        <v>-3.3686023826032914E-6</v>
      </c>
      <c r="P199">
        <f t="array" ref="P199:R201">SVDD(B199:D201)</f>
        <v>3.9811948441501461</v>
      </c>
      <c r="Q199">
        <v>0</v>
      </c>
      <c r="R199">
        <v>0</v>
      </c>
      <c r="S199" s="3">
        <f t="shared" ref="S199" si="146">MAX(P199,Q200,R201)/MIN(P199,Q200,R201)</f>
        <v>6.0262694639012206</v>
      </c>
      <c r="X199" s="3"/>
    </row>
    <row r="200" spans="1:24">
      <c r="A200" s="7" t="s">
        <v>65</v>
      </c>
      <c r="B200" s="8">
        <v>1.8375474863113905</v>
      </c>
      <c r="C200" s="8">
        <v>2.1167426559988707</v>
      </c>
      <c r="D200" s="8">
        <v>1.2367606559382516E-2</v>
      </c>
      <c r="E200" s="7">
        <v>0</v>
      </c>
      <c r="F200" s="7">
        <v>-1.4990516053215155E-2</v>
      </c>
      <c r="G200" s="8">
        <v>0</v>
      </c>
      <c r="H200" s="8">
        <v>0</v>
      </c>
      <c r="I200" s="33">
        <v>0</v>
      </c>
      <c r="J200" s="7">
        <v>0</v>
      </c>
      <c r="K200" s="7">
        <v>0</v>
      </c>
      <c r="P200">
        <v>0</v>
      </c>
      <c r="Q200">
        <v>1.188833070426361</v>
      </c>
      <c r="R200">
        <v>0</v>
      </c>
      <c r="X200" s="3"/>
    </row>
    <row r="201" spans="1:24">
      <c r="A201" s="7"/>
      <c r="B201" s="8">
        <v>1.2284177840385118</v>
      </c>
      <c r="C201" s="8">
        <v>2.3993580133895418</v>
      </c>
      <c r="D201" s="8">
        <v>-0.6756623603325641</v>
      </c>
      <c r="E201" s="7">
        <v>0</v>
      </c>
      <c r="F201" s="8">
        <v>0</v>
      </c>
      <c r="G201" s="7">
        <v>-1.4990516053215155E-2</v>
      </c>
      <c r="H201" s="8">
        <v>0</v>
      </c>
      <c r="I201" s="8">
        <v>0</v>
      </c>
      <c r="J201" s="33">
        <v>0</v>
      </c>
      <c r="K201" s="33">
        <v>0</v>
      </c>
      <c r="P201">
        <v>0</v>
      </c>
      <c r="Q201">
        <v>0</v>
      </c>
      <c r="R201">
        <v>0.66064003078495659</v>
      </c>
      <c r="X201" s="3"/>
    </row>
    <row r="202" spans="1:24">
      <c r="A202" s="7"/>
      <c r="B202" s="8"/>
      <c r="C202" s="8"/>
      <c r="D202" s="8"/>
      <c r="E202" s="7"/>
      <c r="F202" s="7"/>
      <c r="G202" s="7"/>
      <c r="H202" s="7"/>
      <c r="I202" s="7"/>
      <c r="J202" s="7"/>
      <c r="K202" s="7"/>
      <c r="X202" s="3"/>
    </row>
    <row r="203" spans="1:24">
      <c r="A203" s="7"/>
      <c r="B203" s="8">
        <v>2.2957880185781296</v>
      </c>
      <c r="C203" s="8">
        <v>-8.2263663034425338E-3</v>
      </c>
      <c r="D203" s="8">
        <v>3.3137218009327896E-2</v>
      </c>
      <c r="E203" s="7">
        <v>-1.4990516053215155E-2</v>
      </c>
      <c r="F203" s="8">
        <v>0</v>
      </c>
      <c r="G203" s="8">
        <v>0</v>
      </c>
      <c r="H203" s="33">
        <v>0</v>
      </c>
      <c r="I203" s="7">
        <v>0</v>
      </c>
      <c r="J203" s="7">
        <v>0</v>
      </c>
      <c r="K203" s="7">
        <v>0</v>
      </c>
      <c r="M203">
        <f t="shared" ref="M203" si="147">MDETERM(B203:D205)</f>
        <v>6.5388738300276861E-2</v>
      </c>
      <c r="N203">
        <f t="shared" ref="N203" si="148">MDETERM(E203:G205)</f>
        <v>-3.3686023826032914E-6</v>
      </c>
      <c r="P203">
        <f t="array" ref="P203:R205">SVDD(B203:D205)</f>
        <v>3.6377493677384938</v>
      </c>
      <c r="Q203">
        <v>0</v>
      </c>
      <c r="R203">
        <v>0</v>
      </c>
      <c r="S203" s="3">
        <f t="shared" ref="S203" si="149">MAX(P203,Q204,R205)/MIN(P203,Q204,R205)</f>
        <v>222.32523405718308</v>
      </c>
      <c r="X203" s="3"/>
    </row>
    <row r="204" spans="1:24">
      <c r="A204" s="7" t="s">
        <v>66</v>
      </c>
      <c r="B204" s="8">
        <v>-0.14897154656832046</v>
      </c>
      <c r="C204" s="8">
        <v>0.84725762547333594</v>
      </c>
      <c r="D204" s="8">
        <v>-1.9759438806851826E-2</v>
      </c>
      <c r="E204" s="7">
        <v>0</v>
      </c>
      <c r="F204" s="7">
        <v>-1.4990516053215155E-2</v>
      </c>
      <c r="G204" s="8">
        <v>0</v>
      </c>
      <c r="H204" s="8">
        <v>0</v>
      </c>
      <c r="I204" s="33">
        <v>0</v>
      </c>
      <c r="J204" s="7">
        <v>0</v>
      </c>
      <c r="K204" s="7">
        <v>0</v>
      </c>
      <c r="P204">
        <v>0</v>
      </c>
      <c r="Q204">
        <v>1.098566036024955</v>
      </c>
      <c r="R204">
        <v>0</v>
      </c>
      <c r="X204" s="3"/>
    </row>
    <row r="205" spans="1:24">
      <c r="A205" s="7"/>
      <c r="B205" s="8">
        <v>2.6959782234951333</v>
      </c>
      <c r="C205" s="8">
        <v>1.0757798809975587</v>
      </c>
      <c r="D205" s="8">
        <v>4.997772423355884E-2</v>
      </c>
      <c r="E205" s="7">
        <v>0</v>
      </c>
      <c r="F205" s="8">
        <v>0</v>
      </c>
      <c r="G205" s="7">
        <v>-1.4990516053215155E-2</v>
      </c>
      <c r="H205" s="8">
        <v>0</v>
      </c>
      <c r="I205" s="8">
        <v>0</v>
      </c>
      <c r="J205" s="33">
        <v>0</v>
      </c>
      <c r="K205" s="33">
        <v>0</v>
      </c>
      <c r="P205">
        <v>0</v>
      </c>
      <c r="Q205">
        <v>0</v>
      </c>
      <c r="R205">
        <v>1.6362287363218733E-2</v>
      </c>
      <c r="X205" s="3"/>
    </row>
    <row r="206" spans="1:24">
      <c r="A206" s="7"/>
      <c r="B206" s="8"/>
      <c r="C206" s="8"/>
      <c r="D206" s="8"/>
      <c r="E206" s="7"/>
      <c r="F206" s="7"/>
      <c r="G206" s="7"/>
      <c r="H206" s="7"/>
      <c r="I206" s="7"/>
      <c r="J206" s="7"/>
      <c r="K206" s="7"/>
      <c r="X206" s="3"/>
    </row>
    <row r="207" spans="1:24">
      <c r="A207" s="7"/>
      <c r="B207" s="8">
        <v>2.2957880185781296</v>
      </c>
      <c r="C207" s="8">
        <v>-8.2263663034425338E-3</v>
      </c>
      <c r="D207" s="8">
        <v>3.3137218009327896E-2</v>
      </c>
      <c r="E207" s="7">
        <v>-1.4990516053215155E-2</v>
      </c>
      <c r="F207" s="8">
        <v>0</v>
      </c>
      <c r="G207" s="8">
        <v>0</v>
      </c>
      <c r="H207" s="33">
        <v>0</v>
      </c>
      <c r="I207" s="7">
        <v>0</v>
      </c>
      <c r="J207" s="7">
        <v>0</v>
      </c>
      <c r="K207" s="7">
        <v>0</v>
      </c>
      <c r="M207">
        <f t="shared" ref="M207" si="150">MDETERM(B207:D209)</f>
        <v>0.25480397621201384</v>
      </c>
      <c r="N207">
        <f t="shared" ref="N207" si="151">MDETERM(E207:G209)</f>
        <v>-3.3686023826032914E-6</v>
      </c>
      <c r="P207">
        <f t="array" ref="P207:R209">SVDD(B207:D209)</f>
        <v>2.3751245623445767</v>
      </c>
      <c r="Q207">
        <v>0</v>
      </c>
      <c r="R207">
        <v>0</v>
      </c>
      <c r="S207" s="3">
        <f t="shared" ref="S207" si="152">MAX(P207,Q208,R209)/MIN(P207,Q208,R209)</f>
        <v>49.448565792947846</v>
      </c>
      <c r="X207" s="3"/>
    </row>
    <row r="208" spans="1:24">
      <c r="A208" s="7" t="s">
        <v>67</v>
      </c>
      <c r="B208" s="8">
        <v>-0.14897154656832046</v>
      </c>
      <c r="C208" s="8">
        <v>0.84725762547333594</v>
      </c>
      <c r="D208" s="8">
        <v>-1.9759438806851826E-2</v>
      </c>
      <c r="E208" s="7">
        <v>0</v>
      </c>
      <c r="F208" s="7">
        <v>-1.4990516053215155E-2</v>
      </c>
      <c r="G208" s="8">
        <v>0</v>
      </c>
      <c r="H208" s="8">
        <v>0</v>
      </c>
      <c r="I208" s="33">
        <v>0</v>
      </c>
      <c r="J208" s="7">
        <v>0</v>
      </c>
      <c r="K208" s="7">
        <v>0</v>
      </c>
      <c r="P208">
        <v>0</v>
      </c>
      <c r="Q208">
        <v>2.2335059760842331</v>
      </c>
      <c r="R208">
        <v>0</v>
      </c>
      <c r="X208" s="3"/>
    </row>
    <row r="209" spans="1:24">
      <c r="A209" s="7"/>
      <c r="B209" s="8">
        <v>0.21871711292247331</v>
      </c>
      <c r="C209" s="8">
        <v>2.1363371502498802</v>
      </c>
      <c r="D209" s="8">
        <v>8.9790398854103559E-2</v>
      </c>
      <c r="E209" s="7">
        <v>0</v>
      </c>
      <c r="F209" s="8">
        <v>0</v>
      </c>
      <c r="G209" s="7">
        <v>-1.4990516053215155E-2</v>
      </c>
      <c r="H209" s="8">
        <v>0</v>
      </c>
      <c r="I209" s="8">
        <v>0</v>
      </c>
      <c r="J209" s="33">
        <v>0</v>
      </c>
      <c r="K209" s="33">
        <v>0</v>
      </c>
      <c r="P209">
        <v>0</v>
      </c>
      <c r="Q209">
        <v>0</v>
      </c>
      <c r="R209">
        <v>4.8032223468113353E-2</v>
      </c>
      <c r="X209" s="3"/>
    </row>
    <row r="210" spans="1:24">
      <c r="A210" s="7"/>
      <c r="B210" s="8"/>
      <c r="C210" s="8"/>
      <c r="D210" s="8"/>
      <c r="E210" s="7"/>
      <c r="F210" s="7"/>
      <c r="G210" s="7"/>
      <c r="H210" s="7"/>
      <c r="I210" s="7"/>
      <c r="J210" s="7"/>
      <c r="K210" s="7"/>
      <c r="X210" s="3"/>
    </row>
    <row r="211" spans="1:24">
      <c r="A211" s="7"/>
      <c r="B211" s="8">
        <v>2.2957880185781296</v>
      </c>
      <c r="C211" s="8">
        <v>-8.2263663034425338E-3</v>
      </c>
      <c r="D211" s="8">
        <v>3.3137218009327896E-2</v>
      </c>
      <c r="E211" s="7">
        <v>-1.4990516053215155E-2</v>
      </c>
      <c r="F211" s="8">
        <v>0</v>
      </c>
      <c r="G211" s="8">
        <v>0</v>
      </c>
      <c r="H211" s="33">
        <v>0</v>
      </c>
      <c r="I211" s="7">
        <v>0</v>
      </c>
      <c r="J211" s="7">
        <v>0</v>
      </c>
      <c r="K211" s="7">
        <v>0</v>
      </c>
      <c r="M211">
        <f t="shared" ref="M211" si="153">MDETERM(B211:D213)</f>
        <v>5.8323031254765803E-2</v>
      </c>
      <c r="N211">
        <f t="shared" ref="N211" si="154">MDETERM(E211:G213)</f>
        <v>-3.3686023826032914E-6</v>
      </c>
      <c r="P211">
        <f t="array" ref="P211:R213">SVDD(B211:D213)</f>
        <v>3.3259333828949336</v>
      </c>
      <c r="Q211">
        <v>0</v>
      </c>
      <c r="R211">
        <v>0</v>
      </c>
      <c r="S211" s="3">
        <f t="shared" ref="S211" si="155">MAX(P211,Q212,R213)/MIN(P211,Q212,R213)</f>
        <v>317.80209627578216</v>
      </c>
      <c r="X211" s="3"/>
    </row>
    <row r="212" spans="1:24">
      <c r="A212" s="7" t="s">
        <v>68</v>
      </c>
      <c r="B212" s="8">
        <v>-0.14897154656832046</v>
      </c>
      <c r="C212" s="8">
        <v>0.84725762547333594</v>
      </c>
      <c r="D212" s="8">
        <v>-1.9759438806851826E-2</v>
      </c>
      <c r="E212" s="7">
        <v>0</v>
      </c>
      <c r="F212" s="7">
        <v>-1.4990516053215155E-2</v>
      </c>
      <c r="G212" s="8">
        <v>0</v>
      </c>
      <c r="H212" s="8">
        <v>0</v>
      </c>
      <c r="I212" s="33">
        <v>0</v>
      </c>
      <c r="J212" s="7">
        <v>0</v>
      </c>
      <c r="K212" s="7">
        <v>0</v>
      </c>
      <c r="P212">
        <v>0</v>
      </c>
      <c r="Q212">
        <v>1.6755976894620181</v>
      </c>
      <c r="R212">
        <v>0</v>
      </c>
      <c r="X212" s="3"/>
    </row>
    <row r="213" spans="1:24">
      <c r="A213" s="7"/>
      <c r="B213" s="8">
        <v>1.8375474863113905</v>
      </c>
      <c r="C213" s="8">
        <v>2.1167426559988707</v>
      </c>
      <c r="D213" s="8">
        <v>1.2367606559382516E-2</v>
      </c>
      <c r="E213" s="7">
        <v>0</v>
      </c>
      <c r="F213" s="8">
        <v>0</v>
      </c>
      <c r="G213" s="7">
        <v>-1.4990516053215155E-2</v>
      </c>
      <c r="H213" s="8">
        <v>0</v>
      </c>
      <c r="I213" s="8">
        <v>0</v>
      </c>
      <c r="J213" s="33">
        <v>0</v>
      </c>
      <c r="K213" s="33">
        <v>0</v>
      </c>
      <c r="P213">
        <v>0</v>
      </c>
      <c r="Q213">
        <v>0</v>
      </c>
      <c r="R213">
        <v>1.0465423047457675E-2</v>
      </c>
      <c r="X213" s="3"/>
    </row>
    <row r="214" spans="1:24">
      <c r="A214" s="7"/>
      <c r="B214" s="8"/>
      <c r="C214" s="8"/>
      <c r="D214" s="8"/>
      <c r="E214" s="7"/>
      <c r="F214" s="7"/>
      <c r="G214" s="7"/>
      <c r="H214" s="7"/>
      <c r="I214" s="7"/>
      <c r="J214" s="7"/>
      <c r="K214" s="7"/>
      <c r="X214" s="3"/>
    </row>
    <row r="215" spans="1:24">
      <c r="A215" s="7"/>
      <c r="B215" s="8">
        <v>2.2957880185781296</v>
      </c>
      <c r="C215" s="8">
        <v>-8.2263663034425338E-3</v>
      </c>
      <c r="D215" s="8">
        <v>3.3137218009327896E-2</v>
      </c>
      <c r="E215" s="7">
        <v>-1.4990516053215155E-2</v>
      </c>
      <c r="F215" s="8">
        <v>0</v>
      </c>
      <c r="G215" s="8">
        <v>0</v>
      </c>
      <c r="H215" s="33">
        <v>0</v>
      </c>
      <c r="I215" s="7">
        <v>0</v>
      </c>
      <c r="J215" s="7">
        <v>0</v>
      </c>
      <c r="K215" s="7">
        <v>0</v>
      </c>
      <c r="M215">
        <f t="shared" ref="M215" si="156">MDETERM(B215:D217)</f>
        <v>-1.250709275752784</v>
      </c>
      <c r="N215">
        <f t="shared" ref="N215" si="157">MDETERM(E215:G217)</f>
        <v>-3.3686023826032914E-6</v>
      </c>
      <c r="P215">
        <f t="array" ref="P215:R217">SVDD(B215:D217)</f>
        <v>3.1222219781105749</v>
      </c>
      <c r="Q215">
        <v>0</v>
      </c>
      <c r="R215">
        <v>0</v>
      </c>
      <c r="S215" s="3">
        <f t="shared" ref="S215" si="158">MAX(P215,Q216,R217)/MIN(P215,Q216,R217)</f>
        <v>15.482311838444748</v>
      </c>
      <c r="X215" s="3"/>
    </row>
    <row r="216" spans="1:24">
      <c r="A216" s="7" t="s">
        <v>69</v>
      </c>
      <c r="B216" s="8">
        <v>-0.14897154656832046</v>
      </c>
      <c r="C216" s="8">
        <v>0.84725762547333594</v>
      </c>
      <c r="D216" s="8">
        <v>-1.9759438806851826E-2</v>
      </c>
      <c r="E216" s="7">
        <v>0</v>
      </c>
      <c r="F216" s="7">
        <v>-1.4990516053215155E-2</v>
      </c>
      <c r="G216" s="8">
        <v>0</v>
      </c>
      <c r="H216" s="8">
        <v>0</v>
      </c>
      <c r="I216" s="33">
        <v>0</v>
      </c>
      <c r="J216" s="7">
        <v>0</v>
      </c>
      <c r="K216" s="7">
        <v>0</v>
      </c>
      <c r="P216">
        <v>0</v>
      </c>
      <c r="Q216">
        <v>1.9863904945537465</v>
      </c>
      <c r="R216">
        <v>0</v>
      </c>
      <c r="X216" s="3"/>
    </row>
    <row r="217" spans="1:24">
      <c r="A217" s="7"/>
      <c r="B217" s="8">
        <v>1.2284177840385118</v>
      </c>
      <c r="C217" s="8">
        <v>2.3993580133895418</v>
      </c>
      <c r="D217" s="8">
        <v>-0.6756623603325641</v>
      </c>
      <c r="E217" s="7">
        <v>0</v>
      </c>
      <c r="F217" s="8">
        <v>0</v>
      </c>
      <c r="G217" s="7">
        <v>-1.4990516053215155E-2</v>
      </c>
      <c r="H217" s="8">
        <v>0</v>
      </c>
      <c r="I217" s="8">
        <v>0</v>
      </c>
      <c r="J217" s="33">
        <v>0</v>
      </c>
      <c r="K217" s="33">
        <v>0</v>
      </c>
      <c r="P217">
        <v>0</v>
      </c>
      <c r="Q217">
        <v>0</v>
      </c>
      <c r="R217">
        <v>0.20166380904159678</v>
      </c>
      <c r="X217" s="3"/>
    </row>
    <row r="218" spans="1:24">
      <c r="A218" s="7"/>
      <c r="B218" s="8"/>
      <c r="C218" s="8"/>
      <c r="D218" s="8"/>
      <c r="E218" s="7"/>
      <c r="F218" s="7"/>
      <c r="G218" s="7"/>
      <c r="H218" s="7"/>
      <c r="I218" s="7"/>
      <c r="J218" s="7"/>
      <c r="K218" s="7"/>
      <c r="X218" s="3"/>
    </row>
    <row r="219" spans="1:24">
      <c r="A219" s="7"/>
      <c r="B219" s="8">
        <v>2.2957880185781296</v>
      </c>
      <c r="C219" s="8">
        <v>-8.2263663034425338E-3</v>
      </c>
      <c r="D219" s="8">
        <v>3.3137218009327896E-2</v>
      </c>
      <c r="E219" s="7">
        <v>-1.4990516053215155E-2</v>
      </c>
      <c r="F219" s="8">
        <v>0</v>
      </c>
      <c r="G219" s="8">
        <v>0</v>
      </c>
      <c r="H219" s="33">
        <v>0</v>
      </c>
      <c r="I219" s="7">
        <v>0</v>
      </c>
      <c r="J219" s="7">
        <v>0</v>
      </c>
      <c r="K219" s="7">
        <v>0</v>
      </c>
      <c r="M219">
        <f t="shared" ref="M219" si="159">MDETERM(B219:D221)</f>
        <v>0.1616003288744691</v>
      </c>
      <c r="N219">
        <f t="shared" ref="N219" si="160">MDETERM(E219:G221)</f>
        <v>-3.3686023826032914E-6</v>
      </c>
      <c r="P219">
        <f t="array" ref="P219:R221">SVDD(B219:D221)</f>
        <v>3.7358111866702535</v>
      </c>
      <c r="Q219">
        <v>0</v>
      </c>
      <c r="R219">
        <v>0</v>
      </c>
      <c r="S219" s="3">
        <f t="shared" ref="S219" si="161">MAX(P219,Q220,R221)/MIN(P219,Q220,R221)</f>
        <v>180.39381408191585</v>
      </c>
      <c r="X219" s="3"/>
    </row>
    <row r="220" spans="1:24">
      <c r="A220" s="7" t="s">
        <v>70</v>
      </c>
      <c r="B220" s="8">
        <v>2.6959782234951333</v>
      </c>
      <c r="C220" s="8">
        <v>1.0757798809975587</v>
      </c>
      <c r="D220" s="8">
        <v>4.997772423355884E-2</v>
      </c>
      <c r="E220" s="7">
        <v>0</v>
      </c>
      <c r="F220" s="7">
        <v>-1.4990516053215155E-2</v>
      </c>
      <c r="G220" s="8">
        <v>0</v>
      </c>
      <c r="H220" s="8">
        <v>0</v>
      </c>
      <c r="I220" s="33">
        <v>0</v>
      </c>
      <c r="J220" s="7">
        <v>0</v>
      </c>
      <c r="K220" s="7">
        <v>0</v>
      </c>
      <c r="P220">
        <v>0</v>
      </c>
      <c r="Q220">
        <v>2.088786465589203</v>
      </c>
      <c r="R220">
        <v>0</v>
      </c>
      <c r="X220" s="3"/>
    </row>
    <row r="221" spans="1:24">
      <c r="A221" s="7"/>
      <c r="B221" s="8">
        <v>0.21871711292247331</v>
      </c>
      <c r="C221" s="8">
        <v>2.1363371502498802</v>
      </c>
      <c r="D221" s="8">
        <v>8.9790398854103559E-2</v>
      </c>
      <c r="E221" s="7">
        <v>0</v>
      </c>
      <c r="F221" s="8">
        <v>0</v>
      </c>
      <c r="G221" s="7">
        <v>-1.4990516053215155E-2</v>
      </c>
      <c r="H221" s="8">
        <v>0</v>
      </c>
      <c r="I221" s="8">
        <v>0</v>
      </c>
      <c r="J221" s="33">
        <v>0</v>
      </c>
      <c r="K221" s="33">
        <v>0</v>
      </c>
      <c r="P221">
        <v>0</v>
      </c>
      <c r="Q221">
        <v>0</v>
      </c>
      <c r="R221">
        <v>2.0709197849621618E-2</v>
      </c>
      <c r="X221" s="3"/>
    </row>
    <row r="222" spans="1:24">
      <c r="A222" s="7"/>
      <c r="B222" s="8"/>
      <c r="C222" s="8"/>
      <c r="D222" s="8"/>
      <c r="E222" s="7"/>
      <c r="F222" s="7"/>
      <c r="G222" s="7"/>
      <c r="H222" s="7"/>
      <c r="I222" s="7"/>
      <c r="J222" s="7"/>
      <c r="K222" s="7"/>
      <c r="X222" s="3"/>
    </row>
    <row r="223" spans="1:24">
      <c r="A223" s="7"/>
      <c r="B223" s="8">
        <v>2.2957880185781296</v>
      </c>
      <c r="C223" s="8">
        <v>-8.2263663034425338E-3</v>
      </c>
      <c r="D223" s="8">
        <v>3.3137218009327896E-2</v>
      </c>
      <c r="E223" s="7">
        <v>-1.4990516053215155E-2</v>
      </c>
      <c r="F223" s="8">
        <v>0</v>
      </c>
      <c r="G223" s="8">
        <v>0</v>
      </c>
      <c r="H223" s="33">
        <v>0</v>
      </c>
      <c r="I223" s="7">
        <v>0</v>
      </c>
      <c r="J223" s="7">
        <v>0</v>
      </c>
      <c r="K223" s="7">
        <v>0</v>
      </c>
      <c r="M223">
        <f t="shared" ref="M223" si="162">MDETERM(B223:D225)</f>
        <v>-8.9209148764109056E-2</v>
      </c>
      <c r="N223">
        <f t="shared" ref="N223" si="163">MDETERM(E223:G225)</f>
        <v>-3.3686023826032914E-6</v>
      </c>
      <c r="P223">
        <f t="array" ref="P223:R225">SVDD(B223:D225)</f>
        <v>4.3909065121321138</v>
      </c>
      <c r="Q223">
        <v>0</v>
      </c>
      <c r="R223">
        <v>0</v>
      </c>
      <c r="S223" s="3">
        <f t="shared" ref="S223" si="164">MAX(P223,Q224,R225)/MIN(P223,Q224,R225)</f>
        <v>326.12223160360338</v>
      </c>
      <c r="X223" s="3"/>
    </row>
    <row r="224" spans="1:24">
      <c r="A224" s="7" t="s">
        <v>71</v>
      </c>
      <c r="B224" s="8">
        <v>2.6959782234951333</v>
      </c>
      <c r="C224" s="8">
        <v>1.0757798809975587</v>
      </c>
      <c r="D224" s="8">
        <v>4.997772423355884E-2</v>
      </c>
      <c r="E224" s="7">
        <v>0</v>
      </c>
      <c r="F224" s="7">
        <v>-1.4990516053215155E-2</v>
      </c>
      <c r="G224" s="8">
        <v>0</v>
      </c>
      <c r="H224" s="8">
        <v>0</v>
      </c>
      <c r="I224" s="33">
        <v>0</v>
      </c>
      <c r="J224" s="7">
        <v>0</v>
      </c>
      <c r="K224" s="7">
        <v>0</v>
      </c>
      <c r="P224">
        <v>0</v>
      </c>
      <c r="Q224">
        <v>1.5089728287670332</v>
      </c>
      <c r="R224">
        <v>0</v>
      </c>
      <c r="X224" s="3"/>
    </row>
    <row r="225" spans="1:24">
      <c r="A225" s="7"/>
      <c r="B225" s="8">
        <v>1.8375474863113905</v>
      </c>
      <c r="C225" s="8">
        <v>2.1167426559988707</v>
      </c>
      <c r="D225" s="8">
        <v>1.2367606559382516E-2</v>
      </c>
      <c r="E225" s="7">
        <v>0</v>
      </c>
      <c r="F225" s="8">
        <v>0</v>
      </c>
      <c r="G225" s="7">
        <v>-1.4990516053215155E-2</v>
      </c>
      <c r="H225" s="8">
        <v>0</v>
      </c>
      <c r="I225" s="8">
        <v>0</v>
      </c>
      <c r="J225" s="33">
        <v>0</v>
      </c>
      <c r="K225" s="33">
        <v>0</v>
      </c>
      <c r="P225">
        <v>0</v>
      </c>
      <c r="Q225">
        <v>0</v>
      </c>
      <c r="R225">
        <v>1.346399014425117E-2</v>
      </c>
      <c r="X225" s="3"/>
    </row>
    <row r="226" spans="1:24">
      <c r="A226" s="7"/>
      <c r="B226" s="8"/>
      <c r="C226" s="8"/>
      <c r="D226" s="8"/>
      <c r="E226" s="7"/>
      <c r="F226" s="7"/>
      <c r="G226" s="7"/>
      <c r="H226" s="7"/>
      <c r="I226" s="7"/>
      <c r="J226" s="7"/>
      <c r="K226" s="7"/>
      <c r="X226" s="3"/>
    </row>
    <row r="227" spans="1:24">
      <c r="A227" s="7"/>
      <c r="B227" s="8">
        <v>2.2957880185781296</v>
      </c>
      <c r="C227" s="8">
        <v>-8.2263663034425338E-3</v>
      </c>
      <c r="D227" s="8">
        <v>3.3137218009327896E-2</v>
      </c>
      <c r="E227" s="7">
        <v>-1.4990516053215155E-2</v>
      </c>
      <c r="F227" s="8">
        <v>0</v>
      </c>
      <c r="G227" s="8">
        <v>0</v>
      </c>
      <c r="H227" s="33">
        <v>0</v>
      </c>
      <c r="I227" s="7">
        <v>0</v>
      </c>
      <c r="J227" s="7">
        <v>0</v>
      </c>
      <c r="K227" s="7">
        <v>0</v>
      </c>
      <c r="M227">
        <f t="shared" ref="M227" si="165">MDETERM(B227:D229)</f>
        <v>-1.7889528223437317</v>
      </c>
      <c r="N227">
        <f t="shared" ref="N227" si="166">MDETERM(E227:G229)</f>
        <v>-3.3686023826032914E-6</v>
      </c>
      <c r="P227">
        <f t="array" ref="P227:R229">SVDD(B227:D229)</f>
        <v>4.1732280782338806</v>
      </c>
      <c r="Q227">
        <v>0</v>
      </c>
      <c r="R227">
        <v>0</v>
      </c>
      <c r="S227" s="3">
        <f t="shared" ref="S227" si="167">MAX(P227,Q228,R229)/MIN(P227,Q228,R229)</f>
        <v>19.373118971201439</v>
      </c>
      <c r="X227" s="3"/>
    </row>
    <row r="228" spans="1:24">
      <c r="A228" s="7" t="s">
        <v>72</v>
      </c>
      <c r="B228" s="8">
        <v>2.6959782234951333</v>
      </c>
      <c r="C228" s="8">
        <v>1.0757798809975587</v>
      </c>
      <c r="D228" s="8">
        <v>4.997772423355884E-2</v>
      </c>
      <c r="E228" s="7">
        <v>0</v>
      </c>
      <c r="F228" s="7">
        <v>-1.4990516053215155E-2</v>
      </c>
      <c r="G228" s="8">
        <v>0</v>
      </c>
      <c r="H228" s="8">
        <v>0</v>
      </c>
      <c r="I228" s="33">
        <v>0</v>
      </c>
      <c r="J228" s="7">
        <v>0</v>
      </c>
      <c r="K228" s="7">
        <v>0</v>
      </c>
      <c r="P228">
        <v>0</v>
      </c>
      <c r="Q228">
        <v>1.9900051103581491</v>
      </c>
      <c r="R228">
        <v>0</v>
      </c>
      <c r="X228" s="3"/>
    </row>
    <row r="229" spans="1:24">
      <c r="A229" s="7"/>
      <c r="B229" s="8">
        <v>1.2284177840385118</v>
      </c>
      <c r="C229" s="8">
        <v>2.3993580133895418</v>
      </c>
      <c r="D229" s="8">
        <v>-0.6756623603325641</v>
      </c>
      <c r="E229" s="7">
        <v>0</v>
      </c>
      <c r="F229" s="8">
        <v>0</v>
      </c>
      <c r="G229" s="7">
        <v>-1.4990516053215155E-2</v>
      </c>
      <c r="H229" s="8">
        <v>0</v>
      </c>
      <c r="I229" s="8">
        <v>0</v>
      </c>
      <c r="J229" s="33">
        <v>0</v>
      </c>
      <c r="K229" s="33">
        <v>0</v>
      </c>
      <c r="P229">
        <v>0</v>
      </c>
      <c r="Q229">
        <v>0</v>
      </c>
      <c r="R229">
        <v>0.21541333042126434</v>
      </c>
      <c r="X229" s="3"/>
    </row>
    <row r="230" spans="1:24">
      <c r="A230" s="7"/>
      <c r="B230" s="8"/>
      <c r="C230" s="8"/>
      <c r="D230" s="8"/>
      <c r="E230" s="7"/>
      <c r="F230" s="7"/>
      <c r="G230" s="7"/>
      <c r="H230" s="7"/>
      <c r="I230" s="7"/>
      <c r="J230" s="7"/>
      <c r="K230" s="7"/>
      <c r="X230" s="3"/>
    </row>
    <row r="231" spans="1:24">
      <c r="A231" s="7"/>
      <c r="B231" s="8">
        <v>2.2957880185781296</v>
      </c>
      <c r="C231" s="8">
        <v>-8.2263663034425338E-3</v>
      </c>
      <c r="D231" s="8">
        <v>3.3137218009327896E-2</v>
      </c>
      <c r="E231" s="7">
        <v>-1.4990516053215155E-2</v>
      </c>
      <c r="F231" s="8">
        <v>0</v>
      </c>
      <c r="G231" s="8">
        <v>0</v>
      </c>
      <c r="H231" s="33">
        <v>0</v>
      </c>
      <c r="I231" s="7">
        <v>0</v>
      </c>
      <c r="J231" s="7">
        <v>0</v>
      </c>
      <c r="K231" s="7">
        <v>0</v>
      </c>
      <c r="M231">
        <f t="shared" ref="M231" si="168">MDETERM(B231:D233)</f>
        <v>-0.49176460178271991</v>
      </c>
      <c r="N231">
        <f t="shared" ref="N231" si="169">MDETERM(E231:G233)</f>
        <v>-3.3686023826032914E-6</v>
      </c>
      <c r="P231">
        <f t="array" ref="P231:R233">SVDD(B231:D233)</f>
        <v>3.635335200298234</v>
      </c>
      <c r="Q231">
        <v>0</v>
      </c>
      <c r="R231">
        <v>0</v>
      </c>
      <c r="S231" s="3">
        <f t="shared" ref="S231" si="170">MAX(P231,Q232,R233)/MIN(P231,Q232,R233)</f>
        <v>57.193413755542728</v>
      </c>
      <c r="X231" s="3"/>
    </row>
    <row r="232" spans="1:24">
      <c r="A232" s="7" t="s">
        <v>73</v>
      </c>
      <c r="B232" s="8">
        <v>0.21871711292247331</v>
      </c>
      <c r="C232" s="8">
        <v>2.1363371502498802</v>
      </c>
      <c r="D232" s="8">
        <v>8.9790398854103559E-2</v>
      </c>
      <c r="E232" s="7">
        <v>0</v>
      </c>
      <c r="F232" s="7">
        <v>-1.4990516053215155E-2</v>
      </c>
      <c r="G232" s="8">
        <v>0</v>
      </c>
      <c r="H232" s="8">
        <v>0</v>
      </c>
      <c r="I232" s="33">
        <v>0</v>
      </c>
      <c r="J232" s="7">
        <v>0</v>
      </c>
      <c r="K232" s="7">
        <v>0</v>
      </c>
      <c r="P232">
        <v>0</v>
      </c>
      <c r="Q232">
        <v>2.1282094155146076</v>
      </c>
      <c r="R232">
        <v>0</v>
      </c>
      <c r="X232" s="3"/>
    </row>
    <row r="233" spans="1:24">
      <c r="A233" s="7"/>
      <c r="B233" s="8">
        <v>1.8375474863113905</v>
      </c>
      <c r="C233" s="8">
        <v>2.1167426559988707</v>
      </c>
      <c r="D233" s="8">
        <v>1.2367606559382516E-2</v>
      </c>
      <c r="E233" s="7">
        <v>0</v>
      </c>
      <c r="F233" s="8">
        <v>0</v>
      </c>
      <c r="G233" s="7">
        <v>-1.4990516053215155E-2</v>
      </c>
      <c r="H233" s="8">
        <v>0</v>
      </c>
      <c r="I233" s="8">
        <v>0</v>
      </c>
      <c r="J233" s="33">
        <v>0</v>
      </c>
      <c r="K233" s="33">
        <v>0</v>
      </c>
      <c r="P233">
        <v>0</v>
      </c>
      <c r="Q233">
        <v>0</v>
      </c>
      <c r="R233">
        <v>6.3562130000430803E-2</v>
      </c>
      <c r="X233" s="3"/>
    </row>
    <row r="234" spans="1:24">
      <c r="A234" s="7"/>
      <c r="B234" s="8"/>
      <c r="C234" s="8"/>
      <c r="D234" s="8"/>
      <c r="E234" s="7"/>
      <c r="F234" s="7"/>
      <c r="G234" s="7"/>
      <c r="H234" s="7"/>
      <c r="I234" s="7"/>
      <c r="J234" s="7"/>
      <c r="K234" s="7"/>
      <c r="X234" s="3"/>
    </row>
    <row r="235" spans="1:24">
      <c r="A235" s="7"/>
      <c r="B235" s="8">
        <v>2.2957880185781296</v>
      </c>
      <c r="C235" s="8">
        <v>-8.2263663034425338E-3</v>
      </c>
      <c r="D235" s="8">
        <v>3.3137218009327896E-2</v>
      </c>
      <c r="E235" s="7">
        <v>-1.4990516053215155E-2</v>
      </c>
      <c r="F235" s="8">
        <v>0</v>
      </c>
      <c r="G235" s="8">
        <v>0</v>
      </c>
      <c r="H235" s="33">
        <v>0</v>
      </c>
      <c r="I235" s="7">
        <v>0</v>
      </c>
      <c r="J235" s="7">
        <v>0</v>
      </c>
      <c r="K235" s="7">
        <v>0</v>
      </c>
      <c r="M235">
        <f t="shared" ref="M235" si="171">MDETERM(B235:D237)</f>
        <v>-3.8801369883568135</v>
      </c>
      <c r="N235">
        <f t="shared" ref="N235" si="172">MDETERM(E235:G237)</f>
        <v>-3.3686023826032914E-6</v>
      </c>
      <c r="P235">
        <f t="array" ref="P235:R237">SVDD(B235:D237)</f>
        <v>3.5502902629609676</v>
      </c>
      <c r="Q235">
        <v>0</v>
      </c>
      <c r="R235">
        <v>0</v>
      </c>
      <c r="S235" s="3">
        <f t="shared" ref="S235" si="173">MAX(P235,Q236,R237)/MIN(P235,Q236,R237)</f>
        <v>7.0862524060099732</v>
      </c>
      <c r="X235" s="3"/>
    </row>
    <row r="236" spans="1:24">
      <c r="A236" s="7" t="s">
        <v>74</v>
      </c>
      <c r="B236" s="8">
        <v>0.21871711292247331</v>
      </c>
      <c r="C236" s="8">
        <v>2.1363371502498802</v>
      </c>
      <c r="D236" s="8">
        <v>8.9790398854103559E-2</v>
      </c>
      <c r="E236" s="7">
        <v>0</v>
      </c>
      <c r="F236" s="7">
        <v>-1.4990516053215155E-2</v>
      </c>
      <c r="G236" s="8">
        <v>0</v>
      </c>
      <c r="H236" s="8">
        <v>0</v>
      </c>
      <c r="I236" s="33">
        <v>0</v>
      </c>
      <c r="J236" s="7">
        <v>0</v>
      </c>
      <c r="K236" s="7">
        <v>0</v>
      </c>
      <c r="P236">
        <v>0</v>
      </c>
      <c r="Q236">
        <v>2.1814032377390729</v>
      </c>
      <c r="R236">
        <v>0</v>
      </c>
      <c r="X236" s="3"/>
    </row>
    <row r="237" spans="1:24">
      <c r="A237" s="7"/>
      <c r="B237" s="8">
        <v>1.2284177840385118</v>
      </c>
      <c r="C237" s="8">
        <v>2.3993580133895418</v>
      </c>
      <c r="D237" s="8">
        <v>-0.6756623603325641</v>
      </c>
      <c r="E237" s="7">
        <v>0</v>
      </c>
      <c r="F237" s="8">
        <v>0</v>
      </c>
      <c r="G237" s="7">
        <v>-1.4990516053215155E-2</v>
      </c>
      <c r="H237" s="8">
        <v>0</v>
      </c>
      <c r="I237" s="8">
        <v>0</v>
      </c>
      <c r="J237" s="33">
        <v>0</v>
      </c>
      <c r="K237" s="33">
        <v>0</v>
      </c>
      <c r="P237">
        <v>0</v>
      </c>
      <c r="Q237">
        <v>0</v>
      </c>
      <c r="R237">
        <v>0.50101098007035494</v>
      </c>
      <c r="X237" s="3"/>
    </row>
    <row r="238" spans="1:24">
      <c r="A238" s="7"/>
      <c r="B238" s="8"/>
      <c r="C238" s="8"/>
      <c r="D238" s="8"/>
      <c r="E238" s="7"/>
      <c r="F238" s="7"/>
      <c r="G238" s="7"/>
      <c r="H238" s="7"/>
      <c r="I238" s="7"/>
      <c r="J238" s="7"/>
      <c r="K238" s="7"/>
      <c r="X238" s="3"/>
    </row>
    <row r="239" spans="1:24">
      <c r="A239" s="7"/>
      <c r="B239" s="8">
        <v>2.2957880185781296</v>
      </c>
      <c r="C239" s="8">
        <v>-8.2263663034425338E-3</v>
      </c>
      <c r="D239" s="8">
        <v>3.3137218009327896E-2</v>
      </c>
      <c r="E239" s="7">
        <v>-1.4990516053215155E-2</v>
      </c>
      <c r="F239" s="8">
        <v>0</v>
      </c>
      <c r="G239" s="8">
        <v>0</v>
      </c>
      <c r="H239" s="33">
        <v>0</v>
      </c>
      <c r="I239" s="7">
        <v>0</v>
      </c>
      <c r="J239" s="7">
        <v>0</v>
      </c>
      <c r="K239" s="7">
        <v>0</v>
      </c>
      <c r="M239">
        <f t="shared" ref="M239" si="174">MDETERM(B239:D241)</f>
        <v>-3.3019731963725927</v>
      </c>
      <c r="N239">
        <f t="shared" ref="N239" si="175">MDETERM(E239:G241)</f>
        <v>-3.3686023826032914E-6</v>
      </c>
      <c r="P239">
        <f t="array" ref="P239:R241">SVDD(B239:D241)</f>
        <v>4.1445921190907313</v>
      </c>
      <c r="Q239">
        <v>0</v>
      </c>
      <c r="R239">
        <v>0</v>
      </c>
      <c r="S239" s="3">
        <f t="shared" ref="S239" si="176">MAX(P239,Q240,R241)/MIN(P239,Q240,R241)</f>
        <v>9.7216302727657062</v>
      </c>
      <c r="X239" s="3"/>
    </row>
    <row r="240" spans="1:24">
      <c r="A240" s="7" t="s">
        <v>75</v>
      </c>
      <c r="B240" s="8">
        <v>1.8375474863113905</v>
      </c>
      <c r="C240" s="8">
        <v>2.1167426559988707</v>
      </c>
      <c r="D240" s="8">
        <v>1.2367606559382516E-2</v>
      </c>
      <c r="E240" s="7">
        <v>0</v>
      </c>
      <c r="F240" s="7">
        <v>-1.4990516053215155E-2</v>
      </c>
      <c r="G240" s="8">
        <v>0</v>
      </c>
      <c r="H240" s="8">
        <v>0</v>
      </c>
      <c r="I240" s="33">
        <v>0</v>
      </c>
      <c r="J240" s="7">
        <v>0</v>
      </c>
      <c r="K240" s="7">
        <v>0</v>
      </c>
      <c r="P240">
        <v>0</v>
      </c>
      <c r="Q240">
        <v>1.8687407246663759</v>
      </c>
      <c r="R240">
        <v>0</v>
      </c>
      <c r="X240" s="3"/>
    </row>
    <row r="241" spans="1:24">
      <c r="A241" s="7"/>
      <c r="B241" s="8">
        <v>1.2284177840385118</v>
      </c>
      <c r="C241" s="8">
        <v>2.3993580133895418</v>
      </c>
      <c r="D241" s="8">
        <v>-0.6756623603325641</v>
      </c>
      <c r="E241" s="7">
        <v>0</v>
      </c>
      <c r="F241" s="8">
        <v>0</v>
      </c>
      <c r="G241" s="7">
        <v>-1.4990516053215155E-2</v>
      </c>
      <c r="H241" s="8">
        <v>0</v>
      </c>
      <c r="I241" s="8">
        <v>0</v>
      </c>
      <c r="J241" s="33">
        <v>0</v>
      </c>
      <c r="K241" s="33">
        <v>0</v>
      </c>
      <c r="P241">
        <v>0</v>
      </c>
      <c r="Q241">
        <v>0</v>
      </c>
      <c r="R241">
        <v>0.42632686111314505</v>
      </c>
      <c r="X241" s="3"/>
    </row>
    <row r="242" spans="1:24">
      <c r="A242" s="7"/>
      <c r="B242" s="8"/>
      <c r="C242" s="8"/>
      <c r="D242" s="8"/>
      <c r="E242" s="7"/>
      <c r="F242" s="7"/>
      <c r="G242" s="7"/>
      <c r="H242" s="7"/>
      <c r="I242" s="7"/>
      <c r="J242" s="7"/>
      <c r="K242" s="7"/>
      <c r="X242" s="3"/>
    </row>
    <row r="243" spans="1:24">
      <c r="A243" s="7"/>
      <c r="B243" s="8">
        <v>-0.14897154656832046</v>
      </c>
      <c r="C243" s="8">
        <v>0.84725762547333594</v>
      </c>
      <c r="D243" s="8">
        <v>-1.9759438806851826E-2</v>
      </c>
      <c r="E243" s="7">
        <v>-1.4990516053215155E-2</v>
      </c>
      <c r="F243" s="8">
        <v>0</v>
      </c>
      <c r="G243" s="8">
        <v>0</v>
      </c>
      <c r="H243" s="33">
        <v>0</v>
      </c>
      <c r="I243" s="7">
        <v>0</v>
      </c>
      <c r="J243" s="7">
        <v>0</v>
      </c>
      <c r="K243" s="7">
        <v>0</v>
      </c>
      <c r="M243">
        <f t="shared" ref="M243" si="177">MDETERM(B243:D245)</f>
        <v>-0.30347670618943506</v>
      </c>
      <c r="N243">
        <f t="shared" ref="N243" si="178">MDETERM(E243:G245)</f>
        <v>-3.3686023826032914E-6</v>
      </c>
      <c r="P243">
        <f t="array" ref="P243:R245">SVDD(B243:D245)</f>
        <v>3.1887581927607567</v>
      </c>
      <c r="Q243">
        <v>0</v>
      </c>
      <c r="R243">
        <v>0</v>
      </c>
      <c r="S243" s="3">
        <f t="shared" ref="S243" si="179">MAX(P243,Q244,R245)/MIN(P243,Q244,R245)</f>
        <v>63.728386371176278</v>
      </c>
      <c r="X243" s="3"/>
    </row>
    <row r="244" spans="1:24">
      <c r="A244" s="7" t="s">
        <v>76</v>
      </c>
      <c r="B244" s="8">
        <v>2.6959782234951333</v>
      </c>
      <c r="C244" s="8">
        <v>1.0757798809975587</v>
      </c>
      <c r="D244" s="8">
        <v>4.997772423355884E-2</v>
      </c>
      <c r="E244" s="7">
        <v>0</v>
      </c>
      <c r="F244" s="7">
        <v>-1.4990516053215155E-2</v>
      </c>
      <c r="G244" s="8">
        <v>0</v>
      </c>
      <c r="H244" s="8">
        <v>0</v>
      </c>
      <c r="I244" s="33">
        <v>0</v>
      </c>
      <c r="J244" s="7">
        <v>0</v>
      </c>
      <c r="K244" s="7">
        <v>0</v>
      </c>
      <c r="P244">
        <v>0</v>
      </c>
      <c r="Q244">
        <v>1.9020201301004287</v>
      </c>
      <c r="R244">
        <v>0</v>
      </c>
      <c r="X244" s="3"/>
    </row>
    <row r="245" spans="1:24">
      <c r="A245" s="7"/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8">
        <v>0</v>
      </c>
      <c r="G245" s="7">
        <v>-1.4990516053215155E-2</v>
      </c>
      <c r="H245" s="8">
        <v>0</v>
      </c>
      <c r="I245" s="8">
        <v>0</v>
      </c>
      <c r="J245" s="33">
        <v>0</v>
      </c>
      <c r="K245" s="33">
        <v>0</v>
      </c>
      <c r="P245">
        <v>0</v>
      </c>
      <c r="Q245">
        <v>0</v>
      </c>
      <c r="R245">
        <v>5.0036700665670716E-2</v>
      </c>
      <c r="X245" s="3"/>
    </row>
    <row r="246" spans="1:24">
      <c r="A246" s="7"/>
      <c r="B246" s="8"/>
      <c r="C246" s="8"/>
      <c r="D246" s="8"/>
      <c r="E246" s="7"/>
      <c r="F246" s="7"/>
      <c r="G246" s="7"/>
      <c r="H246" s="7"/>
      <c r="I246" s="7"/>
      <c r="J246" s="7"/>
      <c r="K246" s="7"/>
      <c r="X246" s="3"/>
    </row>
    <row r="247" spans="1:24">
      <c r="A247" s="7"/>
      <c r="B247" s="8">
        <v>-0.14897154656832046</v>
      </c>
      <c r="C247" s="8">
        <v>0.84725762547333594</v>
      </c>
      <c r="D247" s="8">
        <v>-1.9759438806851826E-2</v>
      </c>
      <c r="E247" s="7">
        <v>-1.4990516053215155E-2</v>
      </c>
      <c r="F247" s="8">
        <v>0</v>
      </c>
      <c r="G247" s="8">
        <v>0</v>
      </c>
      <c r="H247" s="33">
        <v>0</v>
      </c>
      <c r="I247" s="7">
        <v>0</v>
      </c>
      <c r="J247" s="7">
        <v>0</v>
      </c>
      <c r="K247" s="7">
        <v>0</v>
      </c>
      <c r="M247">
        <f t="shared" ref="M247" si="180">MDETERM(B247:D249)</f>
        <v>-1.0363799027765113E-2</v>
      </c>
      <c r="N247">
        <f t="shared" ref="N247" si="181">MDETERM(E247:G249)</f>
        <v>-3.3686023826032914E-6</v>
      </c>
      <c r="P247">
        <f t="array" ref="P247:R249">SVDD(B247:D249)</f>
        <v>3.9391471875981803</v>
      </c>
      <c r="Q247">
        <v>0</v>
      </c>
      <c r="R247">
        <v>0</v>
      </c>
      <c r="S247" s="3">
        <f t="shared" ref="S247" si="182">MAX(P247,Q248,R249)/MIN(P247,Q248,R249)</f>
        <v>1839.1895225872963</v>
      </c>
      <c r="X247" s="3"/>
    </row>
    <row r="248" spans="1:24">
      <c r="A248" s="7" t="s">
        <v>77</v>
      </c>
      <c r="B248" s="8">
        <v>2.6959782234951333</v>
      </c>
      <c r="C248" s="8">
        <v>1.0757798809975587</v>
      </c>
      <c r="D248" s="8">
        <v>4.997772423355884E-2</v>
      </c>
      <c r="E248" s="7">
        <v>0</v>
      </c>
      <c r="F248" s="7">
        <v>-1.4990516053215155E-2</v>
      </c>
      <c r="G248" s="8">
        <v>0</v>
      </c>
      <c r="H248" s="8">
        <v>0</v>
      </c>
      <c r="I248" s="33">
        <v>0</v>
      </c>
      <c r="J248" s="7">
        <v>0</v>
      </c>
      <c r="K248" s="7">
        <v>0</v>
      </c>
      <c r="P248">
        <v>0</v>
      </c>
      <c r="Q248">
        <v>1.2284035122606316</v>
      </c>
      <c r="R248">
        <v>0</v>
      </c>
      <c r="X248" s="3"/>
    </row>
    <row r="249" spans="1:24">
      <c r="A249" s="7"/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8">
        <v>0</v>
      </c>
      <c r="G249" s="7">
        <v>-1.4990516053215155E-2</v>
      </c>
      <c r="H249" s="8">
        <v>0</v>
      </c>
      <c r="I249" s="8">
        <v>0</v>
      </c>
      <c r="J249" s="33">
        <v>0</v>
      </c>
      <c r="K249" s="33">
        <v>0</v>
      </c>
      <c r="P249">
        <v>0</v>
      </c>
      <c r="Q249">
        <v>0</v>
      </c>
      <c r="R249">
        <v>2.1417842692235162E-3</v>
      </c>
      <c r="X249" s="3"/>
    </row>
    <row r="250" spans="1:24">
      <c r="A250" s="7"/>
      <c r="B250" s="8"/>
      <c r="C250" s="8"/>
      <c r="D250" s="8"/>
      <c r="E250" s="7"/>
      <c r="F250" s="7"/>
      <c r="G250" s="7"/>
      <c r="H250" s="7"/>
      <c r="I250" s="7"/>
      <c r="J250" s="7"/>
      <c r="K250" s="7"/>
      <c r="X250" s="3"/>
    </row>
    <row r="251" spans="1:24">
      <c r="A251" s="7"/>
      <c r="B251" s="8">
        <v>-0.14897154656832046</v>
      </c>
      <c r="C251" s="8">
        <v>0.84725762547333594</v>
      </c>
      <c r="D251" s="8">
        <v>-1.9759438806851826E-2</v>
      </c>
      <c r="E251" s="7">
        <v>-1.4990516053215155E-2</v>
      </c>
      <c r="F251" s="8">
        <v>0</v>
      </c>
      <c r="G251" s="8">
        <v>0</v>
      </c>
      <c r="H251" s="33">
        <v>0</v>
      </c>
      <c r="I251" s="7">
        <v>0</v>
      </c>
      <c r="J251" s="7">
        <v>0</v>
      </c>
      <c r="K251" s="7">
        <v>0</v>
      </c>
      <c r="M251">
        <f t="shared" ref="M251" si="183">MDETERM(B251:D253)</f>
        <v>1.619797951268265</v>
      </c>
      <c r="N251">
        <f t="shared" ref="N251" si="184">MDETERM(E251:G253)</f>
        <v>-3.3686023826032914E-6</v>
      </c>
      <c r="P251">
        <f t="array" ref="P251:R253">SVDD(B251:D253)</f>
        <v>3.7614986620596373</v>
      </c>
      <c r="Q251">
        <v>0</v>
      </c>
      <c r="R251">
        <v>0</v>
      </c>
      <c r="S251" s="3">
        <f t="shared" ref="S251" si="185">MAX(P251,Q252,R253)/MIN(P251,Q252,R253)</f>
        <v>14.280317337938845</v>
      </c>
      <c r="X251" s="3"/>
    </row>
    <row r="252" spans="1:24">
      <c r="A252" s="7" t="s">
        <v>78</v>
      </c>
      <c r="B252" s="8">
        <v>2.6959782234951333</v>
      </c>
      <c r="C252" s="8">
        <v>1.0757798809975587</v>
      </c>
      <c r="D252" s="8">
        <v>4.997772423355884E-2</v>
      </c>
      <c r="E252" s="7">
        <v>0</v>
      </c>
      <c r="F252" s="7">
        <v>-1.4990516053215155E-2</v>
      </c>
      <c r="G252" s="8">
        <v>0</v>
      </c>
      <c r="H252" s="8">
        <v>0</v>
      </c>
      <c r="I252" s="33">
        <v>0</v>
      </c>
      <c r="J252" s="7">
        <v>0</v>
      </c>
      <c r="K252" s="7">
        <v>0</v>
      </c>
      <c r="P252">
        <v>0</v>
      </c>
      <c r="Q252">
        <v>1.6348461181595586</v>
      </c>
      <c r="R252">
        <v>0</v>
      </c>
      <c r="X252" s="3"/>
    </row>
    <row r="253" spans="1:24">
      <c r="A253" s="7"/>
      <c r="B253" s="8">
        <v>1.2284177840385118</v>
      </c>
      <c r="C253" s="8">
        <v>2.3993580133895418</v>
      </c>
      <c r="D253" s="8">
        <v>-0.6756623603325641</v>
      </c>
      <c r="E253" s="7">
        <v>0</v>
      </c>
      <c r="F253" s="8">
        <v>0</v>
      </c>
      <c r="G253" s="7">
        <v>-1.4990516053215155E-2</v>
      </c>
      <c r="H253" s="8">
        <v>0</v>
      </c>
      <c r="I253" s="8">
        <v>0</v>
      </c>
      <c r="J253" s="33">
        <v>0</v>
      </c>
      <c r="K253" s="33">
        <v>0</v>
      </c>
      <c r="P253">
        <v>0</v>
      </c>
      <c r="Q253">
        <v>0</v>
      </c>
      <c r="R253">
        <v>0.26340441693591626</v>
      </c>
      <c r="X253" s="3"/>
    </row>
    <row r="254" spans="1:24">
      <c r="A254" s="7"/>
      <c r="B254" s="8"/>
      <c r="C254" s="8"/>
      <c r="D254" s="8"/>
      <c r="E254" s="7"/>
      <c r="F254" s="7"/>
      <c r="G254" s="7"/>
      <c r="H254" s="7"/>
      <c r="I254" s="7"/>
      <c r="J254" s="7"/>
      <c r="K254" s="7"/>
      <c r="X254" s="3"/>
    </row>
    <row r="255" spans="1:24">
      <c r="A255" s="7"/>
      <c r="B255" s="8">
        <v>-0.14897154656832046</v>
      </c>
      <c r="C255" s="8">
        <v>0.84725762547333594</v>
      </c>
      <c r="D255" s="8">
        <v>-1.9759438806851826E-2</v>
      </c>
      <c r="E255" s="7">
        <v>-1.4990516053215155E-2</v>
      </c>
      <c r="F255" s="8">
        <v>0</v>
      </c>
      <c r="G255" s="8">
        <v>0</v>
      </c>
      <c r="H255" s="33">
        <v>0</v>
      </c>
      <c r="I255" s="7">
        <v>0</v>
      </c>
      <c r="J255" s="7">
        <v>0</v>
      </c>
      <c r="K255" s="7">
        <v>0</v>
      </c>
      <c r="M255">
        <f t="shared" ref="M255" si="186">MDETERM(B255:D257)</f>
        <v>0.23029874272982079</v>
      </c>
      <c r="N255">
        <f t="shared" ref="N255" si="187">MDETERM(E255:G257)</f>
        <v>-3.3686023826032914E-6</v>
      </c>
      <c r="P255">
        <f t="array" ref="P255:R257">SVDD(B255:D257)</f>
        <v>3.4477727525576025</v>
      </c>
      <c r="Q255">
        <v>0</v>
      </c>
      <c r="R255">
        <v>0</v>
      </c>
      <c r="S255" s="3">
        <f t="shared" ref="S255" si="188">MAX(P255,Q256,R257)/MIN(P255,Q256,R257)</f>
        <v>59.461695313516891</v>
      </c>
      <c r="X255" s="3"/>
    </row>
    <row r="256" spans="1:24">
      <c r="A256" s="7" t="s">
        <v>79</v>
      </c>
      <c r="B256" s="8">
        <v>0.21871711292247331</v>
      </c>
      <c r="C256" s="8">
        <v>2.1363371502498802</v>
      </c>
      <c r="D256" s="8">
        <v>8.9790398854103559E-2</v>
      </c>
      <c r="E256" s="7">
        <v>0</v>
      </c>
      <c r="F256" s="7">
        <v>-1.4990516053215155E-2</v>
      </c>
      <c r="G256" s="8">
        <v>0</v>
      </c>
      <c r="H256" s="8">
        <v>0</v>
      </c>
      <c r="I256" s="33">
        <v>0</v>
      </c>
      <c r="J256" s="7">
        <v>0</v>
      </c>
      <c r="K256" s="7">
        <v>0</v>
      </c>
      <c r="P256">
        <v>0</v>
      </c>
      <c r="Q256">
        <v>1.1519976361936046</v>
      </c>
      <c r="R256">
        <v>0</v>
      </c>
      <c r="X256" s="3"/>
    </row>
    <row r="257" spans="1:25">
      <c r="A257" s="7"/>
      <c r="B257" s="8">
        <v>1.8375474863113905</v>
      </c>
      <c r="C257" s="8">
        <v>2.1167426559988707</v>
      </c>
      <c r="D257" s="8">
        <v>1.2367606559382516E-2</v>
      </c>
      <c r="E257" s="7">
        <v>0</v>
      </c>
      <c r="F257" s="8">
        <v>0</v>
      </c>
      <c r="G257" s="7">
        <v>-1.4990516053215155E-2</v>
      </c>
      <c r="H257" s="8">
        <v>0</v>
      </c>
      <c r="I257" s="8">
        <v>0</v>
      </c>
      <c r="J257" s="33">
        <v>0</v>
      </c>
      <c r="K257" s="33">
        <v>0</v>
      </c>
      <c r="P257">
        <v>0</v>
      </c>
      <c r="Q257">
        <v>0</v>
      </c>
      <c r="R257">
        <v>5.7983088682199938E-2</v>
      </c>
      <c r="X257" s="3"/>
    </row>
    <row r="258" spans="1:25">
      <c r="A258" s="7"/>
      <c r="B258" s="8"/>
      <c r="C258" s="8"/>
      <c r="D258" s="8"/>
      <c r="E258" s="7"/>
      <c r="F258" s="7"/>
      <c r="G258" s="7"/>
      <c r="H258" s="7"/>
      <c r="I258" s="7"/>
      <c r="J258" s="7"/>
      <c r="K258" s="7"/>
      <c r="X258" s="3"/>
    </row>
    <row r="259" spans="1:25">
      <c r="A259" s="7"/>
      <c r="B259" s="8">
        <v>-0.14897154656832046</v>
      </c>
      <c r="C259" s="8">
        <v>0.84725762547333594</v>
      </c>
      <c r="D259" s="8">
        <v>-1.9759438806851826E-2</v>
      </c>
      <c r="E259" s="7">
        <v>-1.4990516053215155E-2</v>
      </c>
      <c r="F259" s="8">
        <v>0</v>
      </c>
      <c r="G259" s="8">
        <v>0</v>
      </c>
      <c r="H259" s="33">
        <v>0</v>
      </c>
      <c r="I259" s="7">
        <v>0</v>
      </c>
      <c r="J259" s="7">
        <v>0</v>
      </c>
      <c r="K259" s="7">
        <v>0</v>
      </c>
      <c r="M259">
        <f t="shared" ref="M259" si="189">MDETERM(B259:D261)</f>
        <v>0.50727125342099488</v>
      </c>
      <c r="N259">
        <f t="shared" ref="N259" si="190">MDETERM(E259:G261)</f>
        <v>-3.3686023826032914E-6</v>
      </c>
      <c r="P259">
        <f t="array" ref="P259:R261">SVDD(B259:D261)</f>
        <v>3.5059934132187576</v>
      </c>
      <c r="Q259">
        <v>0</v>
      </c>
      <c r="R259">
        <v>0</v>
      </c>
      <c r="S259" s="3">
        <f t="shared" ref="S259" si="191">MAX(P259,Q260,R261)/MIN(P259,Q260,R261)</f>
        <v>21.170385241601402</v>
      </c>
      <c r="X259" s="3"/>
    </row>
    <row r="260" spans="1:25">
      <c r="A260" s="7" t="s">
        <v>80</v>
      </c>
      <c r="B260" s="8">
        <v>0.21871711292247331</v>
      </c>
      <c r="C260" s="8">
        <v>2.1363371502498802</v>
      </c>
      <c r="D260" s="8">
        <v>8.9790398854103559E-2</v>
      </c>
      <c r="E260" s="7">
        <v>0</v>
      </c>
      <c r="F260" s="7">
        <v>-1.4990516053215155E-2</v>
      </c>
      <c r="G260" s="8">
        <v>0</v>
      </c>
      <c r="H260" s="8">
        <v>0</v>
      </c>
      <c r="I260" s="33">
        <v>0</v>
      </c>
      <c r="J260" s="7">
        <v>0</v>
      </c>
      <c r="K260" s="7">
        <v>0</v>
      </c>
      <c r="P260">
        <v>0</v>
      </c>
      <c r="Q260">
        <v>0.87366878917267143</v>
      </c>
      <c r="R260">
        <v>0</v>
      </c>
      <c r="X260" s="3"/>
    </row>
    <row r="261" spans="1:25">
      <c r="A261" s="7"/>
      <c r="B261" s="8">
        <v>1.2284177840385118</v>
      </c>
      <c r="C261" s="8">
        <v>2.3993580133895418</v>
      </c>
      <c r="D261" s="8">
        <v>-0.6756623603325641</v>
      </c>
      <c r="E261" s="7">
        <v>0</v>
      </c>
      <c r="F261" s="8">
        <v>0</v>
      </c>
      <c r="G261" s="7">
        <v>-1.4990516053215155E-2</v>
      </c>
      <c r="H261" s="8">
        <v>0</v>
      </c>
      <c r="I261" s="8">
        <v>0</v>
      </c>
      <c r="J261" s="33">
        <v>0</v>
      </c>
      <c r="K261" s="33">
        <v>0</v>
      </c>
      <c r="P261">
        <v>0</v>
      </c>
      <c r="Q261">
        <v>0</v>
      </c>
      <c r="R261">
        <v>0.16560838989028959</v>
      </c>
      <c r="X261" s="3"/>
    </row>
    <row r="262" spans="1:25">
      <c r="A262" s="7"/>
      <c r="B262" s="8"/>
      <c r="C262" s="8"/>
      <c r="D262" s="8"/>
      <c r="E262" s="7"/>
      <c r="F262" s="7"/>
      <c r="G262" s="7"/>
      <c r="H262" s="7"/>
      <c r="I262" s="7"/>
      <c r="J262" s="7"/>
      <c r="K262" s="7"/>
      <c r="X262" s="3"/>
    </row>
    <row r="263" spans="1:25">
      <c r="A263" s="7"/>
      <c r="B263" s="8">
        <v>-0.14897154656832046</v>
      </c>
      <c r="C263" s="8">
        <v>0.84725762547333594</v>
      </c>
      <c r="D263" s="8">
        <v>-1.9759438806851826E-2</v>
      </c>
      <c r="E263" s="7">
        <v>-1.4990516053215155E-2</v>
      </c>
      <c r="F263" s="8">
        <v>0</v>
      </c>
      <c r="G263" s="8">
        <v>0</v>
      </c>
      <c r="H263" s="33">
        <v>0</v>
      </c>
      <c r="I263" s="7">
        <v>0</v>
      </c>
      <c r="J263" s="7">
        <v>0</v>
      </c>
      <c r="K263" s="7">
        <v>0</v>
      </c>
      <c r="M263">
        <f t="shared" ref="M263" si="192">MDETERM(B263:D265)</f>
        <v>1.2465361632740966</v>
      </c>
      <c r="N263">
        <f t="shared" ref="N263" si="193">MDETERM(E263:G265)</f>
        <v>-3.3686023826032914E-6</v>
      </c>
      <c r="P263">
        <f t="array" ref="P263:R265">SVDD(B263:D265)</f>
        <v>3.9376614674879349</v>
      </c>
      <c r="Q263">
        <v>0</v>
      </c>
      <c r="R263">
        <v>0</v>
      </c>
      <c r="S263" s="3">
        <f t="shared" ref="S263" si="194">MAX(P263,Q264,R265)/MIN(P263,Q264,R265)</f>
        <v>10.1367998366946</v>
      </c>
      <c r="X263" s="3"/>
    </row>
    <row r="264" spans="1:25">
      <c r="A264" s="7" t="s">
        <v>81</v>
      </c>
      <c r="B264" s="8">
        <v>1.8375474863113905</v>
      </c>
      <c r="C264" s="8">
        <v>2.1167426559988707</v>
      </c>
      <c r="D264" s="8">
        <v>1.2367606559382516E-2</v>
      </c>
      <c r="E264" s="7">
        <v>0</v>
      </c>
      <c r="F264" s="7">
        <v>-1.4990516053215155E-2</v>
      </c>
      <c r="G264" s="8">
        <v>0</v>
      </c>
      <c r="H264" s="8">
        <v>0</v>
      </c>
      <c r="I264" s="33">
        <v>0</v>
      </c>
      <c r="J264" s="7">
        <v>0</v>
      </c>
      <c r="K264" s="7">
        <v>0</v>
      </c>
      <c r="P264">
        <v>0</v>
      </c>
      <c r="Q264">
        <v>0.81494631746777135</v>
      </c>
      <c r="R264">
        <v>0</v>
      </c>
      <c r="X264" s="3"/>
    </row>
    <row r="265" spans="1:25">
      <c r="A265" s="7"/>
      <c r="B265" s="8">
        <v>1.2284177840385118</v>
      </c>
      <c r="C265" s="8">
        <v>2.3993580133895418</v>
      </c>
      <c r="D265" s="8">
        <v>-0.6756623603325641</v>
      </c>
      <c r="E265" s="7">
        <v>0</v>
      </c>
      <c r="F265" s="8">
        <v>0</v>
      </c>
      <c r="G265" s="7">
        <v>-1.4990516053215155E-2</v>
      </c>
      <c r="H265" s="8">
        <v>0</v>
      </c>
      <c r="I265" s="8">
        <v>0</v>
      </c>
      <c r="J265" s="33">
        <v>0</v>
      </c>
      <c r="K265" s="33">
        <v>0</v>
      </c>
      <c r="P265">
        <v>0</v>
      </c>
      <c r="Q265">
        <v>0</v>
      </c>
      <c r="R265">
        <v>0.3884521279816377</v>
      </c>
      <c r="X265" s="3"/>
    </row>
    <row r="266" spans="1:25">
      <c r="A266" s="7"/>
      <c r="B266" s="8"/>
      <c r="C266" s="8"/>
      <c r="D266" s="8"/>
      <c r="E266" s="7"/>
      <c r="F266" s="7"/>
      <c r="G266" s="7"/>
      <c r="H266" s="7"/>
      <c r="I266" s="7"/>
      <c r="J266" s="7"/>
      <c r="K266" s="7"/>
      <c r="X266" s="3"/>
    </row>
    <row r="267" spans="1:25">
      <c r="A267" s="7"/>
      <c r="B267" s="8">
        <v>2.6959782234951333</v>
      </c>
      <c r="C267" s="8">
        <v>1.0757798809975587</v>
      </c>
      <c r="D267" s="8">
        <v>4.997772423355884E-2</v>
      </c>
      <c r="E267" s="7">
        <v>-1.4990516053215155E-2</v>
      </c>
      <c r="F267" s="8">
        <v>0</v>
      </c>
      <c r="G267" s="8">
        <v>0</v>
      </c>
      <c r="H267" s="33">
        <v>0</v>
      </c>
      <c r="I267" s="7">
        <v>0</v>
      </c>
      <c r="J267" s="7">
        <v>0</v>
      </c>
      <c r="K267" s="7">
        <v>0</v>
      </c>
      <c r="M267">
        <f t="shared" ref="M267" si="195">MDETERM(B267:D269)</f>
        <v>-0.43964286064301017</v>
      </c>
      <c r="N267">
        <f t="shared" ref="N267" si="196">MDETERM(E267:G269)</f>
        <v>-3.3686023826032914E-6</v>
      </c>
      <c r="P267">
        <f t="array" ref="P267:R269">SVDD(B267:D269)</f>
        <v>4.2088267851213983</v>
      </c>
      <c r="Q267">
        <v>0</v>
      </c>
      <c r="R267">
        <v>0</v>
      </c>
      <c r="S267" s="3">
        <f t="shared" ref="S267" si="197">MAX(P267,Q268,R269)/MIN(P267,Q268,R269)</f>
        <v>71.937522903691658</v>
      </c>
      <c r="X267" s="3"/>
    </row>
    <row r="268" spans="1:25">
      <c r="A268" s="7" t="s">
        <v>82</v>
      </c>
      <c r="B268" s="8">
        <v>0.21871711292247331</v>
      </c>
      <c r="C268" s="8">
        <v>2.1363371502498802</v>
      </c>
      <c r="D268" s="8">
        <v>8.9790398854103559E-2</v>
      </c>
      <c r="E268" s="7">
        <v>0</v>
      </c>
      <c r="F268" s="7">
        <v>-1.4990516053215155E-2</v>
      </c>
      <c r="G268" s="8">
        <v>0</v>
      </c>
      <c r="H268" s="8">
        <v>0</v>
      </c>
      <c r="I268" s="33">
        <v>0</v>
      </c>
      <c r="J268" s="7">
        <v>0</v>
      </c>
      <c r="K268" s="7">
        <v>0</v>
      </c>
      <c r="P268">
        <v>0</v>
      </c>
      <c r="Q268">
        <v>1.7853912374657988</v>
      </c>
      <c r="R268">
        <v>0</v>
      </c>
      <c r="X268" s="3"/>
    </row>
    <row r="269" spans="1:25">
      <c r="A269" s="7"/>
      <c r="B269" s="8">
        <v>1.8375474863113905</v>
      </c>
      <c r="C269" s="8">
        <v>2.1167426559988707</v>
      </c>
      <c r="D269" s="8">
        <v>1.2367606559382516E-2</v>
      </c>
      <c r="E269" s="7">
        <v>0</v>
      </c>
      <c r="F269" s="8">
        <v>0</v>
      </c>
      <c r="G269" s="7">
        <v>-1.4990516053215155E-2</v>
      </c>
      <c r="H269" s="8">
        <v>0</v>
      </c>
      <c r="I269" s="8">
        <v>0</v>
      </c>
      <c r="J269" s="33">
        <v>0</v>
      </c>
      <c r="K269" s="33">
        <v>0</v>
      </c>
      <c r="P269">
        <v>0</v>
      </c>
      <c r="Q269">
        <v>0</v>
      </c>
      <c r="R269">
        <v>5.8506696022270342E-2</v>
      </c>
      <c r="X269" s="3"/>
    </row>
    <row r="270" spans="1:25">
      <c r="A270" s="7"/>
      <c r="B270" s="8"/>
      <c r="C270" s="8"/>
      <c r="D270" s="8"/>
      <c r="E270" s="7"/>
      <c r="F270" s="7"/>
      <c r="G270" s="7"/>
      <c r="H270" s="7"/>
      <c r="I270" s="7"/>
      <c r="J270" s="7"/>
      <c r="K270" s="7"/>
      <c r="X270" s="3"/>
      <c r="Y270" s="3"/>
    </row>
    <row r="271" spans="1:25">
      <c r="A271" s="7"/>
      <c r="B271" s="8">
        <v>2.6959782234951333</v>
      </c>
      <c r="C271" s="8">
        <v>1.0757798809975587</v>
      </c>
      <c r="D271" s="8">
        <v>4.997772423355884E-2</v>
      </c>
      <c r="E271" s="7">
        <v>-1.4990516053215155E-2</v>
      </c>
      <c r="F271" s="8">
        <v>0</v>
      </c>
      <c r="G271" s="8">
        <v>0</v>
      </c>
      <c r="H271" s="33">
        <v>0</v>
      </c>
      <c r="I271" s="7">
        <v>0</v>
      </c>
      <c r="J271" s="7">
        <v>0</v>
      </c>
      <c r="K271" s="7">
        <v>0</v>
      </c>
      <c r="M271">
        <f t="shared" ref="M271" si="198">MDETERM(B271:D273)</f>
        <v>-4.2996031996665085</v>
      </c>
      <c r="N271">
        <f t="shared" ref="N271" si="199">MDETERM(E271:G273)</f>
        <v>-3.3686023826032914E-6</v>
      </c>
      <c r="P271">
        <f t="array" ref="P271:R273">SVDD(B271:D273)</f>
        <v>4.0916503347550481</v>
      </c>
      <c r="Q271">
        <v>0</v>
      </c>
      <c r="R271">
        <v>0</v>
      </c>
      <c r="S271" s="3">
        <f t="shared" ref="S271" si="200">MAX(P271,Q272,R273)/MIN(P271,Q272,R273)</f>
        <v>7.5230904443487656</v>
      </c>
      <c r="X271" s="3"/>
      <c r="Y271" s="3"/>
    </row>
    <row r="272" spans="1:25">
      <c r="A272" s="7" t="s">
        <v>83</v>
      </c>
      <c r="B272" s="8">
        <v>0.21871711292247331</v>
      </c>
      <c r="C272" s="8">
        <v>2.1363371502498802</v>
      </c>
      <c r="D272" s="8">
        <v>8.9790398854103559E-2</v>
      </c>
      <c r="E272" s="7">
        <v>0</v>
      </c>
      <c r="F272" s="7">
        <v>-1.4990516053215155E-2</v>
      </c>
      <c r="G272" s="8">
        <v>0</v>
      </c>
      <c r="H272" s="8">
        <v>0</v>
      </c>
      <c r="I272" s="33">
        <v>0</v>
      </c>
      <c r="J272" s="7">
        <v>0</v>
      </c>
      <c r="K272" s="7">
        <v>0</v>
      </c>
      <c r="P272">
        <v>0</v>
      </c>
      <c r="Q272">
        <v>1.9320912570653299</v>
      </c>
      <c r="R272">
        <v>0</v>
      </c>
      <c r="X272" s="3"/>
      <c r="Y272" s="3"/>
    </row>
    <row r="273" spans="1:25">
      <c r="A273" s="7"/>
      <c r="B273" s="8">
        <v>1.2284177840385118</v>
      </c>
      <c r="C273" s="8">
        <v>2.3993580133895418</v>
      </c>
      <c r="D273" s="8">
        <v>-0.6756623603325641</v>
      </c>
      <c r="E273" s="7">
        <v>0</v>
      </c>
      <c r="F273" s="8">
        <v>0</v>
      </c>
      <c r="G273" s="7">
        <v>-1.4990516053215155E-2</v>
      </c>
      <c r="H273" s="8">
        <v>0</v>
      </c>
      <c r="I273" s="8">
        <v>0</v>
      </c>
      <c r="J273" s="33">
        <v>0</v>
      </c>
      <c r="K273" s="33">
        <v>0</v>
      </c>
      <c r="P273">
        <v>0</v>
      </c>
      <c r="Q273">
        <v>0</v>
      </c>
      <c r="R273">
        <v>0.54387892383091518</v>
      </c>
      <c r="X273" s="3"/>
      <c r="Y273" s="3"/>
    </row>
    <row r="274" spans="1:25">
      <c r="A274" s="7"/>
      <c r="B274" s="8"/>
      <c r="C274" s="8"/>
      <c r="D274" s="8"/>
      <c r="E274" s="7"/>
      <c r="F274" s="7"/>
      <c r="G274" s="7"/>
      <c r="H274" s="7"/>
      <c r="I274" s="7"/>
      <c r="J274" s="7"/>
      <c r="K274" s="7"/>
      <c r="X274" s="3"/>
      <c r="Y274" s="3"/>
    </row>
    <row r="275" spans="1:25">
      <c r="A275" s="7"/>
      <c r="B275" s="8">
        <v>2.6959782234951333</v>
      </c>
      <c r="C275" s="8">
        <v>1.0757798809975587</v>
      </c>
      <c r="D275" s="8">
        <v>4.997772423355884E-2</v>
      </c>
      <c r="E275" s="7">
        <v>-1.4990516053215155E-2</v>
      </c>
      <c r="F275" s="8">
        <v>0</v>
      </c>
      <c r="G275" s="8">
        <v>0</v>
      </c>
      <c r="H275" s="33">
        <v>0</v>
      </c>
      <c r="I275" s="7">
        <v>0</v>
      </c>
      <c r="J275" s="7">
        <v>0</v>
      </c>
      <c r="K275" s="7">
        <v>0</v>
      </c>
      <c r="M275">
        <f t="shared" ref="M275" si="201">MDETERM(B275:D277)</f>
        <v>-2.4934132109217195</v>
      </c>
      <c r="N275">
        <f t="shared" ref="N275" si="202">MDETERM(E275:G277)</f>
        <v>-3.3686023826032914E-6</v>
      </c>
      <c r="P275">
        <f t="array" ref="P275:R277">SVDD(B275:D277)</f>
        <v>4.6511385224898145</v>
      </c>
      <c r="Q275">
        <v>0</v>
      </c>
      <c r="R275">
        <v>0</v>
      </c>
      <c r="S275" s="3">
        <f t="shared" ref="S275" si="203">MAX(P275,Q276,R277)/MIN(P275,Q276,R277)</f>
        <v>13.005132427828926</v>
      </c>
      <c r="X275" s="3"/>
      <c r="Y275" s="3"/>
    </row>
    <row r="276" spans="1:25">
      <c r="A276" s="7" t="s">
        <v>84</v>
      </c>
      <c r="B276" s="8">
        <v>1.8375474863113905</v>
      </c>
      <c r="C276" s="8">
        <v>2.1167426559988707</v>
      </c>
      <c r="D276" s="8">
        <v>1.2367606559382516E-2</v>
      </c>
      <c r="E276" s="7">
        <v>0</v>
      </c>
      <c r="F276" s="7">
        <v>-1.4990516053215155E-2</v>
      </c>
      <c r="G276" s="8">
        <v>0</v>
      </c>
      <c r="H276" s="8">
        <v>0</v>
      </c>
      <c r="I276" s="33">
        <v>0</v>
      </c>
      <c r="J276" s="7">
        <v>0</v>
      </c>
      <c r="K276" s="7">
        <v>0</v>
      </c>
      <c r="P276">
        <v>0</v>
      </c>
      <c r="Q276">
        <v>1.498961529388092</v>
      </c>
      <c r="R276">
        <v>0</v>
      </c>
      <c r="X276" s="3"/>
      <c r="Y276" s="3"/>
    </row>
    <row r="277" spans="1:25">
      <c r="A277" s="7"/>
      <c r="B277" s="8">
        <v>1.2284177840385118</v>
      </c>
      <c r="C277" s="8">
        <v>2.3993580133895418</v>
      </c>
      <c r="D277" s="8">
        <v>-0.6756623603325641</v>
      </c>
      <c r="E277" s="7">
        <v>0</v>
      </c>
      <c r="F277" s="8">
        <v>0</v>
      </c>
      <c r="G277" s="7">
        <v>-1.4990516053215155E-2</v>
      </c>
      <c r="H277" s="8">
        <v>0</v>
      </c>
      <c r="I277" s="8">
        <v>0</v>
      </c>
      <c r="J277" s="33">
        <v>0</v>
      </c>
      <c r="K277" s="33">
        <v>0</v>
      </c>
      <c r="P277">
        <v>0</v>
      </c>
      <c r="Q277">
        <v>0</v>
      </c>
      <c r="R277">
        <v>0.35763868982503505</v>
      </c>
      <c r="X277" s="3"/>
      <c r="Y277" s="3"/>
    </row>
    <row r="278" spans="1:25">
      <c r="A278" s="7"/>
      <c r="B278" s="8"/>
      <c r="C278" s="8"/>
      <c r="D278" s="8"/>
      <c r="E278" s="7"/>
      <c r="F278" s="7"/>
      <c r="G278" s="7"/>
      <c r="H278" s="7"/>
      <c r="I278" s="7"/>
      <c r="J278" s="7"/>
      <c r="K278" s="7"/>
      <c r="X278" s="3"/>
      <c r="Y278" s="3"/>
    </row>
    <row r="279" spans="1:25">
      <c r="A279" s="7"/>
      <c r="B279" s="8">
        <v>0.21871711292247331</v>
      </c>
      <c r="C279" s="8">
        <v>2.1363371502498802</v>
      </c>
      <c r="D279" s="8">
        <v>8.9790398854103559E-2</v>
      </c>
      <c r="E279" s="7">
        <v>-1.4990516053215155E-2</v>
      </c>
      <c r="F279" s="8">
        <v>0</v>
      </c>
      <c r="G279" s="8">
        <v>0</v>
      </c>
      <c r="H279" s="33">
        <v>0</v>
      </c>
      <c r="I279" s="7">
        <v>0</v>
      </c>
      <c r="J279" s="7">
        <v>0</v>
      </c>
      <c r="K279" s="7">
        <v>0</v>
      </c>
      <c r="M279">
        <f t="shared" ref="M279" si="204">MDETERM(B279:D281)</f>
        <v>2.5279535809429046</v>
      </c>
      <c r="N279">
        <f t="shared" ref="N279" si="205">MDETERM(E279:G281)</f>
        <v>-3.3686023826032914E-6</v>
      </c>
      <c r="P279">
        <f t="array" ref="P279:R281">SVDD(B279:D281)</f>
        <v>4.3385476984630573</v>
      </c>
      <c r="Q279">
        <v>0</v>
      </c>
      <c r="R279">
        <v>0</v>
      </c>
      <c r="S279" s="3">
        <f t="shared" ref="S279" si="206">MAX(P279,Q280,R281)/MIN(P279,Q280,R281)</f>
        <v>7.6469926989996724</v>
      </c>
      <c r="X279" s="3"/>
      <c r="Y279" s="3"/>
    </row>
    <row r="280" spans="1:25">
      <c r="A280" s="7" t="s">
        <v>85</v>
      </c>
      <c r="B280" s="8">
        <v>1.8375474863113905</v>
      </c>
      <c r="C280" s="8">
        <v>2.1167426559988707</v>
      </c>
      <c r="D280" s="8">
        <v>1.2367606559382516E-2</v>
      </c>
      <c r="E280" s="7">
        <v>0</v>
      </c>
      <c r="F280" s="7">
        <v>-1.4990516053215155E-2</v>
      </c>
      <c r="G280" s="8">
        <v>0</v>
      </c>
      <c r="H280" s="8">
        <v>0</v>
      </c>
      <c r="I280" s="33">
        <v>0</v>
      </c>
      <c r="J280" s="7">
        <v>0</v>
      </c>
      <c r="K280" s="7">
        <v>0</v>
      </c>
      <c r="P280">
        <v>0</v>
      </c>
      <c r="Q280">
        <v>1.0270013573546697</v>
      </c>
      <c r="R280">
        <v>0</v>
      </c>
      <c r="X280" s="3"/>
      <c r="Y280" s="3"/>
    </row>
    <row r="281" spans="1:25">
      <c r="A281" s="7"/>
      <c r="B281" s="8">
        <v>1.2284177840385118</v>
      </c>
      <c r="C281" s="8">
        <v>2.3993580133895418</v>
      </c>
      <c r="D281" s="8">
        <v>-0.6756623603325641</v>
      </c>
      <c r="E281" s="7">
        <v>0</v>
      </c>
      <c r="F281" s="8">
        <v>0</v>
      </c>
      <c r="G281" s="7">
        <v>-1.4990516053215155E-2</v>
      </c>
      <c r="H281" s="8">
        <v>0</v>
      </c>
      <c r="I281" s="8">
        <v>0</v>
      </c>
      <c r="J281" s="33">
        <v>0</v>
      </c>
      <c r="K281" s="33">
        <v>0</v>
      </c>
      <c r="P281">
        <v>0</v>
      </c>
      <c r="Q281">
        <v>0</v>
      </c>
      <c r="R281">
        <v>0.56735345111949653</v>
      </c>
      <c r="X281" s="3"/>
      <c r="Y281" s="3"/>
    </row>
    <row r="282" spans="1:25">
      <c r="A282" s="7"/>
      <c r="B282" s="8"/>
      <c r="C282" s="8"/>
      <c r="D282" s="8"/>
      <c r="E282" s="7"/>
      <c r="F282" s="7"/>
      <c r="G282" s="7"/>
      <c r="H282" s="7"/>
      <c r="I282" s="7"/>
      <c r="J282" s="7"/>
      <c r="K282" s="7"/>
      <c r="X282" s="3"/>
      <c r="Y282" s="3"/>
    </row>
    <row r="283" spans="1:25">
      <c r="A283" s="7"/>
      <c r="B283" s="8">
        <v>-1.0419123890112216</v>
      </c>
      <c r="C283" s="8">
        <v>4.0818532431212473E-2</v>
      </c>
      <c r="D283" s="8">
        <v>-0.77248383184656022</v>
      </c>
      <c r="E283" s="7">
        <v>-1.4990516053215155E-2</v>
      </c>
      <c r="F283" s="8">
        <v>0</v>
      </c>
      <c r="G283" s="8">
        <v>0</v>
      </c>
      <c r="H283" s="33">
        <v>0</v>
      </c>
      <c r="I283" s="7">
        <v>0</v>
      </c>
      <c r="J283" s="7">
        <v>0</v>
      </c>
      <c r="K283" s="7">
        <v>0</v>
      </c>
      <c r="M283">
        <f t="shared" ref="M283" si="207">MDETERM(B283:D285)</f>
        <v>1.4708968013385888</v>
      </c>
      <c r="N283">
        <f t="shared" ref="N283" si="208">MDETERM(E283:G285)</f>
        <v>-3.3686023826032914E-6</v>
      </c>
      <c r="P283">
        <f t="array" ref="P283:R285">SVDD(B283:D285)</f>
        <v>3.5781313047309427</v>
      </c>
      <c r="Q283">
        <v>0</v>
      </c>
      <c r="R283">
        <v>0</v>
      </c>
      <c r="S283" s="3">
        <f t="shared" ref="S283" si="209">MAX(P283,Q284,R285)/MIN(P283,Q284,R285)</f>
        <v>6.5447871116906784</v>
      </c>
      <c r="X283" s="3"/>
      <c r="Y283" s="3"/>
    </row>
    <row r="284" spans="1:25">
      <c r="A284" s="7" t="s">
        <v>86</v>
      </c>
      <c r="B284" s="8">
        <v>-2.2957880185781296</v>
      </c>
      <c r="C284" s="8">
        <v>8.2263663034425338E-3</v>
      </c>
      <c r="D284" s="8">
        <v>-3.3137218009327896E-2</v>
      </c>
      <c r="E284" s="7">
        <v>0</v>
      </c>
      <c r="F284" s="7">
        <v>-1.4990516053215155E-2</v>
      </c>
      <c r="G284" s="8">
        <v>0</v>
      </c>
      <c r="H284" s="8">
        <v>0</v>
      </c>
      <c r="I284" s="33">
        <v>0</v>
      </c>
      <c r="J284" s="7">
        <v>0</v>
      </c>
      <c r="K284" s="7">
        <v>0</v>
      </c>
      <c r="P284">
        <v>0</v>
      </c>
      <c r="Q284">
        <v>0.75190882273633219</v>
      </c>
      <c r="R284">
        <v>0</v>
      </c>
      <c r="X284" s="3"/>
      <c r="Y284" s="3"/>
    </row>
    <row r="285" spans="1:25">
      <c r="A285" s="7"/>
      <c r="B285" s="8">
        <v>-2.44475956514645</v>
      </c>
      <c r="C285" s="8">
        <v>0.85548399177677847</v>
      </c>
      <c r="D285" s="8">
        <v>-5.2896656816179721E-2</v>
      </c>
      <c r="E285" s="7">
        <v>0</v>
      </c>
      <c r="F285" s="8">
        <v>0</v>
      </c>
      <c r="G285" s="7">
        <v>-1.4990516053215155E-2</v>
      </c>
      <c r="H285" s="8">
        <v>0</v>
      </c>
      <c r="I285" s="8">
        <v>0</v>
      </c>
      <c r="J285" s="33">
        <v>0</v>
      </c>
      <c r="K285" s="33">
        <v>0</v>
      </c>
      <c r="P285">
        <v>0</v>
      </c>
      <c r="Q285">
        <v>0</v>
      </c>
      <c r="R285">
        <v>0.54671469731070044</v>
      </c>
      <c r="X285" s="3"/>
      <c r="Y285" s="3"/>
    </row>
    <row r="286" spans="1:25">
      <c r="A286" s="7"/>
      <c r="B286" s="8"/>
      <c r="C286" s="8"/>
      <c r="D286" s="8"/>
      <c r="E286" s="7"/>
      <c r="F286" s="7"/>
      <c r="G286" s="7"/>
      <c r="H286" s="7"/>
      <c r="I286" s="7"/>
      <c r="J286" s="7"/>
      <c r="K286" s="7"/>
      <c r="X286" s="3"/>
      <c r="Y286" s="3"/>
    </row>
    <row r="287" spans="1:25">
      <c r="A287" s="7"/>
      <c r="B287" s="8">
        <v>-1.0419123890112216</v>
      </c>
      <c r="C287" s="8">
        <v>4.0818532431212473E-2</v>
      </c>
      <c r="D287" s="8">
        <v>-0.77248383184656022</v>
      </c>
      <c r="E287" s="7">
        <v>-1.4990516053215155E-2</v>
      </c>
      <c r="F287" s="8">
        <v>0</v>
      </c>
      <c r="G287" s="8">
        <v>0</v>
      </c>
      <c r="H287" s="33">
        <v>0</v>
      </c>
      <c r="I287" s="7">
        <v>0</v>
      </c>
      <c r="J287" s="7">
        <v>0</v>
      </c>
      <c r="K287" s="7">
        <v>0</v>
      </c>
      <c r="M287">
        <f t="shared" ref="M287" si="210">MDETERM(B287:D289)</f>
        <v>1.8884498807674159</v>
      </c>
      <c r="N287">
        <f t="shared" ref="N287" si="211">MDETERM(E287:G289)</f>
        <v>-3.3686023826032914E-6</v>
      </c>
      <c r="P287">
        <f t="array" ref="P287:R289">SVDD(B287:D289)</f>
        <v>2.5828469881223244</v>
      </c>
      <c r="Q287">
        <v>0</v>
      </c>
      <c r="R287">
        <v>0</v>
      </c>
      <c r="S287" s="3">
        <f t="shared" ref="S287" si="212">MAX(P287,Q288,R289)/MIN(P287,Q288,R289)</f>
        <v>3.8029292847047502</v>
      </c>
      <c r="X287" s="3"/>
      <c r="Y287" s="3"/>
    </row>
    <row r="288" spans="1:25">
      <c r="A288" s="7" t="s">
        <v>87</v>
      </c>
      <c r="B288" s="8">
        <v>-2.2957880185781296</v>
      </c>
      <c r="C288" s="8">
        <v>8.2263663034425338E-3</v>
      </c>
      <c r="D288" s="8">
        <v>-3.3137218009327896E-2</v>
      </c>
      <c r="E288" s="7">
        <v>0</v>
      </c>
      <c r="F288" s="7">
        <v>-1.4990516053215155E-2</v>
      </c>
      <c r="G288" s="8">
        <v>0</v>
      </c>
      <c r="H288" s="8">
        <v>0</v>
      </c>
      <c r="I288" s="33">
        <v>0</v>
      </c>
      <c r="J288" s="7">
        <v>0</v>
      </c>
      <c r="K288" s="7">
        <v>0</v>
      </c>
      <c r="P288">
        <v>0</v>
      </c>
      <c r="Q288">
        <v>1.0765305422057647</v>
      </c>
      <c r="R288">
        <v>0</v>
      </c>
      <c r="X288" s="3"/>
      <c r="Y288" s="3"/>
    </row>
    <row r="289" spans="1:25">
      <c r="A289" s="7"/>
      <c r="B289" s="8">
        <v>0.40019020491700363</v>
      </c>
      <c r="C289" s="8">
        <v>1.0840062473010013</v>
      </c>
      <c r="D289" s="8">
        <v>1.6840506224230944E-2</v>
      </c>
      <c r="E289" s="7">
        <v>0</v>
      </c>
      <c r="F289" s="8">
        <v>0</v>
      </c>
      <c r="G289" s="7">
        <v>-1.4990516053215155E-2</v>
      </c>
      <c r="H289" s="8">
        <v>0</v>
      </c>
      <c r="I289" s="8">
        <v>0</v>
      </c>
      <c r="J289" s="33">
        <v>0</v>
      </c>
      <c r="K289" s="33">
        <v>0</v>
      </c>
      <c r="P289">
        <v>0</v>
      </c>
      <c r="Q289">
        <v>0</v>
      </c>
      <c r="R289">
        <v>0.67917302551757808</v>
      </c>
      <c r="X289" s="3"/>
      <c r="Y289" s="3"/>
    </row>
    <row r="290" spans="1:25">
      <c r="A290" s="7"/>
      <c r="B290" s="8"/>
      <c r="C290" s="8"/>
      <c r="D290" s="8"/>
      <c r="E290" s="7"/>
      <c r="F290" s="7"/>
      <c r="G290" s="7"/>
      <c r="H290" s="7"/>
      <c r="I290" s="7"/>
      <c r="J290" s="7"/>
      <c r="K290" s="7"/>
      <c r="X290" s="3"/>
      <c r="Y290" s="3"/>
    </row>
    <row r="291" spans="1:25">
      <c r="A291" s="7"/>
      <c r="B291" s="8">
        <v>-1.0419123890112216</v>
      </c>
      <c r="C291" s="8">
        <v>4.0818532431212473E-2</v>
      </c>
      <c r="D291" s="8">
        <v>-0.77248383184656022</v>
      </c>
      <c r="E291" s="7">
        <v>-1.4990516053215155E-2</v>
      </c>
      <c r="F291" s="8">
        <v>0</v>
      </c>
      <c r="G291" s="8">
        <v>0</v>
      </c>
      <c r="H291" s="33">
        <v>0</v>
      </c>
      <c r="I291" s="7">
        <v>0</v>
      </c>
      <c r="J291" s="7">
        <v>0</v>
      </c>
      <c r="K291" s="7">
        <v>0</v>
      </c>
      <c r="M291">
        <f t="shared" ref="M291" si="213">MDETERM(B291:D293)</f>
        <v>3.7236860350750867</v>
      </c>
      <c r="N291">
        <f t="shared" ref="N291" si="214">MDETERM(E291:G293)</f>
        <v>-3.3686023826032914E-6</v>
      </c>
      <c r="P291">
        <f t="array" ref="P291:R293">SVDD(B291:D293)</f>
        <v>3.6205545793336671</v>
      </c>
      <c r="Q291">
        <v>0</v>
      </c>
      <c r="R291">
        <v>0</v>
      </c>
      <c r="S291" s="3">
        <f t="shared" ref="S291" si="215">MAX(P291,Q292,R293)/MIN(P291,Q292,R293)</f>
        <v>5.3446407282175681</v>
      </c>
      <c r="X291" s="3"/>
      <c r="Y291" s="3"/>
    </row>
    <row r="292" spans="1:25">
      <c r="A292" s="7" t="s">
        <v>88</v>
      </c>
      <c r="B292" s="8">
        <v>-2.2957880185781296</v>
      </c>
      <c r="C292" s="8">
        <v>8.2263663034425338E-3</v>
      </c>
      <c r="D292" s="8">
        <v>-3.3137218009327896E-2</v>
      </c>
      <c r="E292" s="7">
        <v>0</v>
      </c>
      <c r="F292" s="7">
        <v>-1.4990516053215155E-2</v>
      </c>
      <c r="G292" s="8">
        <v>0</v>
      </c>
      <c r="H292" s="8">
        <v>0</v>
      </c>
      <c r="I292" s="33">
        <v>0</v>
      </c>
      <c r="J292" s="7">
        <v>0</v>
      </c>
      <c r="K292" s="7">
        <v>0</v>
      </c>
      <c r="P292">
        <v>0</v>
      </c>
      <c r="Q292">
        <v>1.5182433071297419</v>
      </c>
      <c r="R292">
        <v>0</v>
      </c>
      <c r="X292" s="3"/>
      <c r="Y292" s="3"/>
    </row>
    <row r="293" spans="1:25">
      <c r="A293" s="7"/>
      <c r="B293" s="8">
        <v>-2.0770709056556562</v>
      </c>
      <c r="C293" s="8">
        <v>2.1445635165533226</v>
      </c>
      <c r="D293" s="8">
        <v>5.6653180844775664E-2</v>
      </c>
      <c r="E293" s="7">
        <v>0</v>
      </c>
      <c r="F293" s="8">
        <v>0</v>
      </c>
      <c r="G293" s="7">
        <v>-1.4990516053215155E-2</v>
      </c>
      <c r="H293" s="8">
        <v>0</v>
      </c>
      <c r="I293" s="8">
        <v>0</v>
      </c>
      <c r="J293" s="33">
        <v>0</v>
      </c>
      <c r="K293" s="33">
        <v>0</v>
      </c>
      <c r="P293">
        <v>0</v>
      </c>
      <c r="Q293">
        <v>0</v>
      </c>
      <c r="R293">
        <v>0.67741776546711274</v>
      </c>
      <c r="X293" s="3"/>
      <c r="Y293" s="3"/>
    </row>
    <row r="294" spans="1:25">
      <c r="A294" s="7"/>
      <c r="B294" s="8"/>
      <c r="C294" s="8"/>
      <c r="D294" s="8"/>
      <c r="E294" s="7"/>
      <c r="F294" s="7"/>
      <c r="G294" s="7"/>
      <c r="H294" s="7"/>
      <c r="I294" s="7"/>
      <c r="J294" s="7"/>
      <c r="K294" s="7"/>
      <c r="X294" s="3"/>
      <c r="Y294" s="3"/>
    </row>
    <row r="295" spans="1:25">
      <c r="A295" s="7"/>
      <c r="B295" s="8">
        <v>-1.0419123890112216</v>
      </c>
      <c r="C295" s="8">
        <v>4.0818532431212473E-2</v>
      </c>
      <c r="D295" s="8">
        <v>-0.77248383184656022</v>
      </c>
      <c r="E295" s="7">
        <v>-1.4990516053215155E-2</v>
      </c>
      <c r="F295" s="8">
        <v>0</v>
      </c>
      <c r="G295" s="8">
        <v>0</v>
      </c>
      <c r="H295" s="33">
        <v>0</v>
      </c>
      <c r="I295" s="7">
        <v>0</v>
      </c>
      <c r="J295" s="7">
        <v>0</v>
      </c>
      <c r="K295" s="7">
        <v>0</v>
      </c>
      <c r="M295">
        <f t="shared" ref="M295" si="216">MDETERM(B295:D297)</f>
        <v>3.6911183677832349</v>
      </c>
      <c r="N295">
        <f t="shared" ref="N295" si="217">MDETERM(E295:G297)</f>
        <v>-3.3686023826032914E-6</v>
      </c>
      <c r="P295">
        <f t="array" ref="P295:R297">SVDD(B295:D297)</f>
        <v>2.6664170364866213</v>
      </c>
      <c r="Q295">
        <v>0</v>
      </c>
      <c r="R295">
        <v>0</v>
      </c>
      <c r="S295" s="3">
        <f t="shared" ref="S295" si="218">MAX(P295,Q296,R297)/MIN(P295,Q296,R297)</f>
        <v>3.9026598544515507</v>
      </c>
      <c r="X295" s="3"/>
      <c r="Y295" s="3"/>
    </row>
    <row r="296" spans="1:25">
      <c r="A296" s="7" t="s">
        <v>89</v>
      </c>
      <c r="B296" s="8">
        <v>-2.2957880185781296</v>
      </c>
      <c r="C296" s="8">
        <v>8.2263663034425338E-3</v>
      </c>
      <c r="D296" s="8">
        <v>-3.3137218009327896E-2</v>
      </c>
      <c r="E296" s="7">
        <v>0</v>
      </c>
      <c r="F296" s="7">
        <v>-1.4990516053215155E-2</v>
      </c>
      <c r="G296" s="8">
        <v>0</v>
      </c>
      <c r="H296" s="8">
        <v>0</v>
      </c>
      <c r="I296" s="33">
        <v>0</v>
      </c>
      <c r="J296" s="7">
        <v>0</v>
      </c>
      <c r="K296" s="7">
        <v>0</v>
      </c>
      <c r="P296">
        <v>0</v>
      </c>
      <c r="Q296">
        <v>2.0261076787102072</v>
      </c>
      <c r="R296">
        <v>0</v>
      </c>
      <c r="X296" s="3"/>
      <c r="Y296" s="3"/>
    </row>
    <row r="297" spans="1:25">
      <c r="A297" s="7"/>
      <c r="B297" s="8">
        <v>-0.45824053226673911</v>
      </c>
      <c r="C297" s="8">
        <v>2.124969022302313</v>
      </c>
      <c r="D297" s="8">
        <v>-2.076961144994538E-2</v>
      </c>
      <c r="E297" s="7">
        <v>0</v>
      </c>
      <c r="F297" s="8">
        <v>0</v>
      </c>
      <c r="G297" s="7">
        <v>-1.4990516053215155E-2</v>
      </c>
      <c r="H297" s="8">
        <v>0</v>
      </c>
      <c r="I297" s="8">
        <v>0</v>
      </c>
      <c r="J297" s="33">
        <v>0</v>
      </c>
      <c r="K297" s="33">
        <v>0</v>
      </c>
      <c r="P297">
        <v>0</v>
      </c>
      <c r="Q297">
        <v>0</v>
      </c>
      <c r="R297">
        <v>0.68323070314344336</v>
      </c>
      <c r="X297" s="3"/>
      <c r="Y297" s="3"/>
    </row>
    <row r="298" spans="1:25">
      <c r="A298" s="7"/>
      <c r="B298" s="8"/>
      <c r="C298" s="8"/>
      <c r="D298" s="8"/>
      <c r="E298" s="7"/>
      <c r="F298" s="7"/>
      <c r="G298" s="7"/>
      <c r="H298" s="7"/>
      <c r="I298" s="7"/>
      <c r="J298" s="7"/>
      <c r="K298" s="7"/>
      <c r="X298" s="3"/>
      <c r="Y298" s="3"/>
    </row>
    <row r="299" spans="1:25">
      <c r="A299" s="7"/>
      <c r="B299" s="8">
        <v>-1.0419123890112216</v>
      </c>
      <c r="C299" s="8">
        <v>4.0818532431212473E-2</v>
      </c>
      <c r="D299" s="8">
        <v>-0.77248383184656022</v>
      </c>
      <c r="E299" s="7">
        <v>-1.4990516053215155E-2</v>
      </c>
      <c r="F299" s="8">
        <v>0</v>
      </c>
      <c r="G299" s="8">
        <v>0</v>
      </c>
      <c r="H299" s="33">
        <v>0</v>
      </c>
      <c r="I299" s="7">
        <v>0</v>
      </c>
      <c r="J299" s="7">
        <v>0</v>
      </c>
      <c r="K299" s="7">
        <v>0</v>
      </c>
      <c r="M299">
        <f t="shared" ref="M299" si="219">MDETERM(B299:D301)</f>
        <v>4.1209420531034775</v>
      </c>
      <c r="N299">
        <f t="shared" ref="N299" si="220">MDETERM(E299:G301)</f>
        <v>-3.3686023826032914E-6</v>
      </c>
      <c r="P299">
        <f t="array" ref="P299:R301">SVDD(B299:D301)</f>
        <v>3.1671013082984278</v>
      </c>
      <c r="Q299">
        <v>0</v>
      </c>
      <c r="R299">
        <v>0</v>
      </c>
      <c r="S299" s="3">
        <f t="shared" ref="S299" si="221">MAX(P299,Q300,R301)/MIN(P299,Q300,R301)</f>
        <v>4.8270811041221897</v>
      </c>
      <c r="X299" s="3"/>
      <c r="Y299" s="3"/>
    </row>
    <row r="300" spans="1:25">
      <c r="A300" s="7" t="s">
        <v>90</v>
      </c>
      <c r="B300" s="8">
        <v>-2.2957880185781296</v>
      </c>
      <c r="C300" s="8">
        <v>8.2263663034425338E-3</v>
      </c>
      <c r="D300" s="8">
        <v>-3.3137218009327896E-2</v>
      </c>
      <c r="E300" s="7">
        <v>0</v>
      </c>
      <c r="F300" s="7">
        <v>-1.4990516053215155E-2</v>
      </c>
      <c r="G300" s="8">
        <v>0</v>
      </c>
      <c r="H300" s="8">
        <v>0</v>
      </c>
      <c r="I300" s="33">
        <v>0</v>
      </c>
      <c r="J300" s="7">
        <v>0</v>
      </c>
      <c r="K300" s="7">
        <v>0</v>
      </c>
      <c r="P300">
        <v>0</v>
      </c>
      <c r="Q300">
        <v>1.983157433695605</v>
      </c>
      <c r="R300">
        <v>0</v>
      </c>
      <c r="X300" s="3"/>
      <c r="Y300" s="3"/>
    </row>
    <row r="301" spans="1:25">
      <c r="A301" s="7"/>
      <c r="B301" s="8">
        <v>-1.0673702345396179</v>
      </c>
      <c r="C301" s="8">
        <v>2.4075843796929846</v>
      </c>
      <c r="D301" s="8">
        <v>-0.708799578341892</v>
      </c>
      <c r="E301" s="7">
        <v>0</v>
      </c>
      <c r="F301" s="8">
        <v>0</v>
      </c>
      <c r="G301" s="7">
        <v>-1.4990516053215155E-2</v>
      </c>
      <c r="H301" s="8">
        <v>0</v>
      </c>
      <c r="I301" s="8">
        <v>0</v>
      </c>
      <c r="J301" s="33">
        <v>0</v>
      </c>
      <c r="K301" s="33">
        <v>0</v>
      </c>
      <c r="P301">
        <v>0</v>
      </c>
      <c r="Q301">
        <v>0</v>
      </c>
      <c r="R301">
        <v>0.65611106173331413</v>
      </c>
      <c r="X301" s="3"/>
      <c r="Y301" s="3"/>
    </row>
    <row r="302" spans="1:25">
      <c r="A302" s="7"/>
      <c r="B302" s="8"/>
      <c r="C302" s="8"/>
      <c r="D302" s="8"/>
      <c r="E302" s="7"/>
      <c r="F302" s="7"/>
      <c r="G302" s="7"/>
      <c r="H302" s="7"/>
      <c r="I302" s="7"/>
      <c r="J302" s="7"/>
      <c r="K302" s="7"/>
      <c r="X302" s="3"/>
      <c r="Y302" s="3"/>
    </row>
    <row r="303" spans="1:25">
      <c r="A303" s="7"/>
      <c r="B303" s="8">
        <v>-1.0419123890112216</v>
      </c>
      <c r="C303" s="8">
        <v>4.0818532431212473E-2</v>
      </c>
      <c r="D303" s="8">
        <v>-0.77248383184656022</v>
      </c>
      <c r="E303" s="7">
        <v>-1.4990516053215155E-2</v>
      </c>
      <c r="F303" s="8">
        <v>0</v>
      </c>
      <c r="G303" s="8">
        <v>0</v>
      </c>
      <c r="H303" s="33">
        <v>-2.2872089329671663E-2</v>
      </c>
      <c r="I303" s="7">
        <v>2.1796664656245589E-2</v>
      </c>
      <c r="J303" s="7">
        <v>0</v>
      </c>
      <c r="K303" s="7">
        <v>0</v>
      </c>
      <c r="M303">
        <f t="shared" ref="M303" si="222">MDETERM(B303:D305)</f>
        <v>2.2377131614660728</v>
      </c>
      <c r="N303">
        <f t="shared" ref="N303" si="223">MDETERM(E303:G305)</f>
        <v>-3.3686023826032914E-6</v>
      </c>
      <c r="P303">
        <f t="array" ref="P303:R305">SVDD(B303:D305)</f>
        <v>2.7994495588471877</v>
      </c>
      <c r="Q303">
        <v>0</v>
      </c>
      <c r="R303">
        <v>0</v>
      </c>
      <c r="S303" s="3">
        <f t="shared" ref="S303" si="224">MAX(P303,Q304,R305)/MIN(P303,Q304,R305)</f>
        <v>4.2243239500446652</v>
      </c>
      <c r="X303" s="3"/>
      <c r="Y303" s="3"/>
    </row>
    <row r="304" spans="1:25">
      <c r="A304" s="7" t="s">
        <v>91</v>
      </c>
      <c r="B304" s="8">
        <v>-2.44475956514645</v>
      </c>
      <c r="C304" s="8">
        <v>0.85548399177677847</v>
      </c>
      <c r="D304" s="8">
        <v>-5.2896656816179721E-2</v>
      </c>
      <c r="E304" s="7">
        <v>0</v>
      </c>
      <c r="F304" s="7">
        <v>-1.4990516053215155E-2</v>
      </c>
      <c r="G304" s="8">
        <v>0</v>
      </c>
      <c r="H304" s="8">
        <v>-2.2872089329671663E-2</v>
      </c>
      <c r="I304" s="33">
        <v>0</v>
      </c>
      <c r="J304" s="7">
        <v>2.2385887789414392E-2</v>
      </c>
      <c r="K304" s="7">
        <v>0</v>
      </c>
      <c r="P304">
        <v>0</v>
      </c>
      <c r="Q304">
        <v>1.206191707417708</v>
      </c>
      <c r="R304">
        <v>0</v>
      </c>
      <c r="X304" s="3"/>
      <c r="Y304" s="3"/>
    </row>
    <row r="305" spans="1:19">
      <c r="A305" s="7"/>
      <c r="B305" s="8">
        <v>0.40019020491700363</v>
      </c>
      <c r="C305" s="8">
        <v>1.0840062473010013</v>
      </c>
      <c r="D305" s="8">
        <v>1.6840506224230944E-2</v>
      </c>
      <c r="E305" s="7">
        <v>0</v>
      </c>
      <c r="F305" s="8">
        <v>0</v>
      </c>
      <c r="G305" s="7">
        <v>-1.4990516053215155E-2</v>
      </c>
      <c r="H305" s="8">
        <v>-2.2872089329671663E-2</v>
      </c>
      <c r="I305" s="8">
        <v>0</v>
      </c>
      <c r="J305" s="33">
        <v>0</v>
      </c>
      <c r="K305" s="33">
        <v>1.6236379226863738E-2</v>
      </c>
      <c r="P305">
        <v>0</v>
      </c>
      <c r="Q305">
        <v>0</v>
      </c>
      <c r="R305">
        <v>0.66269765102119782</v>
      </c>
    </row>
    <row r="306" spans="1:19">
      <c r="A306" s="7"/>
      <c r="B306" s="8"/>
      <c r="C306" s="8"/>
      <c r="D306" s="8"/>
      <c r="E306" s="7"/>
      <c r="F306" s="7"/>
      <c r="G306" s="7"/>
      <c r="H306" s="7"/>
      <c r="I306" s="7"/>
      <c r="J306" s="7"/>
      <c r="K306" s="7"/>
    </row>
    <row r="307" spans="1:19">
      <c r="A307" s="7"/>
      <c r="B307" s="8">
        <v>-1.0419123890112216</v>
      </c>
      <c r="C307" s="8">
        <v>4.0818532431212473E-2</v>
      </c>
      <c r="D307" s="8">
        <v>-0.77248383184656022</v>
      </c>
      <c r="E307" s="7">
        <v>-1.4990516053215155E-2</v>
      </c>
      <c r="F307" s="8">
        <v>0</v>
      </c>
      <c r="G307" s="8">
        <v>0</v>
      </c>
      <c r="H307" s="33">
        <v>-2.2872089329671663E-2</v>
      </c>
      <c r="I307" s="7">
        <v>2.1796664656245589E-2</v>
      </c>
      <c r="J307" s="7">
        <v>0</v>
      </c>
      <c r="K307" s="7">
        <v>0</v>
      </c>
      <c r="M307">
        <f t="shared" ref="M307" si="225">MDETERM(B307:D309)</f>
        <v>2.5189070742544719</v>
      </c>
      <c r="N307">
        <f t="shared" ref="N307" si="226">MDETERM(E307:G309)</f>
        <v>-3.3686023826032914E-6</v>
      </c>
      <c r="P307">
        <f t="array" ref="P307:R309">SVDD(B307:D309)</f>
        <v>3.9537771225351452</v>
      </c>
      <c r="Q307">
        <v>0</v>
      </c>
      <c r="R307">
        <v>0</v>
      </c>
      <c r="S307" s="3">
        <f t="shared" ref="S307" si="227">MAX(P307,Q308,R309)/MIN(P307,Q308,R309)</f>
        <v>7.309134947611736</v>
      </c>
    </row>
    <row r="308" spans="1:19">
      <c r="A308" s="7" t="s">
        <v>92</v>
      </c>
      <c r="B308" s="8">
        <v>-2.44475956514645</v>
      </c>
      <c r="C308" s="8">
        <v>0.85548399177677847</v>
      </c>
      <c r="D308" s="8">
        <v>-5.2896656816179721E-2</v>
      </c>
      <c r="E308" s="7">
        <v>0</v>
      </c>
      <c r="F308" s="7">
        <v>-1.4990516053215155E-2</v>
      </c>
      <c r="G308" s="8">
        <v>0</v>
      </c>
      <c r="H308" s="8">
        <v>-2.2872089329671663E-2</v>
      </c>
      <c r="I308" s="33">
        <v>0</v>
      </c>
      <c r="J308" s="7">
        <v>2.2385887789414392E-2</v>
      </c>
      <c r="K308" s="7">
        <v>0</v>
      </c>
      <c r="P308">
        <v>0</v>
      </c>
      <c r="Q308">
        <v>1.1777517496244334</v>
      </c>
      <c r="R308">
        <v>0</v>
      </c>
    </row>
    <row r="309" spans="1:19">
      <c r="A309" s="7"/>
      <c r="B309" s="8">
        <v>-2.0770709056556562</v>
      </c>
      <c r="C309" s="8">
        <v>2.1445635165533226</v>
      </c>
      <c r="D309" s="8">
        <v>5.6653180844775664E-2</v>
      </c>
      <c r="E309" s="7">
        <v>0</v>
      </c>
      <c r="F309" s="8">
        <v>0</v>
      </c>
      <c r="G309" s="7">
        <v>-1.4990516053215155E-2</v>
      </c>
      <c r="H309" s="8">
        <v>-2.2872089329671663E-2</v>
      </c>
      <c r="I309" s="8">
        <v>0</v>
      </c>
      <c r="J309" s="33">
        <v>0</v>
      </c>
      <c r="K309" s="33">
        <v>1.5970575730977998E-2</v>
      </c>
      <c r="P309">
        <v>0</v>
      </c>
      <c r="Q309">
        <v>0</v>
      </c>
      <c r="R309">
        <v>0.54093639683408012</v>
      </c>
    </row>
    <row r="310" spans="1:19">
      <c r="A310" s="7"/>
      <c r="B310" s="8"/>
      <c r="C310" s="8"/>
      <c r="D310" s="8"/>
      <c r="E310" s="7"/>
      <c r="F310" s="7"/>
      <c r="G310" s="7"/>
      <c r="H310" s="7"/>
      <c r="I310" s="7"/>
      <c r="J310" s="7"/>
      <c r="K310" s="7"/>
    </row>
    <row r="311" spans="1:19">
      <c r="A311" s="7"/>
      <c r="B311" s="8">
        <v>-1.0419123890112216</v>
      </c>
      <c r="C311" s="8">
        <v>4.0818532431212473E-2</v>
      </c>
      <c r="D311" s="8">
        <v>-0.77248383184656022</v>
      </c>
      <c r="E311" s="7">
        <v>-1.4990516053215155E-2</v>
      </c>
      <c r="F311" s="8">
        <v>0</v>
      </c>
      <c r="G311" s="8">
        <v>0</v>
      </c>
      <c r="H311" s="33">
        <v>0</v>
      </c>
      <c r="I311" s="7">
        <v>0</v>
      </c>
      <c r="J311" s="7">
        <v>0</v>
      </c>
      <c r="K311" s="7">
        <v>0</v>
      </c>
      <c r="M311">
        <f t="shared" ref="M311" si="228">MDETERM(B311:D313)</f>
        <v>3.6105706827739752</v>
      </c>
      <c r="N311">
        <f t="shared" ref="N311" si="229">MDETERM(E311:G313)</f>
        <v>-3.3686023826032914E-6</v>
      </c>
      <c r="P311">
        <f t="array" ref="P311:R313">SVDD(B311:D313)</f>
        <v>3.0994509239989414</v>
      </c>
      <c r="Q311">
        <v>0</v>
      </c>
      <c r="R311">
        <v>0</v>
      </c>
      <c r="S311" s="3">
        <f t="shared" ref="S311" si="230">MAX(P311,Q312,R313)/MIN(P311,Q312,R313)</f>
        <v>4.6643551181710254</v>
      </c>
    </row>
    <row r="312" spans="1:19">
      <c r="A312" s="7" t="s">
        <v>93</v>
      </c>
      <c r="B312" s="8">
        <v>-2.44475956514645</v>
      </c>
      <c r="C312" s="8">
        <v>0.85548399177677847</v>
      </c>
      <c r="D312" s="8">
        <v>-5.2896656816179721E-2</v>
      </c>
      <c r="E312" s="7">
        <v>0</v>
      </c>
      <c r="F312" s="7">
        <v>-1.4990516053215155E-2</v>
      </c>
      <c r="G312" s="8">
        <v>0</v>
      </c>
      <c r="H312" s="8">
        <v>0</v>
      </c>
      <c r="I312" s="33">
        <v>0</v>
      </c>
      <c r="J312" s="7">
        <v>0</v>
      </c>
      <c r="K312" s="7">
        <v>0</v>
      </c>
      <c r="P312">
        <v>0</v>
      </c>
      <c r="Q312">
        <v>1.7530646433592028</v>
      </c>
      <c r="R312">
        <v>0</v>
      </c>
    </row>
    <row r="313" spans="1:19">
      <c r="A313" s="7"/>
      <c r="B313" s="8">
        <v>-0.45824053226673911</v>
      </c>
      <c r="C313" s="8">
        <v>2.124969022302313</v>
      </c>
      <c r="D313" s="8">
        <v>-2.076961144994538E-2</v>
      </c>
      <c r="E313" s="7">
        <v>0</v>
      </c>
      <c r="F313" s="8">
        <v>0</v>
      </c>
      <c r="G313" s="7">
        <v>-1.4990516053215155E-2</v>
      </c>
      <c r="H313" s="8">
        <v>0</v>
      </c>
      <c r="I313" s="8">
        <v>0</v>
      </c>
      <c r="J313" s="33">
        <v>0</v>
      </c>
      <c r="K313" s="33">
        <v>0</v>
      </c>
      <c r="P313">
        <v>0</v>
      </c>
      <c r="Q313">
        <v>0</v>
      </c>
      <c r="R313">
        <v>0.66449720175128724</v>
      </c>
    </row>
    <row r="314" spans="1:19">
      <c r="A314" s="7"/>
      <c r="B314" s="8"/>
      <c r="C314" s="8"/>
      <c r="D314" s="8"/>
      <c r="E314" s="7"/>
      <c r="F314" s="7"/>
      <c r="G314" s="7"/>
      <c r="H314" s="7"/>
      <c r="I314" s="7"/>
      <c r="J314" s="7"/>
      <c r="K314" s="7"/>
    </row>
    <row r="315" spans="1:19">
      <c r="A315" s="7"/>
      <c r="B315" s="8">
        <v>-1.0419123890112216</v>
      </c>
      <c r="C315" s="8">
        <v>4.0818532431212473E-2</v>
      </c>
      <c r="D315" s="8">
        <v>-0.77248383184656022</v>
      </c>
      <c r="E315" s="7">
        <v>-1.4990516053215155E-2</v>
      </c>
      <c r="F315" s="8">
        <v>0</v>
      </c>
      <c r="G315" s="8">
        <v>0</v>
      </c>
      <c r="H315" s="33">
        <v>-2.2872089329671663E-2</v>
      </c>
      <c r="I315" s="7">
        <v>2.1796664656245589E-2</v>
      </c>
      <c r="J315" s="7">
        <v>0</v>
      </c>
      <c r="K315" s="7">
        <v>0</v>
      </c>
      <c r="M315">
        <f t="shared" ref="M315" si="231">MDETERM(B315:D317)</f>
        <v>4.2721063303758742</v>
      </c>
      <c r="N315">
        <f t="shared" ref="N315" si="232">MDETERM(E315:G317)</f>
        <v>-3.3686023826032914E-6</v>
      </c>
      <c r="P315">
        <f t="array" ref="P315:R317">SVDD(B315:D317)</f>
        <v>3.5579933098072942</v>
      </c>
      <c r="Q315">
        <v>0</v>
      </c>
      <c r="R315">
        <v>0</v>
      </c>
      <c r="S315" s="3">
        <f t="shared" ref="S315" si="233">MAX(P315,Q316,R317)/MIN(P315,Q316,R317)</f>
        <v>4.8011093563140337</v>
      </c>
    </row>
    <row r="316" spans="1:19">
      <c r="A316" s="7" t="s">
        <v>94</v>
      </c>
      <c r="B316" s="8">
        <v>-2.44475956514645</v>
      </c>
      <c r="C316" s="8">
        <v>0.85548399177677847</v>
      </c>
      <c r="D316" s="8">
        <v>-5.2896656816179721E-2</v>
      </c>
      <c r="E316" s="7">
        <v>0</v>
      </c>
      <c r="F316" s="7">
        <v>-1.4990516053215155E-2</v>
      </c>
      <c r="G316" s="8">
        <v>0</v>
      </c>
      <c r="H316" s="8">
        <v>-2.2872089329671663E-2</v>
      </c>
      <c r="I316" s="33">
        <v>0</v>
      </c>
      <c r="J316" s="7">
        <v>2.2385887789414392E-2</v>
      </c>
      <c r="K316" s="7">
        <v>0</v>
      </c>
      <c r="P316">
        <v>0</v>
      </c>
      <c r="Q316">
        <v>1.6202177935825512</v>
      </c>
      <c r="R316">
        <v>0</v>
      </c>
    </row>
    <row r="317" spans="1:19">
      <c r="A317" s="7"/>
      <c r="B317" s="8">
        <v>-1.0673702345396179</v>
      </c>
      <c r="C317" s="8">
        <v>2.4075843796929846</v>
      </c>
      <c r="D317" s="8">
        <v>-0.708799578341892</v>
      </c>
      <c r="E317" s="7">
        <v>0</v>
      </c>
      <c r="F317" s="8">
        <v>0</v>
      </c>
      <c r="G317" s="7">
        <v>-1.4990516053215155E-2</v>
      </c>
      <c r="H317" s="8">
        <v>-2.2872089329671663E-2</v>
      </c>
      <c r="I317" s="8">
        <v>0</v>
      </c>
      <c r="J317" s="33">
        <v>0</v>
      </c>
      <c r="K317" s="33">
        <v>2.0521745021313972E-2</v>
      </c>
      <c r="P317">
        <v>0</v>
      </c>
      <c r="Q317">
        <v>0</v>
      </c>
      <c r="R317">
        <v>0.74107733145634502</v>
      </c>
    </row>
    <row r="318" spans="1:19">
      <c r="A318" s="7"/>
      <c r="B318" s="8"/>
      <c r="C318" s="8"/>
      <c r="D318" s="8"/>
      <c r="E318" s="7"/>
      <c r="F318" s="7"/>
      <c r="G318" s="7"/>
      <c r="H318" s="7"/>
      <c r="I318" s="7"/>
      <c r="J318" s="7"/>
      <c r="K318" s="7"/>
    </row>
    <row r="319" spans="1:19">
      <c r="A319" s="7"/>
      <c r="B319" s="8">
        <v>-1.0419123890112216</v>
      </c>
      <c r="C319" s="8">
        <v>4.0818532431212473E-2</v>
      </c>
      <c r="D319" s="8">
        <v>-0.77248383184656022</v>
      </c>
      <c r="E319" s="7">
        <v>-1.4990516053215155E-2</v>
      </c>
      <c r="F319" s="8">
        <v>0</v>
      </c>
      <c r="G319" s="8">
        <v>0</v>
      </c>
      <c r="H319" s="33">
        <v>-2.2872089329671663E-2</v>
      </c>
      <c r="I319" s="7">
        <v>2.1796664656245589E-2</v>
      </c>
      <c r="J319" s="7">
        <v>0</v>
      </c>
      <c r="K319" s="7">
        <v>0</v>
      </c>
      <c r="M319">
        <f t="shared" ref="M319" si="234">MDETERM(B319:D321)</f>
        <v>-2.4309737315091065</v>
      </c>
      <c r="N319">
        <f t="shared" ref="N319" si="235">MDETERM(E319:G321)</f>
        <v>-3.3686023826032914E-6</v>
      </c>
      <c r="P319">
        <f t="array" ref="P319:R321">SVDD(B319:D321)</f>
        <v>3.1226005367777039</v>
      </c>
      <c r="Q319">
        <v>0</v>
      </c>
      <c r="R319">
        <v>0</v>
      </c>
      <c r="S319" s="3">
        <f t="shared" ref="S319" si="236">MAX(P319,Q320,R321)/MIN(P319,Q320,R321)</f>
        <v>5.4695394540896514</v>
      </c>
    </row>
    <row r="320" spans="1:19">
      <c r="A320" s="7" t="s">
        <v>95</v>
      </c>
      <c r="B320" s="8">
        <v>0.40019020491700363</v>
      </c>
      <c r="C320" s="8">
        <v>1.0840062473010013</v>
      </c>
      <c r="D320" s="8">
        <v>1.6840506224230944E-2</v>
      </c>
      <c r="E320" s="7">
        <v>0</v>
      </c>
      <c r="F320" s="7">
        <v>-1.4990516053215155E-2</v>
      </c>
      <c r="G320" s="8">
        <v>0</v>
      </c>
      <c r="H320" s="8">
        <v>-2.2872089329671663E-2</v>
      </c>
      <c r="I320" s="33">
        <v>0</v>
      </c>
      <c r="J320" s="7">
        <v>1.6236379226863738E-2</v>
      </c>
      <c r="K320" s="7">
        <v>0</v>
      </c>
      <c r="P320">
        <v>0</v>
      </c>
      <c r="Q320">
        <v>1.3636350808808586</v>
      </c>
      <c r="R320">
        <v>0</v>
      </c>
    </row>
    <row r="321" spans="1:19">
      <c r="A321" s="7"/>
      <c r="B321" s="8">
        <v>-2.0770709056556562</v>
      </c>
      <c r="C321" s="8">
        <v>2.1445635165533226</v>
      </c>
      <c r="D321" s="8">
        <v>5.6653180844775664E-2</v>
      </c>
      <c r="E321" s="7">
        <v>0</v>
      </c>
      <c r="F321" s="8">
        <v>0</v>
      </c>
      <c r="G321" s="7">
        <v>-1.4990516053215155E-2</v>
      </c>
      <c r="H321" s="8">
        <v>-2.2872089329671663E-2</v>
      </c>
      <c r="I321" s="8">
        <v>0</v>
      </c>
      <c r="J321" s="33">
        <v>0</v>
      </c>
      <c r="K321" s="33">
        <v>1.5970575730977998E-2</v>
      </c>
      <c r="P321">
        <v>0</v>
      </c>
      <c r="Q321">
        <v>0</v>
      </c>
      <c r="R321">
        <v>0.57090739777786803</v>
      </c>
    </row>
    <row r="322" spans="1:19">
      <c r="A322" s="7"/>
      <c r="B322" s="8"/>
      <c r="C322" s="8"/>
      <c r="D322" s="8"/>
      <c r="E322" s="7"/>
      <c r="F322" s="7"/>
      <c r="G322" s="7"/>
      <c r="H322" s="7"/>
      <c r="I322" s="7"/>
      <c r="J322" s="7"/>
      <c r="K322" s="7"/>
    </row>
    <row r="323" spans="1:19">
      <c r="A323" s="7"/>
      <c r="B323" s="8">
        <v>-1.0419123890112216</v>
      </c>
      <c r="C323" s="8">
        <v>4.0818532431212473E-2</v>
      </c>
      <c r="D323" s="8">
        <v>-0.77248383184656022</v>
      </c>
      <c r="E323" s="7">
        <v>-1.4990516053215155E-2</v>
      </c>
      <c r="F323" s="8">
        <v>0</v>
      </c>
      <c r="G323" s="8">
        <v>0</v>
      </c>
      <c r="H323" s="33">
        <v>0</v>
      </c>
      <c r="I323" s="7">
        <v>0</v>
      </c>
      <c r="J323" s="7">
        <v>0</v>
      </c>
      <c r="K323" s="7">
        <v>0</v>
      </c>
      <c r="M323">
        <f t="shared" ref="M323" si="237">MDETERM(B323:D325)</f>
        <v>-0.97986641579425193</v>
      </c>
      <c r="N323">
        <f t="shared" ref="N323" si="238">MDETERM(E323:G325)</f>
        <v>-3.3686023826032914E-6</v>
      </c>
      <c r="P323">
        <f t="array" ref="P323:R325">SVDD(B323:D325)</f>
        <v>2.4034095782008333</v>
      </c>
      <c r="Q323">
        <v>0</v>
      </c>
      <c r="R323">
        <v>0</v>
      </c>
      <c r="S323" s="3">
        <f t="shared" ref="S323" si="239">MAX(P323,Q324,R325)/MIN(P323,Q324,R325)</f>
        <v>8.0842653543142653</v>
      </c>
    </row>
    <row r="324" spans="1:19">
      <c r="A324" s="7" t="s">
        <v>96</v>
      </c>
      <c r="B324" s="8">
        <v>0.40019020491700363</v>
      </c>
      <c r="C324" s="8">
        <v>1.0840062473010013</v>
      </c>
      <c r="D324" s="8">
        <v>1.6840506224230944E-2</v>
      </c>
      <c r="E324" s="7">
        <v>0</v>
      </c>
      <c r="F324" s="7">
        <v>-1.4990516053215155E-2</v>
      </c>
      <c r="G324" s="8">
        <v>0</v>
      </c>
      <c r="H324" s="8">
        <v>0</v>
      </c>
      <c r="I324" s="33">
        <v>0</v>
      </c>
      <c r="J324" s="7">
        <v>0</v>
      </c>
      <c r="K324" s="7">
        <v>0</v>
      </c>
      <c r="P324">
        <v>0</v>
      </c>
      <c r="Q324">
        <v>1.3713611998384385</v>
      </c>
      <c r="R324">
        <v>0</v>
      </c>
    </row>
    <row r="325" spans="1:19">
      <c r="A325" s="7"/>
      <c r="B325" s="8">
        <v>-0.45824053226673911</v>
      </c>
      <c r="C325" s="8">
        <v>2.124969022302313</v>
      </c>
      <c r="D325" s="8">
        <v>-2.076961144994538E-2</v>
      </c>
      <c r="E325" s="7">
        <v>0</v>
      </c>
      <c r="F325" s="8">
        <v>0</v>
      </c>
      <c r="G325" s="7">
        <v>-1.4990516053215155E-2</v>
      </c>
      <c r="H325" s="8">
        <v>0</v>
      </c>
      <c r="I325" s="8">
        <v>0</v>
      </c>
      <c r="J325" s="33">
        <v>0</v>
      </c>
      <c r="K325" s="33">
        <v>0</v>
      </c>
      <c r="P325">
        <v>0</v>
      </c>
      <c r="Q325">
        <v>0</v>
      </c>
      <c r="R325">
        <v>0.2972947414347582</v>
      </c>
    </row>
    <row r="326" spans="1:19">
      <c r="A326" s="7"/>
      <c r="B326" s="8"/>
      <c r="C326" s="8"/>
      <c r="D326" s="8"/>
      <c r="E326" s="7"/>
      <c r="F326" s="7"/>
      <c r="G326" s="7"/>
      <c r="H326" s="7"/>
      <c r="I326" s="7"/>
      <c r="J326" s="7"/>
      <c r="K326" s="7"/>
    </row>
    <row r="327" spans="1:19">
      <c r="A327" s="7"/>
      <c r="B327" s="8">
        <v>-1.0419123890112216</v>
      </c>
      <c r="C327" s="8">
        <v>4.0818532431212473E-2</v>
      </c>
      <c r="D327" s="8">
        <v>-0.77248383184656022</v>
      </c>
      <c r="E327" s="7">
        <v>-1.4990516053215155E-2</v>
      </c>
      <c r="F327" s="8">
        <v>0</v>
      </c>
      <c r="G327" s="8">
        <v>0</v>
      </c>
      <c r="H327" s="33">
        <v>-2.2872089329671663E-2</v>
      </c>
      <c r="I327" s="7">
        <v>2.1796664656245589E-2</v>
      </c>
      <c r="J327" s="7">
        <v>0</v>
      </c>
      <c r="K327" s="7">
        <v>0</v>
      </c>
      <c r="M327">
        <f t="shared" ref="M327" si="240">MDETERM(B327:D329)</f>
        <v>-0.78443815949194362</v>
      </c>
      <c r="N327">
        <f t="shared" ref="N327" si="241">MDETERM(E327:G329)</f>
        <v>-3.3686023826032914E-6</v>
      </c>
      <c r="P327">
        <f t="array" ref="P327:R329">SVDD(B327:D329)</f>
        <v>2.9142986827969022</v>
      </c>
      <c r="Q327">
        <v>0</v>
      </c>
      <c r="R327">
        <v>0</v>
      </c>
      <c r="S327" s="3">
        <f t="shared" ref="S327" si="242">MAX(P327,Q328,R329)/MIN(P327,Q328,R329)</f>
        <v>15.029251889619651</v>
      </c>
    </row>
    <row r="328" spans="1:19">
      <c r="A328" s="7" t="s">
        <v>97</v>
      </c>
      <c r="B328" s="8">
        <v>0.40019020491700363</v>
      </c>
      <c r="C328" s="8">
        <v>1.0840062473010013</v>
      </c>
      <c r="D328" s="8">
        <v>1.6840506224230944E-2</v>
      </c>
      <c r="E328" s="7">
        <v>0</v>
      </c>
      <c r="F328" s="7">
        <v>-1.4990516053215155E-2</v>
      </c>
      <c r="G328" s="8">
        <v>0</v>
      </c>
      <c r="H328" s="8">
        <v>-2.2872089329671663E-2</v>
      </c>
      <c r="I328" s="33">
        <v>0</v>
      </c>
      <c r="J328" s="7">
        <v>1.6236379226863738E-2</v>
      </c>
      <c r="K328" s="7">
        <v>0</v>
      </c>
      <c r="P328">
        <v>0</v>
      </c>
      <c r="Q328">
        <v>1.3881230163878513</v>
      </c>
      <c r="R328">
        <v>0</v>
      </c>
    </row>
    <row r="329" spans="1:19">
      <c r="A329" s="7"/>
      <c r="B329" s="8">
        <v>-1.0673702345396179</v>
      </c>
      <c r="C329" s="8">
        <v>2.4075843796929846</v>
      </c>
      <c r="D329" s="8">
        <v>-0.708799578341892</v>
      </c>
      <c r="E329" s="7">
        <v>0</v>
      </c>
      <c r="F329" s="8">
        <v>0</v>
      </c>
      <c r="G329" s="7">
        <v>-1.4990516053215155E-2</v>
      </c>
      <c r="H329" s="8">
        <v>-2.2872089329671663E-2</v>
      </c>
      <c r="I329" s="8">
        <v>0</v>
      </c>
      <c r="J329" s="33">
        <v>0</v>
      </c>
      <c r="K329" s="33">
        <v>2.0521745021313972E-2</v>
      </c>
      <c r="P329">
        <v>0</v>
      </c>
      <c r="Q329">
        <v>0</v>
      </c>
      <c r="R329">
        <v>0.19390843298126764</v>
      </c>
    </row>
    <row r="330" spans="1:19">
      <c r="A330" s="7"/>
      <c r="B330" s="8"/>
      <c r="C330" s="8"/>
      <c r="D330" s="8"/>
      <c r="E330" s="7"/>
      <c r="F330" s="7"/>
      <c r="G330" s="7"/>
      <c r="H330" s="7"/>
      <c r="I330" s="7"/>
      <c r="J330" s="7"/>
      <c r="K330" s="7"/>
    </row>
    <row r="331" spans="1:19">
      <c r="A331" s="7"/>
      <c r="B331" s="8">
        <v>-1.0419123890112216</v>
      </c>
      <c r="C331" s="8">
        <v>4.0818532431212473E-2</v>
      </c>
      <c r="D331" s="8">
        <v>-0.77248383184656022</v>
      </c>
      <c r="E331" s="7">
        <v>-1.4990516053215155E-2</v>
      </c>
      <c r="F331" s="8">
        <v>0</v>
      </c>
      <c r="G331" s="8">
        <v>0</v>
      </c>
      <c r="H331" s="33">
        <v>0</v>
      </c>
      <c r="I331" s="7">
        <v>0</v>
      </c>
      <c r="J331" s="7">
        <v>0</v>
      </c>
      <c r="K331" s="7">
        <v>0</v>
      </c>
      <c r="M331">
        <f t="shared" ref="M331" si="243">MDETERM(B331:D333)</f>
        <v>2.8194006933750484</v>
      </c>
      <c r="N331">
        <f t="shared" ref="N331" si="244">MDETERM(E331:G333)</f>
        <v>-3.3686023826032914E-6</v>
      </c>
      <c r="P331">
        <f t="array" ref="P331:R333">SVDD(B331:D333)</f>
        <v>3.6220153039196008</v>
      </c>
      <c r="Q331">
        <v>0</v>
      </c>
      <c r="R331">
        <v>0</v>
      </c>
      <c r="S331" s="3">
        <f t="shared" ref="S331" si="245">MAX(P331,Q332,R333)/MIN(P331,Q332,R333)</f>
        <v>6.3906270108779077</v>
      </c>
    </row>
    <row r="332" spans="1:19">
      <c r="A332" s="7" t="s">
        <v>98</v>
      </c>
      <c r="B332" s="8">
        <v>-2.0770709056556562</v>
      </c>
      <c r="C332" s="8">
        <v>2.1445635165533226</v>
      </c>
      <c r="D332" s="8">
        <v>5.6653180844775664E-2</v>
      </c>
      <c r="E332" s="7">
        <v>0</v>
      </c>
      <c r="F332" s="7">
        <v>-1.4990516053215155E-2</v>
      </c>
      <c r="G332" s="8">
        <v>0</v>
      </c>
      <c r="H332" s="8">
        <v>0</v>
      </c>
      <c r="I332" s="33">
        <v>0</v>
      </c>
      <c r="J332" s="7">
        <v>0</v>
      </c>
      <c r="K332" s="7">
        <v>0</v>
      </c>
      <c r="P332">
        <v>0</v>
      </c>
      <c r="Q332">
        <v>1.373408436800027</v>
      </c>
      <c r="R332">
        <v>0</v>
      </c>
    </row>
    <row r="333" spans="1:19">
      <c r="A333" s="7"/>
      <c r="B333" s="8">
        <v>-0.45824053226673911</v>
      </c>
      <c r="C333" s="8">
        <v>2.124969022302313</v>
      </c>
      <c r="D333" s="8">
        <v>-2.076961144994538E-2</v>
      </c>
      <c r="E333" s="7">
        <v>0</v>
      </c>
      <c r="F333" s="8">
        <v>0</v>
      </c>
      <c r="G333" s="7">
        <v>-1.4990516053215155E-2</v>
      </c>
      <c r="H333" s="8">
        <v>0</v>
      </c>
      <c r="I333" s="8">
        <v>0</v>
      </c>
      <c r="J333" s="33">
        <v>0</v>
      </c>
      <c r="K333" s="33">
        <v>0</v>
      </c>
      <c r="P333">
        <v>0</v>
      </c>
      <c r="Q333">
        <v>0</v>
      </c>
      <c r="R333">
        <v>0.56676994256656343</v>
      </c>
    </row>
    <row r="334" spans="1:19">
      <c r="A334" s="7"/>
      <c r="B334" s="8"/>
      <c r="C334" s="8"/>
      <c r="D334" s="8"/>
      <c r="E334" s="7"/>
      <c r="F334" s="7"/>
      <c r="G334" s="7"/>
      <c r="H334" s="7"/>
      <c r="I334" s="7"/>
      <c r="J334" s="7"/>
      <c r="K334" s="7"/>
    </row>
    <row r="335" spans="1:19">
      <c r="A335" s="7"/>
      <c r="B335" s="8">
        <v>-1.0419123890112216</v>
      </c>
      <c r="C335" s="8">
        <v>4.0818532431212473E-2</v>
      </c>
      <c r="D335" s="8">
        <v>-0.77248383184656022</v>
      </c>
      <c r="E335" s="7">
        <v>-1.4990516053215155E-2</v>
      </c>
      <c r="F335" s="8">
        <v>0</v>
      </c>
      <c r="G335" s="8">
        <v>0</v>
      </c>
      <c r="H335" s="33">
        <v>-2.2872089329671663E-2</v>
      </c>
      <c r="I335" s="7">
        <v>2.1796664656245589E-2</v>
      </c>
      <c r="J335" s="7">
        <v>0</v>
      </c>
      <c r="K335" s="7">
        <v>0</v>
      </c>
      <c r="M335">
        <f t="shared" ref="M335" si="246">MDETERM(B335:D337)</f>
        <v>3.7580560292135545</v>
      </c>
      <c r="N335">
        <f t="shared" ref="N335" si="247">MDETERM(E335:G337)</f>
        <v>-3.3686023826032914E-6</v>
      </c>
      <c r="P335">
        <f t="array" ref="P335:R337">SVDD(B335:D337)</f>
        <v>4.0130778526341269</v>
      </c>
      <c r="Q335">
        <v>0</v>
      </c>
      <c r="R335">
        <v>0</v>
      </c>
      <c r="S335" s="3">
        <f t="shared" ref="S335" si="248">MAX(P335,Q336,R337)/MIN(P335,Q336,R337)</f>
        <v>4.7098691394570427</v>
      </c>
    </row>
    <row r="336" spans="1:19">
      <c r="A336" s="7" t="s">
        <v>99</v>
      </c>
      <c r="B336" s="8">
        <v>-2.0770709056556562</v>
      </c>
      <c r="C336" s="8">
        <v>2.1445635165533226</v>
      </c>
      <c r="D336" s="8">
        <v>5.6653180844775664E-2</v>
      </c>
      <c r="E336" s="7">
        <v>0</v>
      </c>
      <c r="F336" s="7">
        <v>-1.4990516053215155E-2</v>
      </c>
      <c r="G336" s="8">
        <v>0</v>
      </c>
      <c r="H336" s="8">
        <v>-2.2872089329671663E-2</v>
      </c>
      <c r="I336" s="33">
        <v>0</v>
      </c>
      <c r="J336" s="7">
        <v>1.5970575730977998E-2</v>
      </c>
      <c r="K336" s="7">
        <v>0</v>
      </c>
      <c r="P336">
        <v>0</v>
      </c>
      <c r="Q336">
        <v>1.0990486608999253</v>
      </c>
      <c r="R336">
        <v>0</v>
      </c>
    </row>
    <row r="337" spans="1:19">
      <c r="A337" s="7"/>
      <c r="B337" s="8">
        <v>-1.0673702345396179</v>
      </c>
      <c r="C337" s="8">
        <v>2.4075843796929846</v>
      </c>
      <c r="D337" s="8">
        <v>-0.708799578341892</v>
      </c>
      <c r="E337" s="7">
        <v>0</v>
      </c>
      <c r="F337" s="8">
        <v>0</v>
      </c>
      <c r="G337" s="7">
        <v>-1.4990516053215155E-2</v>
      </c>
      <c r="H337" s="8">
        <v>-2.2872089329671663E-2</v>
      </c>
      <c r="I337" s="8">
        <v>0</v>
      </c>
      <c r="J337" s="33">
        <v>0</v>
      </c>
      <c r="K337" s="33">
        <v>2.0521745021313972E-2</v>
      </c>
      <c r="P337">
        <v>0</v>
      </c>
      <c r="Q337">
        <v>0</v>
      </c>
      <c r="R337">
        <v>0.85205718753722259</v>
      </c>
    </row>
    <row r="338" spans="1:19">
      <c r="A338" s="7"/>
      <c r="B338" s="8"/>
      <c r="C338" s="8"/>
      <c r="D338" s="8"/>
      <c r="E338" s="7"/>
      <c r="F338" s="7"/>
      <c r="G338" s="7"/>
      <c r="H338" s="7"/>
      <c r="I338" s="7"/>
      <c r="J338" s="7"/>
      <c r="K338" s="7"/>
    </row>
    <row r="339" spans="1:19">
      <c r="A339" s="7"/>
      <c r="B339" s="8">
        <v>-1.0419123890112216</v>
      </c>
      <c r="C339" s="8">
        <v>4.0818532431212473E-2</v>
      </c>
      <c r="D339" s="8">
        <v>-0.77248383184656022</v>
      </c>
      <c r="E339" s="7">
        <v>-1.4990516053215155E-2</v>
      </c>
      <c r="F339" s="8">
        <v>0</v>
      </c>
      <c r="G339" s="8">
        <v>0</v>
      </c>
      <c r="H339" s="33">
        <v>0</v>
      </c>
      <c r="I339" s="7">
        <v>0</v>
      </c>
      <c r="J339" s="7">
        <v>0</v>
      </c>
      <c r="K339" s="7">
        <v>0</v>
      </c>
      <c r="M339">
        <f t="shared" ref="M339" si="249">MDETERM(B339:D341)</f>
        <v>0.60500341153625614</v>
      </c>
      <c r="N339">
        <f t="shared" ref="N339" si="250">MDETERM(E339:G341)</f>
        <v>-3.3686023826032914E-6</v>
      </c>
      <c r="P339">
        <f t="array" ref="P339:R341">SVDD(B339:D341)</f>
        <v>3.4861667688761013</v>
      </c>
      <c r="Q339">
        <v>0</v>
      </c>
      <c r="R339">
        <v>0</v>
      </c>
      <c r="S339" s="3">
        <f t="shared" ref="S339" si="251">MAX(P339,Q340,R341)/MIN(P339,Q340,R341)</f>
        <v>26.01158928757074</v>
      </c>
    </row>
    <row r="340" spans="1:19">
      <c r="A340" s="7" t="s">
        <v>100</v>
      </c>
      <c r="B340" s="8">
        <v>-0.45824053226673911</v>
      </c>
      <c r="C340" s="8">
        <v>2.124969022302313</v>
      </c>
      <c r="D340" s="8">
        <v>-2.076961144994538E-2</v>
      </c>
      <c r="E340" s="7">
        <v>0</v>
      </c>
      <c r="F340" s="7">
        <v>-1.4990516053215155E-2</v>
      </c>
      <c r="G340" s="8">
        <v>0</v>
      </c>
      <c r="H340" s="8">
        <v>0</v>
      </c>
      <c r="I340" s="33">
        <v>0</v>
      </c>
      <c r="J340" s="7">
        <v>0</v>
      </c>
      <c r="K340" s="7">
        <v>0</v>
      </c>
      <c r="P340">
        <v>0</v>
      </c>
      <c r="Q340">
        <v>1.2948766340720632</v>
      </c>
      <c r="R340">
        <v>0</v>
      </c>
    </row>
    <row r="341" spans="1:19">
      <c r="A341" s="7"/>
      <c r="B341" s="8">
        <v>-1.0673702345396179</v>
      </c>
      <c r="C341" s="8">
        <v>2.4075843796929846</v>
      </c>
      <c r="D341" s="8">
        <v>-0.708799578341892</v>
      </c>
      <c r="E341" s="7">
        <v>0</v>
      </c>
      <c r="F341" s="8">
        <v>0</v>
      </c>
      <c r="G341" s="7">
        <v>-1.4990516053215155E-2</v>
      </c>
      <c r="H341" s="8">
        <v>0</v>
      </c>
      <c r="I341" s="8">
        <v>0</v>
      </c>
      <c r="J341" s="33">
        <v>0</v>
      </c>
      <c r="K341" s="33">
        <v>0</v>
      </c>
      <c r="P341">
        <v>0</v>
      </c>
      <c r="Q341">
        <v>0</v>
      </c>
      <c r="R341">
        <v>0.13402359734097122</v>
      </c>
    </row>
    <row r="342" spans="1:19">
      <c r="A342" s="7"/>
      <c r="B342" s="8"/>
      <c r="C342" s="8"/>
      <c r="D342" s="8"/>
      <c r="E342" s="7"/>
      <c r="F342" s="7"/>
      <c r="G342" s="7"/>
      <c r="H342" s="7"/>
      <c r="I342" s="7"/>
      <c r="J342" s="7"/>
      <c r="K342" s="7"/>
    </row>
    <row r="343" spans="1:19">
      <c r="A343" s="7"/>
      <c r="B343" s="8">
        <v>-2.2957880185781296</v>
      </c>
      <c r="C343" s="8">
        <v>8.2263663034425338E-3</v>
      </c>
      <c r="D343" s="8">
        <v>-3.3137218009327896E-2</v>
      </c>
      <c r="E343" s="7">
        <v>-1.4990516053215155E-2</v>
      </c>
      <c r="F343" s="8">
        <v>0</v>
      </c>
      <c r="G343" s="8">
        <v>0</v>
      </c>
      <c r="H343" s="33">
        <v>0</v>
      </c>
      <c r="I343" s="7">
        <v>0</v>
      </c>
      <c r="J343" s="7">
        <v>0</v>
      </c>
      <c r="K343" s="7">
        <v>0</v>
      </c>
      <c r="M343">
        <f t="shared" ref="M343" si="252">MDETERM(B343:D345)</f>
        <v>-6.5388738300276861E-2</v>
      </c>
      <c r="N343">
        <f t="shared" ref="N343" si="253">MDETERM(E343:G345)</f>
        <v>-3.3686023826032914E-6</v>
      </c>
      <c r="P343">
        <f t="array" ref="P343:R345">SVDD(B343:D345)</f>
        <v>3.4203387735503998</v>
      </c>
      <c r="Q343">
        <v>0</v>
      </c>
      <c r="R343">
        <v>0</v>
      </c>
      <c r="S343" s="3">
        <f t="shared" ref="S343" si="254">MAX(P343,Q344,R345)/MIN(P343,Q344,R345)</f>
        <v>227.7065416836075</v>
      </c>
    </row>
    <row r="344" spans="1:19">
      <c r="A344" s="7" t="s">
        <v>101</v>
      </c>
      <c r="B344" s="8">
        <v>-2.44475956514645</v>
      </c>
      <c r="C344" s="8">
        <v>0.85548399177677847</v>
      </c>
      <c r="D344" s="8">
        <v>-5.2896656816179721E-2</v>
      </c>
      <c r="E344" s="7">
        <v>0</v>
      </c>
      <c r="F344" s="7">
        <v>-1.4990516053215155E-2</v>
      </c>
      <c r="G344" s="8">
        <v>0</v>
      </c>
      <c r="H344" s="8">
        <v>0</v>
      </c>
      <c r="I344" s="33">
        <v>0</v>
      </c>
      <c r="J344" s="7">
        <v>0</v>
      </c>
      <c r="K344" s="7">
        <v>0</v>
      </c>
      <c r="P344">
        <v>0</v>
      </c>
      <c r="Q344">
        <v>1.2727415364167518</v>
      </c>
      <c r="R344">
        <v>0</v>
      </c>
    </row>
    <row r="345" spans="1:19">
      <c r="A345" s="7"/>
      <c r="B345" s="8">
        <v>0.40019020491700363</v>
      </c>
      <c r="C345" s="8">
        <v>1.0840062473010013</v>
      </c>
      <c r="D345" s="8">
        <v>1.6840506224230944E-2</v>
      </c>
      <c r="E345" s="7">
        <v>0</v>
      </c>
      <c r="F345" s="8">
        <v>0</v>
      </c>
      <c r="G345" s="7">
        <v>-1.4990516053215155E-2</v>
      </c>
      <c r="H345" s="8">
        <v>0</v>
      </c>
      <c r="I345" s="8">
        <v>0</v>
      </c>
      <c r="J345" s="33">
        <v>0</v>
      </c>
      <c r="K345" s="33">
        <v>0</v>
      </c>
      <c r="P345">
        <v>0</v>
      </c>
      <c r="Q345">
        <v>0</v>
      </c>
      <c r="R345">
        <v>1.5020819113325583E-2</v>
      </c>
    </row>
    <row r="346" spans="1:19">
      <c r="A346" s="7"/>
      <c r="B346" s="8"/>
      <c r="C346" s="8"/>
      <c r="D346" s="8"/>
      <c r="E346" s="7"/>
      <c r="F346" s="7"/>
      <c r="G346" s="7"/>
      <c r="H346" s="7"/>
      <c r="I346" s="7"/>
      <c r="J346" s="7"/>
      <c r="K346" s="7"/>
    </row>
    <row r="347" spans="1:19">
      <c r="A347" s="7"/>
      <c r="B347" s="8">
        <v>-2.2957880185781296</v>
      </c>
      <c r="C347" s="8">
        <v>8.2263663034425338E-3</v>
      </c>
      <c r="D347" s="8">
        <v>-3.3137218009327896E-2</v>
      </c>
      <c r="E347" s="7">
        <v>-1.4990516053215155E-2</v>
      </c>
      <c r="F347" s="8">
        <v>0</v>
      </c>
      <c r="G347" s="8">
        <v>0</v>
      </c>
      <c r="H347" s="33">
        <v>0</v>
      </c>
      <c r="I347" s="7">
        <v>0</v>
      </c>
      <c r="J347" s="7">
        <v>0</v>
      </c>
      <c r="K347" s="7">
        <v>0</v>
      </c>
      <c r="M347">
        <f t="shared" ref="M347" si="255">MDETERM(B347:D349)</f>
        <v>-0.25480397621201384</v>
      </c>
      <c r="N347">
        <f t="shared" ref="N347" si="256">MDETERM(E347:G349)</f>
        <v>-3.3686023826032914E-6</v>
      </c>
      <c r="P347">
        <f t="array" ref="P347:R349">SVDD(B347:D349)</f>
        <v>4.332310074801188</v>
      </c>
      <c r="Q347">
        <v>0</v>
      </c>
      <c r="R347">
        <v>0</v>
      </c>
      <c r="S347" s="3">
        <f t="shared" ref="S347" si="257">MAX(P347,Q348,R349)/MIN(P347,Q348,R349)</f>
        <v>107.48734647321321</v>
      </c>
    </row>
    <row r="348" spans="1:19">
      <c r="A348" s="7" t="s">
        <v>102</v>
      </c>
      <c r="B348" s="8">
        <v>-2.44475956514645</v>
      </c>
      <c r="C348" s="8">
        <v>0.85548399177677847</v>
      </c>
      <c r="D348" s="8">
        <v>-5.2896656816179721E-2</v>
      </c>
      <c r="E348" s="7">
        <v>0</v>
      </c>
      <c r="F348" s="7">
        <v>-1.4990516053215155E-2</v>
      </c>
      <c r="G348" s="8">
        <v>0</v>
      </c>
      <c r="H348" s="8">
        <v>0</v>
      </c>
      <c r="I348" s="33">
        <v>0</v>
      </c>
      <c r="J348" s="7">
        <v>0</v>
      </c>
      <c r="K348" s="7">
        <v>0</v>
      </c>
      <c r="P348">
        <v>0</v>
      </c>
      <c r="Q348">
        <v>1.4592324445764113</v>
      </c>
      <c r="R348">
        <v>0</v>
      </c>
    </row>
    <row r="349" spans="1:19">
      <c r="A349" s="7"/>
      <c r="B349" s="8">
        <v>-2.0770709056556562</v>
      </c>
      <c r="C349" s="8">
        <v>2.1445635165533226</v>
      </c>
      <c r="D349" s="8">
        <v>5.6653180844775664E-2</v>
      </c>
      <c r="E349" s="7">
        <v>0</v>
      </c>
      <c r="F349" s="8">
        <v>0</v>
      </c>
      <c r="G349" s="7">
        <v>-1.4990516053215155E-2</v>
      </c>
      <c r="H349" s="8">
        <v>0</v>
      </c>
      <c r="I349" s="8">
        <v>0</v>
      </c>
      <c r="J349" s="33">
        <v>0</v>
      </c>
      <c r="K349" s="33">
        <v>0</v>
      </c>
      <c r="P349">
        <v>0</v>
      </c>
      <c r="Q349">
        <v>0</v>
      </c>
      <c r="R349">
        <v>4.0305303060773186E-2</v>
      </c>
    </row>
    <row r="350" spans="1:19">
      <c r="A350" s="7"/>
      <c r="B350" s="8"/>
      <c r="C350" s="8"/>
      <c r="D350" s="8"/>
      <c r="E350" s="7"/>
      <c r="F350" s="7"/>
      <c r="G350" s="7"/>
      <c r="H350" s="7"/>
      <c r="I350" s="7"/>
      <c r="J350" s="7"/>
      <c r="K350" s="7"/>
    </row>
    <row r="351" spans="1:19">
      <c r="A351" s="7"/>
      <c r="B351" s="8">
        <v>-2.2957880185781296</v>
      </c>
      <c r="C351" s="8">
        <v>8.2263663034425338E-3</v>
      </c>
      <c r="D351" s="8">
        <v>-3.3137218009327896E-2</v>
      </c>
      <c r="E351" s="7">
        <v>-1.4990516053215155E-2</v>
      </c>
      <c r="F351" s="8">
        <v>0</v>
      </c>
      <c r="G351" s="8">
        <v>0</v>
      </c>
      <c r="H351" s="33">
        <v>0</v>
      </c>
      <c r="I351" s="7">
        <v>0</v>
      </c>
      <c r="J351" s="7">
        <v>0</v>
      </c>
      <c r="K351" s="7">
        <v>0</v>
      </c>
      <c r="M351">
        <f t="shared" ref="M351" si="258">MDETERM(B351:D353)</f>
        <v>-5.8323031254765803E-2</v>
      </c>
      <c r="N351">
        <f t="shared" ref="N351" si="259">MDETERM(E351:G353)</f>
        <v>-3.3686023826032914E-6</v>
      </c>
      <c r="P351">
        <f t="array" ref="P351:R353">SVDD(B351:D353)</f>
        <v>3.5683464981465871</v>
      </c>
      <c r="Q351">
        <v>0</v>
      </c>
      <c r="R351">
        <v>0</v>
      </c>
      <c r="S351" s="3">
        <f t="shared" ref="S351" si="260">MAX(P351,Q352,R353)/MIN(P351,Q352,R353)</f>
        <v>435.33148403717917</v>
      </c>
    </row>
    <row r="352" spans="1:19">
      <c r="A352" s="7" t="s">
        <v>103</v>
      </c>
      <c r="B352" s="8">
        <v>-2.44475956514645</v>
      </c>
      <c r="C352" s="8">
        <v>0.85548399177677847</v>
      </c>
      <c r="D352" s="8">
        <v>-5.2896656816179721E-2</v>
      </c>
      <c r="E352" s="7">
        <v>0</v>
      </c>
      <c r="F352" s="7">
        <v>-1.4990516053215155E-2</v>
      </c>
      <c r="G352" s="8">
        <v>0</v>
      </c>
      <c r="H352" s="8">
        <v>0</v>
      </c>
      <c r="I352" s="33">
        <v>0</v>
      </c>
      <c r="J352" s="7">
        <v>0</v>
      </c>
      <c r="K352" s="7">
        <v>0</v>
      </c>
      <c r="P352">
        <v>0</v>
      </c>
      <c r="Q352">
        <v>1.9940044661876162</v>
      </c>
      <c r="R352">
        <v>0</v>
      </c>
    </row>
    <row r="353" spans="1:19">
      <c r="A353" s="7"/>
      <c r="B353" s="8">
        <v>-0.45824053226673911</v>
      </c>
      <c r="C353" s="8">
        <v>2.124969022302313</v>
      </c>
      <c r="D353" s="8">
        <v>-2.076961144994538E-2</v>
      </c>
      <c r="E353" s="7">
        <v>0</v>
      </c>
      <c r="F353" s="8">
        <v>0</v>
      </c>
      <c r="G353" s="7">
        <v>-1.4990516053215155E-2</v>
      </c>
      <c r="H353" s="8">
        <v>0</v>
      </c>
      <c r="I353" s="8">
        <v>0</v>
      </c>
      <c r="J353" s="33">
        <v>0</v>
      </c>
      <c r="K353" s="33">
        <v>0</v>
      </c>
      <c r="P353">
        <v>0</v>
      </c>
      <c r="Q353">
        <v>0</v>
      </c>
      <c r="R353">
        <v>8.1968491344904318E-3</v>
      </c>
    </row>
    <row r="354" spans="1:19">
      <c r="A354" s="7"/>
      <c r="B354" s="8"/>
      <c r="C354" s="8"/>
      <c r="D354" s="8"/>
      <c r="E354" s="7"/>
      <c r="F354" s="7"/>
      <c r="G354" s="7"/>
      <c r="H354" s="7"/>
      <c r="I354" s="7"/>
      <c r="J354" s="7"/>
      <c r="K354" s="7"/>
    </row>
    <row r="355" spans="1:19">
      <c r="A355" s="7"/>
      <c r="B355" s="8">
        <v>-2.2957880185781296</v>
      </c>
      <c r="C355" s="8">
        <v>8.2263663034425338E-3</v>
      </c>
      <c r="D355" s="8">
        <v>-3.3137218009327896E-2</v>
      </c>
      <c r="E355" s="7">
        <v>-1.4990516053215155E-2</v>
      </c>
      <c r="F355" s="8">
        <v>0</v>
      </c>
      <c r="G355" s="8">
        <v>0</v>
      </c>
      <c r="H355" s="33">
        <v>0</v>
      </c>
      <c r="I355" s="7">
        <v>0</v>
      </c>
      <c r="J355" s="7">
        <v>0</v>
      </c>
      <c r="K355" s="7">
        <v>0</v>
      </c>
      <c r="M355">
        <f t="shared" ref="M355" si="261">MDETERM(B355:D357)</f>
        <v>1.2507092757527842</v>
      </c>
      <c r="N355">
        <f t="shared" ref="N355" si="262">MDETERM(E355:G357)</f>
        <v>-3.3686023826032914E-6</v>
      </c>
      <c r="P355">
        <f t="array" ref="P355:R357">SVDD(B355:D357)</f>
        <v>3.8955006632960982</v>
      </c>
      <c r="Q355">
        <v>0</v>
      </c>
      <c r="R355">
        <v>0</v>
      </c>
      <c r="S355" s="3">
        <f t="shared" ref="S355" si="263">MAX(P355,Q356,R357)/MIN(P355,Q356,R357)</f>
        <v>24.930718886766446</v>
      </c>
    </row>
    <row r="356" spans="1:19">
      <c r="A356" s="7" t="s">
        <v>104</v>
      </c>
      <c r="B356" s="8">
        <v>-2.44475956514645</v>
      </c>
      <c r="C356" s="8">
        <v>0.85548399177677847</v>
      </c>
      <c r="D356" s="8">
        <v>-5.2896656816179721E-2</v>
      </c>
      <c r="E356" s="7">
        <v>0</v>
      </c>
      <c r="F356" s="7">
        <v>-1.4990516053215155E-2</v>
      </c>
      <c r="G356" s="8">
        <v>0</v>
      </c>
      <c r="H356" s="8">
        <v>0</v>
      </c>
      <c r="I356" s="33">
        <v>0</v>
      </c>
      <c r="J356" s="7">
        <v>0</v>
      </c>
      <c r="K356" s="7">
        <v>0</v>
      </c>
      <c r="P356">
        <v>0</v>
      </c>
      <c r="Q356">
        <v>2.0547765807409841</v>
      </c>
      <c r="R356">
        <v>0</v>
      </c>
    </row>
    <row r="357" spans="1:19">
      <c r="A357" s="7"/>
      <c r="B357" s="8">
        <v>-1.0673702345396179</v>
      </c>
      <c r="C357" s="8">
        <v>2.4075843796929846</v>
      </c>
      <c r="D357" s="8">
        <v>-0.708799578341892</v>
      </c>
      <c r="E357" s="7">
        <v>0</v>
      </c>
      <c r="F357" s="8">
        <v>0</v>
      </c>
      <c r="G357" s="7">
        <v>-1.4990516053215155E-2</v>
      </c>
      <c r="H357" s="8">
        <v>0</v>
      </c>
      <c r="I357" s="8">
        <v>0</v>
      </c>
      <c r="J357" s="33">
        <v>0</v>
      </c>
      <c r="K357" s="33">
        <v>0</v>
      </c>
      <c r="P357">
        <v>0</v>
      </c>
      <c r="Q357">
        <v>0</v>
      </c>
      <c r="R357">
        <v>0.1562530419194563</v>
      </c>
    </row>
    <row r="358" spans="1:19">
      <c r="A358" s="7"/>
      <c r="B358" s="8"/>
      <c r="C358" s="8"/>
      <c r="D358" s="8"/>
      <c r="E358" s="7"/>
      <c r="F358" s="7"/>
      <c r="G358" s="7"/>
      <c r="H358" s="7"/>
      <c r="I358" s="7"/>
      <c r="J358" s="7"/>
      <c r="K358" s="7"/>
    </row>
    <row r="359" spans="1:19">
      <c r="A359" s="7"/>
      <c r="B359" s="8">
        <v>-2.2957880185781296</v>
      </c>
      <c r="C359" s="8">
        <v>8.2263663034425338E-3</v>
      </c>
      <c r="D359" s="8">
        <v>-3.3137218009327896E-2</v>
      </c>
      <c r="E359" s="7">
        <v>-1.4990516053215155E-2</v>
      </c>
      <c r="F359" s="8">
        <v>0</v>
      </c>
      <c r="G359" s="8">
        <v>0</v>
      </c>
      <c r="H359" s="33">
        <v>0</v>
      </c>
      <c r="I359" s="7">
        <v>0</v>
      </c>
      <c r="J359" s="7">
        <v>0</v>
      </c>
      <c r="K359" s="7">
        <v>0</v>
      </c>
      <c r="M359">
        <f t="shared" ref="M359" si="264">MDETERM(B359:D361)</f>
        <v>-0.1616003288744691</v>
      </c>
      <c r="N359">
        <f t="shared" ref="N359" si="265">MDETERM(E359:G361)</f>
        <v>-3.3686023826032914E-6</v>
      </c>
      <c r="P359">
        <f t="array" ref="P359:R361">SVDD(B359:D361)</f>
        <v>3.5016481582277987</v>
      </c>
      <c r="Q359">
        <v>0</v>
      </c>
      <c r="R359">
        <v>0</v>
      </c>
      <c r="S359" s="3">
        <f t="shared" ref="S359" si="266">MAX(P359,Q360,R361)/MIN(P359,Q360,R361)</f>
        <v>137.0330195917372</v>
      </c>
    </row>
    <row r="360" spans="1:19">
      <c r="A360" s="7" t="s">
        <v>105</v>
      </c>
      <c r="B360" s="8">
        <v>0.40019020491700363</v>
      </c>
      <c r="C360" s="8">
        <v>1.0840062473010013</v>
      </c>
      <c r="D360" s="8">
        <v>1.6840506224230944E-2</v>
      </c>
      <c r="E360" s="7">
        <v>0</v>
      </c>
      <c r="F360" s="7">
        <v>-1.4990516053215155E-2</v>
      </c>
      <c r="G360" s="8">
        <v>0</v>
      </c>
      <c r="H360" s="8">
        <v>0</v>
      </c>
      <c r="I360" s="33">
        <v>0</v>
      </c>
      <c r="J360" s="7">
        <v>0</v>
      </c>
      <c r="K360" s="7">
        <v>0</v>
      </c>
      <c r="P360">
        <v>0</v>
      </c>
      <c r="Q360">
        <v>1.8060195824104797</v>
      </c>
      <c r="R360">
        <v>0</v>
      </c>
    </row>
    <row r="361" spans="1:19">
      <c r="A361" s="7"/>
      <c r="B361" s="8">
        <v>-2.0770709056556562</v>
      </c>
      <c r="C361" s="8">
        <v>2.1445635165533226</v>
      </c>
      <c r="D361" s="8">
        <v>5.6653180844775664E-2</v>
      </c>
      <c r="E361" s="7">
        <v>0</v>
      </c>
      <c r="F361" s="8">
        <v>0</v>
      </c>
      <c r="G361" s="7">
        <v>-1.4990516053215155E-2</v>
      </c>
      <c r="H361" s="8">
        <v>0</v>
      </c>
      <c r="I361" s="8">
        <v>0</v>
      </c>
      <c r="J361" s="33">
        <v>0</v>
      </c>
      <c r="K361" s="33">
        <v>0</v>
      </c>
      <c r="P361">
        <v>0</v>
      </c>
      <c r="Q361">
        <v>0</v>
      </c>
      <c r="R361">
        <v>2.555331677474719E-2</v>
      </c>
    </row>
    <row r="362" spans="1:19">
      <c r="A362" s="7"/>
      <c r="B362" s="8"/>
      <c r="C362" s="8"/>
      <c r="D362" s="8"/>
      <c r="E362" s="7"/>
      <c r="F362" s="7"/>
      <c r="G362" s="7"/>
      <c r="H362" s="7"/>
      <c r="I362" s="7"/>
      <c r="J362" s="7"/>
      <c r="K362" s="7"/>
    </row>
    <row r="363" spans="1:19">
      <c r="A363" s="7"/>
      <c r="B363" s="8">
        <v>-2.2957880185781296</v>
      </c>
      <c r="C363" s="8">
        <v>8.2263663034425338E-3</v>
      </c>
      <c r="D363" s="8">
        <v>-3.3137218009327896E-2</v>
      </c>
      <c r="E363" s="7">
        <v>-1.4990516053215155E-2</v>
      </c>
      <c r="F363" s="8">
        <v>0</v>
      </c>
      <c r="G363" s="8">
        <v>0</v>
      </c>
      <c r="H363" s="33">
        <v>0</v>
      </c>
      <c r="I363" s="7">
        <v>0</v>
      </c>
      <c r="J363" s="7">
        <v>0</v>
      </c>
      <c r="K363" s="7">
        <v>0</v>
      </c>
      <c r="M363">
        <f t="shared" ref="M363" si="267">MDETERM(B363:D365)</f>
        <v>8.9209148764109056E-2</v>
      </c>
      <c r="N363">
        <f t="shared" ref="N363" si="268">MDETERM(E363:G365)</f>
        <v>-3.3686023826032914E-6</v>
      </c>
      <c r="P363">
        <f t="array" ref="P363:R365">SVDD(B363:D365)</f>
        <v>2.4952323317259175</v>
      </c>
      <c r="Q363">
        <v>0</v>
      </c>
      <c r="R363">
        <v>0</v>
      </c>
      <c r="S363" s="3">
        <f t="shared" ref="S363" si="269">MAX(P363,Q364,R365)/MIN(P363,Q364,R365)</f>
        <v>157.71990388339927</v>
      </c>
    </row>
    <row r="364" spans="1:19">
      <c r="A364" s="7" t="s">
        <v>106</v>
      </c>
      <c r="B364" s="8">
        <v>0.40019020491700363</v>
      </c>
      <c r="C364" s="8">
        <v>1.0840062473010013</v>
      </c>
      <c r="D364" s="8">
        <v>1.6840506224230944E-2</v>
      </c>
      <c r="E364" s="7">
        <v>0</v>
      </c>
      <c r="F364" s="7">
        <v>-1.4990516053215155E-2</v>
      </c>
      <c r="G364" s="8">
        <v>0</v>
      </c>
      <c r="H364" s="8">
        <v>0</v>
      </c>
      <c r="I364" s="33">
        <v>0</v>
      </c>
      <c r="J364" s="7">
        <v>0</v>
      </c>
      <c r="K364" s="7">
        <v>0</v>
      </c>
      <c r="P364">
        <v>0</v>
      </c>
      <c r="Q364">
        <v>2.2598203793638003</v>
      </c>
      <c r="R364">
        <v>0</v>
      </c>
    </row>
    <row r="365" spans="1:19">
      <c r="A365" s="7"/>
      <c r="B365" s="8">
        <v>-0.45824053226673911</v>
      </c>
      <c r="C365" s="8">
        <v>2.124969022302313</v>
      </c>
      <c r="D365" s="8">
        <v>-2.076961144994538E-2</v>
      </c>
      <c r="E365" s="7">
        <v>0</v>
      </c>
      <c r="F365" s="8">
        <v>0</v>
      </c>
      <c r="G365" s="7">
        <v>-1.4990516053215155E-2</v>
      </c>
      <c r="H365" s="8">
        <v>0</v>
      </c>
      <c r="I365" s="8">
        <v>0</v>
      </c>
      <c r="J365" s="33">
        <v>0</v>
      </c>
      <c r="K365" s="33">
        <v>0</v>
      </c>
      <c r="P365">
        <v>0</v>
      </c>
      <c r="Q365">
        <v>0</v>
      </c>
      <c r="R365">
        <v>1.5820655924128749E-2</v>
      </c>
    </row>
    <row r="366" spans="1:19">
      <c r="A366" s="7"/>
      <c r="B366" s="8"/>
      <c r="C366" s="8"/>
      <c r="D366" s="8"/>
      <c r="E366" s="7"/>
      <c r="F366" s="7"/>
      <c r="G366" s="7"/>
      <c r="H366" s="7"/>
      <c r="I366" s="7"/>
      <c r="J366" s="7"/>
      <c r="K366" s="7"/>
    </row>
    <row r="367" spans="1:19">
      <c r="A367" s="7"/>
      <c r="B367" s="8">
        <v>-2.2957880185781296</v>
      </c>
      <c r="C367" s="8">
        <v>8.2263663034425338E-3</v>
      </c>
      <c r="D367" s="8">
        <v>-3.3137218009327896E-2</v>
      </c>
      <c r="E367" s="7">
        <v>-1.4990516053215155E-2</v>
      </c>
      <c r="F367" s="8">
        <v>0</v>
      </c>
      <c r="G367" s="8">
        <v>0</v>
      </c>
      <c r="H367" s="33">
        <v>0</v>
      </c>
      <c r="I367" s="7">
        <v>0</v>
      </c>
      <c r="J367" s="7">
        <v>0</v>
      </c>
      <c r="K367" s="7">
        <v>0</v>
      </c>
      <c r="M367">
        <f t="shared" ref="M367" si="270">MDETERM(B367:D369)</f>
        <v>1.7889528223437314</v>
      </c>
      <c r="N367">
        <f t="shared" ref="N367" si="271">MDETERM(E367:G369)</f>
        <v>-3.3686023826032914E-6</v>
      </c>
      <c r="P367">
        <f t="array" ref="P367:R369">SVDD(B367:D369)</f>
        <v>3.0513685852950316</v>
      </c>
      <c r="Q367">
        <v>0</v>
      </c>
      <c r="R367">
        <v>0</v>
      </c>
      <c r="S367" s="3">
        <f t="shared" ref="S367" si="272">MAX(P367,Q368,R369)/MIN(P367,Q368,R369)</f>
        <v>11.236298448789524</v>
      </c>
    </row>
    <row r="368" spans="1:19">
      <c r="A368" s="7" t="s">
        <v>107</v>
      </c>
      <c r="B368" s="8">
        <v>0.40019020491700363</v>
      </c>
      <c r="C368" s="8">
        <v>1.0840062473010013</v>
      </c>
      <c r="D368" s="8">
        <v>1.6840506224230944E-2</v>
      </c>
      <c r="E368" s="7">
        <v>0</v>
      </c>
      <c r="F368" s="7">
        <v>-1.4990516053215155E-2</v>
      </c>
      <c r="G368" s="8">
        <v>0</v>
      </c>
      <c r="H368" s="8">
        <v>0</v>
      </c>
      <c r="I368" s="33">
        <v>0</v>
      </c>
      <c r="J368" s="7">
        <v>0</v>
      </c>
      <c r="K368" s="7">
        <v>0</v>
      </c>
      <c r="P368">
        <v>0</v>
      </c>
      <c r="Q368">
        <v>2.1589014211745394</v>
      </c>
      <c r="R368">
        <v>0</v>
      </c>
    </row>
    <row r="369" spans="1:19">
      <c r="A369" s="7"/>
      <c r="B369" s="8">
        <v>-1.0673702345396179</v>
      </c>
      <c r="C369" s="8">
        <v>2.4075843796929846</v>
      </c>
      <c r="D369" s="8">
        <v>-0.708799578341892</v>
      </c>
      <c r="E369" s="7">
        <v>0</v>
      </c>
      <c r="F369" s="8">
        <v>0</v>
      </c>
      <c r="G369" s="7">
        <v>-1.4990516053215155E-2</v>
      </c>
      <c r="H369" s="8">
        <v>0</v>
      </c>
      <c r="I369" s="8">
        <v>0</v>
      </c>
      <c r="J369" s="33">
        <v>0</v>
      </c>
      <c r="K369" s="33">
        <v>0</v>
      </c>
      <c r="P369">
        <v>0</v>
      </c>
      <c r="Q369">
        <v>0</v>
      </c>
      <c r="R369">
        <v>0.27156350458310874</v>
      </c>
    </row>
    <row r="370" spans="1:19">
      <c r="A370" s="7"/>
      <c r="B370" s="8"/>
      <c r="C370" s="8"/>
      <c r="D370" s="8"/>
      <c r="E370" s="7"/>
      <c r="F370" s="7"/>
      <c r="G370" s="7"/>
      <c r="H370" s="7"/>
      <c r="I370" s="7"/>
      <c r="J370" s="7"/>
      <c r="K370" s="7"/>
    </row>
    <row r="371" spans="1:19">
      <c r="A371" s="7"/>
      <c r="B371" s="8">
        <v>-2.2957880185781296</v>
      </c>
      <c r="C371" s="8">
        <v>8.2263663034425338E-3</v>
      </c>
      <c r="D371" s="8">
        <v>-3.3137218009327896E-2</v>
      </c>
      <c r="E371" s="7">
        <v>-1.4990516053215155E-2</v>
      </c>
      <c r="F371" s="8">
        <v>0</v>
      </c>
      <c r="G371" s="8">
        <v>0</v>
      </c>
      <c r="H371" s="33">
        <v>0</v>
      </c>
      <c r="I371" s="7">
        <v>0</v>
      </c>
      <c r="J371" s="7">
        <v>0</v>
      </c>
      <c r="K371" s="7">
        <v>0</v>
      </c>
      <c r="M371">
        <f t="shared" ref="M371" si="273">MDETERM(B371:D373)</f>
        <v>0.49176460178271986</v>
      </c>
      <c r="N371">
        <f t="shared" ref="N371" si="274">MDETERM(E371:G373)</f>
        <v>-3.3686023826032914E-6</v>
      </c>
      <c r="P371">
        <f t="array" ref="P371:R373">SVDD(B371:D373)</f>
        <v>3.8617120384536325</v>
      </c>
      <c r="Q371">
        <v>0</v>
      </c>
      <c r="R371">
        <v>0</v>
      </c>
      <c r="S371" s="3">
        <f t="shared" ref="S371" si="275">MAX(P371,Q372,R373)/MIN(P371,Q372,R373)</f>
        <v>60.630725200579725</v>
      </c>
    </row>
    <row r="372" spans="1:19">
      <c r="A372" s="7" t="s">
        <v>108</v>
      </c>
      <c r="B372" s="8">
        <v>-2.0770709056556562</v>
      </c>
      <c r="C372" s="8">
        <v>2.1445635165533226</v>
      </c>
      <c r="D372" s="8">
        <v>5.6653180844775664E-2</v>
      </c>
      <c r="E372" s="7">
        <v>0</v>
      </c>
      <c r="F372" s="7">
        <v>-1.4990516053215155E-2</v>
      </c>
      <c r="G372" s="8">
        <v>0</v>
      </c>
      <c r="H372" s="8">
        <v>0</v>
      </c>
      <c r="I372" s="33">
        <v>0</v>
      </c>
      <c r="J372" s="7">
        <v>0</v>
      </c>
      <c r="K372" s="7">
        <v>0</v>
      </c>
      <c r="P372">
        <v>0</v>
      </c>
      <c r="Q372">
        <v>1.999356573612517</v>
      </c>
      <c r="R372">
        <v>0</v>
      </c>
    </row>
    <row r="373" spans="1:19">
      <c r="A373" s="7"/>
      <c r="B373" s="8">
        <v>-0.45824053226673911</v>
      </c>
      <c r="C373" s="8">
        <v>2.124969022302313</v>
      </c>
      <c r="D373" s="8">
        <v>-2.076961144994538E-2</v>
      </c>
      <c r="E373" s="7">
        <v>0</v>
      </c>
      <c r="F373" s="8">
        <v>0</v>
      </c>
      <c r="G373" s="7">
        <v>-1.4990516053215155E-2</v>
      </c>
      <c r="H373" s="8">
        <v>0</v>
      </c>
      <c r="I373" s="8">
        <v>0</v>
      </c>
      <c r="J373" s="33">
        <v>0</v>
      </c>
      <c r="K373" s="33">
        <v>0</v>
      </c>
      <c r="P373">
        <v>0</v>
      </c>
      <c r="Q373">
        <v>0</v>
      </c>
      <c r="R373">
        <v>6.3692328034643211E-2</v>
      </c>
    </row>
    <row r="374" spans="1:19">
      <c r="A374" s="7"/>
      <c r="B374" s="8"/>
      <c r="C374" s="8"/>
      <c r="D374" s="8"/>
      <c r="E374" s="7"/>
      <c r="F374" s="7"/>
      <c r="G374" s="7"/>
      <c r="H374" s="7"/>
      <c r="I374" s="7"/>
      <c r="J374" s="7"/>
      <c r="K374" s="7"/>
    </row>
    <row r="375" spans="1:19">
      <c r="A375" s="7"/>
      <c r="B375" s="8">
        <v>-2.2957880185781296</v>
      </c>
      <c r="C375" s="8">
        <v>8.2263663034425338E-3</v>
      </c>
      <c r="D375" s="8">
        <v>-3.3137218009327896E-2</v>
      </c>
      <c r="E375" s="7">
        <v>-1.4990516053215155E-2</v>
      </c>
      <c r="F375" s="8">
        <v>0</v>
      </c>
      <c r="G375" s="8">
        <v>0</v>
      </c>
      <c r="H375" s="33">
        <v>0</v>
      </c>
      <c r="I375" s="7">
        <v>0</v>
      </c>
      <c r="J375" s="7">
        <v>0</v>
      </c>
      <c r="K375" s="7">
        <v>0</v>
      </c>
      <c r="M375">
        <f t="shared" ref="M375" si="276">MDETERM(B375:D377)</f>
        <v>3.8801369883568144</v>
      </c>
      <c r="N375">
        <f t="shared" ref="N375" si="277">MDETERM(E375:G377)</f>
        <v>-3.3686023826032914E-6</v>
      </c>
      <c r="P375">
        <f t="array" ref="P375:R377">SVDD(B375:D377)</f>
        <v>4.2139230383273771</v>
      </c>
      <c r="Q375">
        <v>0</v>
      </c>
      <c r="R375">
        <v>0</v>
      </c>
      <c r="S375" s="3">
        <f t="shared" ref="S375" si="278">MAX(P375,Q376,R377)/MIN(P375,Q376,R377)</f>
        <v>8.7267189339788906</v>
      </c>
    </row>
    <row r="376" spans="1:19">
      <c r="A376" s="7" t="s">
        <v>109</v>
      </c>
      <c r="B376" s="8">
        <v>-2.0770709056556562</v>
      </c>
      <c r="C376" s="8">
        <v>2.1445635165533226</v>
      </c>
      <c r="D376" s="8">
        <v>5.6653180844775664E-2</v>
      </c>
      <c r="E376" s="7">
        <v>0</v>
      </c>
      <c r="F376" s="7">
        <v>-1.4990516053215155E-2</v>
      </c>
      <c r="G376" s="8">
        <v>0</v>
      </c>
      <c r="H376" s="8">
        <v>0</v>
      </c>
      <c r="I376" s="33">
        <v>0</v>
      </c>
      <c r="J376" s="7">
        <v>0</v>
      </c>
      <c r="K376" s="7">
        <v>0</v>
      </c>
      <c r="P376">
        <v>0</v>
      </c>
      <c r="Q376">
        <v>1.9068865179501593</v>
      </c>
      <c r="R376">
        <v>0</v>
      </c>
    </row>
    <row r="377" spans="1:19">
      <c r="A377" s="7"/>
      <c r="B377" s="8">
        <v>-1.0673702345396179</v>
      </c>
      <c r="C377" s="8">
        <v>2.4075843796929846</v>
      </c>
      <c r="D377" s="8">
        <v>-0.708799578341892</v>
      </c>
      <c r="E377" s="7">
        <v>0</v>
      </c>
      <c r="F377" s="8">
        <v>0</v>
      </c>
      <c r="G377" s="7">
        <v>-1.4990516053215155E-2</v>
      </c>
      <c r="H377" s="8">
        <v>0</v>
      </c>
      <c r="I377" s="8">
        <v>0</v>
      </c>
      <c r="J377" s="33">
        <v>0</v>
      </c>
      <c r="K377" s="33">
        <v>0</v>
      </c>
      <c r="P377">
        <v>0</v>
      </c>
      <c r="Q377">
        <v>0</v>
      </c>
      <c r="R377">
        <v>0.48287598927012382</v>
      </c>
    </row>
    <row r="378" spans="1:19">
      <c r="A378" s="7"/>
      <c r="B378" s="8"/>
      <c r="C378" s="8"/>
      <c r="D378" s="8"/>
      <c r="E378" s="7"/>
      <c r="F378" s="7"/>
      <c r="G378" s="7"/>
      <c r="H378" s="7"/>
      <c r="I378" s="7"/>
      <c r="J378" s="7"/>
      <c r="K378" s="7"/>
    </row>
    <row r="379" spans="1:19">
      <c r="A379" s="7"/>
      <c r="B379" s="8">
        <v>-2.2957880185781296</v>
      </c>
      <c r="C379" s="8">
        <v>8.2263663034425338E-3</v>
      </c>
      <c r="D379" s="8">
        <v>-3.3137218009327896E-2</v>
      </c>
      <c r="E379" s="7">
        <v>-1.4990516053215155E-2</v>
      </c>
      <c r="F379" s="8">
        <v>0</v>
      </c>
      <c r="G379" s="8">
        <v>0</v>
      </c>
      <c r="H379" s="33">
        <v>0</v>
      </c>
      <c r="I379" s="7">
        <v>0</v>
      </c>
      <c r="J379" s="7">
        <v>0</v>
      </c>
      <c r="K379" s="7">
        <v>0</v>
      </c>
      <c r="M379">
        <f t="shared" ref="M379" si="279">MDETERM(B379:D381)</f>
        <v>3.3019731963725913</v>
      </c>
      <c r="N379">
        <f t="shared" ref="N379" si="280">MDETERM(E379:G381)</f>
        <v>-3.3686023826032914E-6</v>
      </c>
      <c r="P379">
        <f t="array" ref="P379:R381">SVDD(B379:D381)</f>
        <v>3.5753150557912283</v>
      </c>
      <c r="Q379">
        <v>0</v>
      </c>
      <c r="R379">
        <v>0</v>
      </c>
      <c r="S379" s="3">
        <f t="shared" ref="S379" si="281">MAX(P379,Q380,R381)/MIN(P379,Q380,R381)</f>
        <v>8.1773167465735472</v>
      </c>
    </row>
    <row r="380" spans="1:19">
      <c r="A380" s="7" t="s">
        <v>110</v>
      </c>
      <c r="B380" s="8">
        <v>-0.45824053226673911</v>
      </c>
      <c r="C380" s="8">
        <v>2.124969022302313</v>
      </c>
      <c r="D380" s="8">
        <v>-2.076961144994538E-2</v>
      </c>
      <c r="E380" s="7">
        <v>0</v>
      </c>
      <c r="F380" s="7">
        <v>-1.4990516053215155E-2</v>
      </c>
      <c r="G380" s="8">
        <v>0</v>
      </c>
      <c r="H380" s="8">
        <v>0</v>
      </c>
      <c r="I380" s="33">
        <v>0</v>
      </c>
      <c r="J380" s="7">
        <v>0</v>
      </c>
      <c r="K380" s="7">
        <v>0</v>
      </c>
      <c r="P380">
        <v>0</v>
      </c>
      <c r="Q380">
        <v>2.1123006295906639</v>
      </c>
      <c r="R380">
        <v>0</v>
      </c>
    </row>
    <row r="381" spans="1:19">
      <c r="A381" s="7"/>
      <c r="B381" s="8">
        <v>-1.0673702345396179</v>
      </c>
      <c r="C381" s="8">
        <v>2.4075843796929846</v>
      </c>
      <c r="D381" s="8">
        <v>-0.708799578341892</v>
      </c>
      <c r="E381" s="7">
        <v>0</v>
      </c>
      <c r="F381" s="8">
        <v>0</v>
      </c>
      <c r="G381" s="7">
        <v>-1.4990516053215155E-2</v>
      </c>
      <c r="H381" s="8">
        <v>0</v>
      </c>
      <c r="I381" s="8">
        <v>0</v>
      </c>
      <c r="J381" s="33">
        <v>0</v>
      </c>
      <c r="K381" s="33">
        <v>0</v>
      </c>
      <c r="P381">
        <v>0</v>
      </c>
      <c r="Q381">
        <v>0</v>
      </c>
      <c r="R381">
        <v>0.43722350088607659</v>
      </c>
    </row>
    <row r="382" spans="1:19">
      <c r="A382" s="7"/>
      <c r="B382" s="8"/>
      <c r="C382" s="8"/>
      <c r="D382" s="8"/>
      <c r="E382" s="7"/>
      <c r="F382" s="7"/>
      <c r="G382" s="7"/>
      <c r="H382" s="7"/>
      <c r="I382" s="7"/>
      <c r="J382" s="7"/>
      <c r="K382" s="7"/>
    </row>
    <row r="383" spans="1:19">
      <c r="A383" s="7"/>
      <c r="B383" s="8">
        <v>-2.44475956514645</v>
      </c>
      <c r="C383" s="8">
        <v>0.85548399177677847</v>
      </c>
      <c r="D383" s="8">
        <v>-5.2896656816179721E-2</v>
      </c>
      <c r="E383" s="7">
        <v>-1.4990516053215155E-2</v>
      </c>
      <c r="F383" s="8">
        <v>0</v>
      </c>
      <c r="G383" s="8">
        <v>0</v>
      </c>
      <c r="H383" s="33">
        <v>-2.2872089329671663E-2</v>
      </c>
      <c r="I383" s="7">
        <v>2.2385887789414392E-2</v>
      </c>
      <c r="J383" s="7">
        <v>0</v>
      </c>
      <c r="K383" s="7">
        <v>0</v>
      </c>
      <c r="M383">
        <f t="shared" ref="M383" si="282">MDETERM(B383:D385)</f>
        <v>-0.27566179715216721</v>
      </c>
      <c r="N383">
        <f t="shared" ref="N383" si="283">MDETERM(E383:G385)</f>
        <v>-3.3686023826032914E-6</v>
      </c>
      <c r="P383">
        <f t="array" ref="P383:R385">SVDD(B383:D385)</f>
        <v>3.8602127652486464</v>
      </c>
      <c r="Q383">
        <v>0</v>
      </c>
      <c r="R383">
        <v>0</v>
      </c>
      <c r="S383" s="3">
        <f t="shared" ref="S383" si="284">MAX(P383,Q384,R385)/MIN(P383,Q384,R385)</f>
        <v>77.582923469237784</v>
      </c>
    </row>
    <row r="384" spans="1:19">
      <c r="A384" s="7" t="s">
        <v>111</v>
      </c>
      <c r="B384" s="8">
        <v>0.40019020491700363</v>
      </c>
      <c r="C384" s="8">
        <v>1.0840062473010013</v>
      </c>
      <c r="D384" s="8">
        <v>1.6840506224230944E-2</v>
      </c>
      <c r="E384" s="7">
        <v>0</v>
      </c>
      <c r="F384" s="7">
        <v>-1.4990516053215155E-2</v>
      </c>
      <c r="G384" s="8">
        <v>0</v>
      </c>
      <c r="H384" s="8">
        <v>-2.2872089329671663E-2</v>
      </c>
      <c r="I384" s="33">
        <v>0</v>
      </c>
      <c r="J384" s="7">
        <v>1.6236379226863738E-2</v>
      </c>
      <c r="K384" s="7">
        <v>0</v>
      </c>
      <c r="P384">
        <v>0</v>
      </c>
      <c r="Q384">
        <v>1.4352258194838099</v>
      </c>
      <c r="R384">
        <v>0</v>
      </c>
    </row>
    <row r="385" spans="1:19">
      <c r="A385" s="7"/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8">
        <v>0</v>
      </c>
      <c r="G385" s="7">
        <v>-1.4990516053215155E-2</v>
      </c>
      <c r="H385" s="8">
        <v>-2.2872089329671663E-2</v>
      </c>
      <c r="I385" s="8">
        <v>0</v>
      </c>
      <c r="J385" s="33">
        <v>0</v>
      </c>
      <c r="K385" s="33">
        <v>1.5970575730977998E-2</v>
      </c>
      <c r="P385">
        <v>0</v>
      </c>
      <c r="Q385">
        <v>0</v>
      </c>
      <c r="R385">
        <v>4.9755959077505629E-2</v>
      </c>
    </row>
    <row r="386" spans="1:19">
      <c r="A386" s="7"/>
      <c r="B386" s="8"/>
      <c r="C386" s="8"/>
      <c r="D386" s="8"/>
      <c r="E386" s="7"/>
      <c r="F386" s="7"/>
      <c r="G386" s="7"/>
      <c r="H386" s="7"/>
      <c r="I386" s="7"/>
      <c r="J386" s="7"/>
      <c r="K386" s="7"/>
    </row>
    <row r="387" spans="1:19">
      <c r="A387" s="7"/>
      <c r="B387" s="8">
        <v>-2.44475956514645</v>
      </c>
      <c r="C387" s="8">
        <v>0.85548399177677847</v>
      </c>
      <c r="D387" s="8">
        <v>-5.2896656816179721E-2</v>
      </c>
      <c r="E387" s="7">
        <v>-1.4990516053215155E-2</v>
      </c>
      <c r="F387" s="8">
        <v>0</v>
      </c>
      <c r="G387" s="8">
        <v>0</v>
      </c>
      <c r="H387" s="33">
        <v>0</v>
      </c>
      <c r="I387" s="7">
        <v>0</v>
      </c>
      <c r="J387" s="7">
        <v>0</v>
      </c>
      <c r="K387" s="7">
        <v>0</v>
      </c>
      <c r="M387">
        <f t="shared" ref="M387" si="285">MDETERM(B387:D389)</f>
        <v>7.1779642690832854E-2</v>
      </c>
      <c r="N387">
        <f t="shared" ref="N387" si="286">MDETERM(E387:G389)</f>
        <v>-3.3686023826032914E-6</v>
      </c>
      <c r="P387">
        <f t="array" ref="P387:R389">SVDD(B387:D389)</f>
        <v>3.0031573050407454</v>
      </c>
      <c r="Q387">
        <v>0</v>
      </c>
      <c r="R387">
        <v>0</v>
      </c>
      <c r="S387" s="3">
        <f t="shared" ref="S387" si="287">MAX(P387,Q388,R389)/MIN(P387,Q388,R389)</f>
        <v>243.43943945414657</v>
      </c>
    </row>
    <row r="388" spans="1:19">
      <c r="A388" s="7" t="s">
        <v>112</v>
      </c>
      <c r="B388" s="8">
        <v>0.40019020491700363</v>
      </c>
      <c r="C388" s="8">
        <v>1.0840062473010013</v>
      </c>
      <c r="D388" s="8">
        <v>1.6840506224230944E-2</v>
      </c>
      <c r="E388" s="7">
        <v>0</v>
      </c>
      <c r="F388" s="7">
        <v>-1.4990516053215155E-2</v>
      </c>
      <c r="G388" s="8">
        <v>0</v>
      </c>
      <c r="H388" s="8">
        <v>0</v>
      </c>
      <c r="I388" s="33">
        <v>0</v>
      </c>
      <c r="J388" s="7">
        <v>0</v>
      </c>
      <c r="K388" s="7">
        <v>0</v>
      </c>
      <c r="P388">
        <v>0</v>
      </c>
      <c r="Q388">
        <v>1.9374748303026346</v>
      </c>
      <c r="R388">
        <v>0</v>
      </c>
    </row>
    <row r="389" spans="1:19">
      <c r="A389" s="7"/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8">
        <v>0</v>
      </c>
      <c r="G389" s="7">
        <v>-1.4990516053215155E-2</v>
      </c>
      <c r="H389" s="8">
        <v>0</v>
      </c>
      <c r="I389" s="8">
        <v>0</v>
      </c>
      <c r="J389" s="33">
        <v>0</v>
      </c>
      <c r="K389" s="33">
        <v>0</v>
      </c>
      <c r="P389">
        <v>0</v>
      </c>
      <c r="Q389">
        <v>0</v>
      </c>
      <c r="R389">
        <v>1.2336363046902308E-2</v>
      </c>
    </row>
    <row r="390" spans="1:19">
      <c r="A390" s="7"/>
      <c r="B390" s="8"/>
      <c r="C390" s="8"/>
      <c r="D390" s="8"/>
      <c r="E390" s="7"/>
      <c r="F390" s="7"/>
      <c r="G390" s="7"/>
      <c r="H390" s="7"/>
      <c r="I390" s="7"/>
      <c r="J390" s="7"/>
      <c r="K390" s="7"/>
    </row>
    <row r="391" spans="1:19">
      <c r="A391" s="7"/>
      <c r="B391" s="8">
        <v>-2.44475956514645</v>
      </c>
      <c r="C391" s="8">
        <v>0.85548399177677847</v>
      </c>
      <c r="D391" s="8">
        <v>-5.2896656816179721E-2</v>
      </c>
      <c r="E391" s="7">
        <v>-1.4990516053215155E-2</v>
      </c>
      <c r="F391" s="8">
        <v>0</v>
      </c>
      <c r="G391" s="8">
        <v>0</v>
      </c>
      <c r="H391" s="33">
        <v>-2.2872089329671663E-2</v>
      </c>
      <c r="I391" s="7">
        <v>2.2385887789414392E-2</v>
      </c>
      <c r="J391" s="7">
        <v>0</v>
      </c>
      <c r="K391" s="7">
        <v>0</v>
      </c>
      <c r="M391">
        <f t="shared" ref="M391" si="288">MDETERM(B391:D393)</f>
        <v>2.0926527595589355</v>
      </c>
      <c r="N391">
        <f t="shared" ref="N391" si="289">MDETERM(E391:G393)</f>
        <v>-3.3686023826032914E-6</v>
      </c>
      <c r="P391">
        <f t="array" ref="P391:R393">SVDD(B391:D393)</f>
        <v>3.4680672480859061</v>
      </c>
      <c r="Q391">
        <v>0</v>
      </c>
      <c r="R391">
        <v>0</v>
      </c>
      <c r="S391" s="3">
        <f t="shared" ref="S391" si="290">MAX(P391,Q392,R393)/MIN(P391,Q392,R393)</f>
        <v>10.517949300669882</v>
      </c>
    </row>
    <row r="392" spans="1:19">
      <c r="A392" s="7" t="s">
        <v>113</v>
      </c>
      <c r="B392" s="8">
        <v>0.40019020491700363</v>
      </c>
      <c r="C392" s="8">
        <v>1.0840062473010013</v>
      </c>
      <c r="D392" s="8">
        <v>1.6840506224230944E-2</v>
      </c>
      <c r="E392" s="7">
        <v>0</v>
      </c>
      <c r="F392" s="7">
        <v>-1.4990516053215155E-2</v>
      </c>
      <c r="G392" s="8">
        <v>0</v>
      </c>
      <c r="H392" s="8">
        <v>-2.2872089329671663E-2</v>
      </c>
      <c r="I392" s="33">
        <v>0</v>
      </c>
      <c r="J392" s="7">
        <v>1.6236379226863738E-2</v>
      </c>
      <c r="K392" s="7">
        <v>0</v>
      </c>
      <c r="P392">
        <v>0</v>
      </c>
      <c r="Q392">
        <v>1.8300089901370462</v>
      </c>
      <c r="R392">
        <v>0</v>
      </c>
    </row>
    <row r="393" spans="1:19">
      <c r="A393" s="7"/>
      <c r="B393" s="8">
        <v>-1.0673702345396179</v>
      </c>
      <c r="C393" s="8">
        <v>2.4075843796929846</v>
      </c>
      <c r="D393" s="8">
        <v>-0.708799578341892</v>
      </c>
      <c r="E393" s="7">
        <v>0</v>
      </c>
      <c r="F393" s="8">
        <v>0</v>
      </c>
      <c r="G393" s="7">
        <v>-1.4990516053215155E-2</v>
      </c>
      <c r="H393" s="8">
        <v>-2.2872089329671663E-2</v>
      </c>
      <c r="I393" s="8">
        <v>0</v>
      </c>
      <c r="J393" s="33">
        <v>0</v>
      </c>
      <c r="K393" s="33">
        <v>2.0521745021313972E-2</v>
      </c>
      <c r="P393">
        <v>0</v>
      </c>
      <c r="Q393">
        <v>0</v>
      </c>
      <c r="R393">
        <v>0.32972846216942947</v>
      </c>
    </row>
    <row r="394" spans="1:19">
      <c r="A394" s="7"/>
      <c r="B394" s="8"/>
      <c r="C394" s="8"/>
      <c r="D394" s="8"/>
      <c r="E394" s="7"/>
      <c r="F394" s="7"/>
      <c r="G394" s="7"/>
      <c r="H394" s="7"/>
      <c r="I394" s="7"/>
      <c r="J394" s="7"/>
      <c r="K394" s="7"/>
    </row>
    <row r="395" spans="1:19">
      <c r="A395" s="7"/>
      <c r="B395" s="8">
        <v>-2.44475956514645</v>
      </c>
      <c r="C395" s="8">
        <v>0.85548399177677847</v>
      </c>
      <c r="D395" s="8">
        <v>-5.2896656816179721E-2</v>
      </c>
      <c r="E395" s="7">
        <v>-1.4990516053215155E-2</v>
      </c>
      <c r="F395" s="8">
        <v>0</v>
      </c>
      <c r="G395" s="8">
        <v>0</v>
      </c>
      <c r="H395" s="33">
        <v>0</v>
      </c>
      <c r="I395" s="7">
        <v>0</v>
      </c>
      <c r="J395" s="7">
        <v>0</v>
      </c>
      <c r="K395" s="7">
        <v>0</v>
      </c>
      <c r="M395">
        <f t="shared" ref="M395" si="291">MDETERM(B395:D397)</f>
        <v>0.52558239955529273</v>
      </c>
      <c r="N395">
        <f t="shared" ref="N395" si="292">MDETERM(E395:G397)</f>
        <v>-3.3686023826032914E-6</v>
      </c>
      <c r="P395">
        <f t="array" ref="P395:R397">SVDD(B395:D397)</f>
        <v>4.2071973637283717</v>
      </c>
      <c r="Q395">
        <v>0</v>
      </c>
      <c r="R395">
        <v>0</v>
      </c>
      <c r="S395" s="3">
        <f t="shared" ref="S395" si="293">MAX(P395,Q396,R397)/MIN(P395,Q396,R397)</f>
        <v>54.798719298337076</v>
      </c>
    </row>
    <row r="396" spans="1:19">
      <c r="A396" s="7" t="s">
        <v>114</v>
      </c>
      <c r="B396" s="8">
        <v>-2.0770709056556562</v>
      </c>
      <c r="C396" s="8">
        <v>2.1445635165533226</v>
      </c>
      <c r="D396" s="8">
        <v>5.6653180844775664E-2</v>
      </c>
      <c r="E396" s="7">
        <v>0</v>
      </c>
      <c r="F396" s="7">
        <v>-1.4990516053215155E-2</v>
      </c>
      <c r="G396" s="8">
        <v>0</v>
      </c>
      <c r="H396" s="8">
        <v>0</v>
      </c>
      <c r="I396" s="33">
        <v>0</v>
      </c>
      <c r="J396" s="7">
        <v>0</v>
      </c>
      <c r="K396" s="7">
        <v>0</v>
      </c>
      <c r="P396">
        <v>0</v>
      </c>
      <c r="Q396">
        <v>1.6271419828522475</v>
      </c>
      <c r="R396">
        <v>0</v>
      </c>
    </row>
    <row r="397" spans="1:19">
      <c r="A397" s="7"/>
      <c r="B397" s="8">
        <v>-0.45824053226673911</v>
      </c>
      <c r="C397" s="8">
        <v>2.124969022302313</v>
      </c>
      <c r="D397" s="8">
        <v>-2.076961144994538E-2</v>
      </c>
      <c r="E397" s="7">
        <v>0</v>
      </c>
      <c r="F397" s="8">
        <v>0</v>
      </c>
      <c r="G397" s="7">
        <v>-1.4990516053215155E-2</v>
      </c>
      <c r="H397" s="8">
        <v>0</v>
      </c>
      <c r="I397" s="8">
        <v>0</v>
      </c>
      <c r="J397" s="33">
        <v>0</v>
      </c>
      <c r="K397" s="33">
        <v>0</v>
      </c>
      <c r="P397">
        <v>0</v>
      </c>
      <c r="Q397">
        <v>0</v>
      </c>
      <c r="R397">
        <v>7.6775468799250637E-2</v>
      </c>
    </row>
    <row r="398" spans="1:19">
      <c r="A398" s="7"/>
      <c r="B398" s="8"/>
      <c r="C398" s="8"/>
      <c r="D398" s="8"/>
      <c r="E398" s="7"/>
      <c r="F398" s="7"/>
      <c r="G398" s="7"/>
      <c r="H398" s="7"/>
      <c r="I398" s="7"/>
      <c r="J398" s="7"/>
      <c r="K398" s="7"/>
    </row>
    <row r="399" spans="1:19">
      <c r="A399" s="7"/>
      <c r="B399" s="8">
        <v>-2.44475956514645</v>
      </c>
      <c r="C399" s="8">
        <v>0.85548399177677847</v>
      </c>
      <c r="D399" s="8">
        <v>-5.2896656816179721E-2</v>
      </c>
      <c r="E399" s="7">
        <v>-1.4990516053215155E-2</v>
      </c>
      <c r="F399" s="8">
        <v>0</v>
      </c>
      <c r="G399" s="8">
        <v>0</v>
      </c>
      <c r="H399" s="33">
        <v>-2.2872089329671663E-2</v>
      </c>
      <c r="I399" s="7">
        <v>2.2385887789414392E-2</v>
      </c>
      <c r="J399" s="7">
        <v>0</v>
      </c>
      <c r="K399" s="7">
        <v>0</v>
      </c>
      <c r="M399">
        <f t="shared" ref="M399" si="294">MDETERM(B399:D401)</f>
        <v>2.8818949898130115</v>
      </c>
      <c r="N399">
        <f t="shared" ref="N399" si="295">MDETERM(E399:G401)</f>
        <v>-3.3686023826032914E-6</v>
      </c>
      <c r="P399">
        <f t="array" ref="P399:R401">SVDD(B399:D401)</f>
        <v>4.5319638714309312</v>
      </c>
      <c r="Q399">
        <v>0</v>
      </c>
      <c r="R399">
        <v>0</v>
      </c>
      <c r="S399" s="3">
        <f t="shared" ref="S399" si="296">MAX(P399,Q400,R401)/MIN(P399,Q400,R401)</f>
        <v>10.938849692911305</v>
      </c>
    </row>
    <row r="400" spans="1:19">
      <c r="A400" s="7" t="s">
        <v>115</v>
      </c>
      <c r="B400" s="8">
        <v>-2.0770709056556562</v>
      </c>
      <c r="C400" s="8">
        <v>2.1445635165533226</v>
      </c>
      <c r="D400" s="8">
        <v>5.6653180844775664E-2</v>
      </c>
      <c r="E400" s="7">
        <v>0</v>
      </c>
      <c r="F400" s="7">
        <v>-1.4990516053215155E-2</v>
      </c>
      <c r="G400" s="8">
        <v>0</v>
      </c>
      <c r="H400" s="8">
        <v>-2.2872089329671663E-2</v>
      </c>
      <c r="I400" s="33">
        <v>0</v>
      </c>
      <c r="J400" s="7">
        <v>1.5970575730977998E-2</v>
      </c>
      <c r="K400" s="7">
        <v>0</v>
      </c>
      <c r="P400">
        <v>0</v>
      </c>
      <c r="Q400">
        <v>1.5348888414253044</v>
      </c>
      <c r="R400">
        <v>0</v>
      </c>
    </row>
    <row r="401" spans="1:19">
      <c r="A401" s="7"/>
      <c r="B401" s="8">
        <v>-1.0673702345396179</v>
      </c>
      <c r="C401" s="8">
        <v>2.4075843796929846</v>
      </c>
      <c r="D401" s="8">
        <v>-0.708799578341892</v>
      </c>
      <c r="E401" s="7">
        <v>0</v>
      </c>
      <c r="F401" s="8">
        <v>0</v>
      </c>
      <c r="G401" s="7">
        <v>-1.4990516053215155E-2</v>
      </c>
      <c r="H401" s="8">
        <v>-2.2872089329671663E-2</v>
      </c>
      <c r="I401" s="8">
        <v>0</v>
      </c>
      <c r="J401" s="33">
        <v>0</v>
      </c>
      <c r="K401" s="33">
        <v>2.0521745021313972E-2</v>
      </c>
      <c r="P401">
        <v>0</v>
      </c>
      <c r="Q401">
        <v>0</v>
      </c>
      <c r="R401">
        <v>0.41429985772341099</v>
      </c>
    </row>
    <row r="402" spans="1:19">
      <c r="A402" s="7"/>
      <c r="B402" s="8"/>
      <c r="C402" s="8"/>
      <c r="D402" s="8"/>
      <c r="E402" s="7"/>
      <c r="F402" s="7"/>
      <c r="G402" s="7"/>
      <c r="H402" s="7"/>
      <c r="I402" s="7"/>
      <c r="J402" s="7"/>
      <c r="K402" s="7"/>
    </row>
    <row r="403" spans="1:19">
      <c r="A403" s="7"/>
      <c r="B403" s="8">
        <v>-2.44475956514645</v>
      </c>
      <c r="C403" s="8">
        <v>0.85548399177677847</v>
      </c>
      <c r="D403" s="8">
        <v>-5.2896656816179721E-2</v>
      </c>
      <c r="E403" s="7">
        <v>-1.4990516053215155E-2</v>
      </c>
      <c r="F403" s="8">
        <v>0</v>
      </c>
      <c r="G403" s="8">
        <v>0</v>
      </c>
      <c r="H403" s="33">
        <v>0</v>
      </c>
      <c r="I403" s="7">
        <v>0</v>
      </c>
      <c r="J403" s="7">
        <v>0</v>
      </c>
      <c r="K403" s="7">
        <v>0</v>
      </c>
      <c r="M403">
        <f t="shared" ref="M403" si="297">MDETERM(B403:D405)</f>
        <v>3.2394770526391392</v>
      </c>
      <c r="N403">
        <f t="shared" ref="N403" si="298">MDETERM(E403:G405)</f>
        <v>-3.3686023826032914E-6</v>
      </c>
      <c r="P403">
        <f t="array" ref="P403:R405">SVDD(B403:D405)</f>
        <v>3.9220260502801381</v>
      </c>
      <c r="Q403">
        <v>0</v>
      </c>
      <c r="R403">
        <v>0</v>
      </c>
      <c r="S403" s="3">
        <f t="shared" ref="S403" si="299">MAX(P403,Q404,R405)/MIN(P403,Q404,R405)</f>
        <v>8.6070566754854791</v>
      </c>
    </row>
    <row r="404" spans="1:19">
      <c r="A404" s="7" t="s">
        <v>116</v>
      </c>
      <c r="B404" s="8">
        <v>-0.45824053226673911</v>
      </c>
      <c r="C404" s="8">
        <v>2.124969022302313</v>
      </c>
      <c r="D404" s="8">
        <v>-2.076961144994538E-2</v>
      </c>
      <c r="E404" s="7">
        <v>0</v>
      </c>
      <c r="F404" s="7">
        <v>-1.4990516053215155E-2</v>
      </c>
      <c r="G404" s="8">
        <v>0</v>
      </c>
      <c r="H404" s="8">
        <v>0</v>
      </c>
      <c r="I404" s="33">
        <v>0</v>
      </c>
      <c r="J404" s="7">
        <v>0</v>
      </c>
      <c r="K404" s="7">
        <v>0</v>
      </c>
      <c r="P404">
        <v>0</v>
      </c>
      <c r="Q404">
        <v>1.8126277427897026</v>
      </c>
      <c r="R404">
        <v>0</v>
      </c>
    </row>
    <row r="405" spans="1:19">
      <c r="A405" s="7"/>
      <c r="B405" s="8">
        <v>-1.0673702345396179</v>
      </c>
      <c r="C405" s="8">
        <v>2.4075843796929846</v>
      </c>
      <c r="D405" s="8">
        <v>-0.708799578341892</v>
      </c>
      <c r="E405" s="7">
        <v>0</v>
      </c>
      <c r="F405" s="8">
        <v>0</v>
      </c>
      <c r="G405" s="7">
        <v>-1.4990516053215155E-2</v>
      </c>
      <c r="H405" s="8">
        <v>0</v>
      </c>
      <c r="I405" s="8">
        <v>0</v>
      </c>
      <c r="J405" s="33">
        <v>0</v>
      </c>
      <c r="K405" s="33">
        <v>0</v>
      </c>
      <c r="P405">
        <v>0</v>
      </c>
      <c r="Q405">
        <v>0</v>
      </c>
      <c r="R405">
        <v>0.45567563897317048</v>
      </c>
    </row>
    <row r="406" spans="1:19">
      <c r="A406" s="7"/>
      <c r="B406" s="8"/>
      <c r="C406" s="8"/>
      <c r="D406" s="8"/>
      <c r="E406" s="7"/>
      <c r="F406" s="7"/>
      <c r="G406" s="7"/>
      <c r="H406" s="7"/>
      <c r="I406" s="7"/>
      <c r="J406" s="7"/>
      <c r="K406" s="7"/>
    </row>
    <row r="407" spans="1:19">
      <c r="A407" s="7"/>
      <c r="B407" s="8">
        <v>0.40019020491700363</v>
      </c>
      <c r="C407" s="8">
        <v>1.0840062473010013</v>
      </c>
      <c r="D407" s="8">
        <v>1.6840506224230944E-2</v>
      </c>
      <c r="E407" s="7">
        <v>-1.4990516053215155E-2</v>
      </c>
      <c r="F407" s="8">
        <v>0</v>
      </c>
      <c r="G407" s="8">
        <v>0</v>
      </c>
      <c r="H407" s="33">
        <v>0</v>
      </c>
      <c r="I407" s="7">
        <v>0</v>
      </c>
      <c r="J407" s="7">
        <v>0</v>
      </c>
      <c r="K407" s="7">
        <v>0</v>
      </c>
      <c r="M407">
        <f t="shared" ref="M407" si="300">MDETERM(B407:D409)</f>
        <v>-0.19868773649886828</v>
      </c>
      <c r="N407">
        <f t="shared" ref="N407" si="301">MDETERM(E407:G409)</f>
        <v>-3.3686023826032914E-6</v>
      </c>
      <c r="P407">
        <f t="array" ref="P407:R409">SVDD(B407:D409)</f>
        <v>3.6352979814987942</v>
      </c>
      <c r="Q407">
        <v>0</v>
      </c>
      <c r="R407">
        <v>0</v>
      </c>
      <c r="S407" s="3">
        <f t="shared" ref="S407" si="302">MAX(P407,Q408,R409)/MIN(P407,Q408,R409)</f>
        <v>88.262830753422278</v>
      </c>
    </row>
    <row r="408" spans="1:19">
      <c r="A408" s="7" t="s">
        <v>117</v>
      </c>
      <c r="B408" s="8">
        <v>-2.0770709056556562</v>
      </c>
      <c r="C408" s="8">
        <v>2.1445635165533226</v>
      </c>
      <c r="D408" s="8">
        <v>5.6653180844775664E-2</v>
      </c>
      <c r="E408" s="7">
        <v>0</v>
      </c>
      <c r="F408" s="7">
        <v>-1.4990516053215155E-2</v>
      </c>
      <c r="G408" s="8">
        <v>0</v>
      </c>
      <c r="H408" s="8">
        <v>0</v>
      </c>
      <c r="I408" s="33">
        <v>0</v>
      </c>
      <c r="J408" s="7">
        <v>0</v>
      </c>
      <c r="K408" s="7">
        <v>0</v>
      </c>
      <c r="P408">
        <v>0</v>
      </c>
      <c r="Q408">
        <v>1.3269937688276492</v>
      </c>
      <c r="R408">
        <v>0</v>
      </c>
    </row>
    <row r="409" spans="1:19">
      <c r="A409" s="7"/>
      <c r="B409" s="8">
        <v>-0.45824053226673911</v>
      </c>
      <c r="C409" s="8">
        <v>2.124969022302313</v>
      </c>
      <c r="D409" s="8">
        <v>-2.076961144994538E-2</v>
      </c>
      <c r="E409" s="7">
        <v>0</v>
      </c>
      <c r="F409" s="8">
        <v>0</v>
      </c>
      <c r="G409" s="7">
        <v>-1.4990516053215155E-2</v>
      </c>
      <c r="H409" s="8">
        <v>0</v>
      </c>
      <c r="I409" s="8">
        <v>0</v>
      </c>
      <c r="J409" s="33">
        <v>0</v>
      </c>
      <c r="K409" s="33">
        <v>0</v>
      </c>
      <c r="P409">
        <v>0</v>
      </c>
      <c r="Q409">
        <v>0</v>
      </c>
      <c r="R409">
        <v>4.1187190014952475E-2</v>
      </c>
    </row>
    <row r="410" spans="1:19">
      <c r="A410" s="7"/>
      <c r="B410" s="8"/>
      <c r="C410" s="8"/>
      <c r="D410" s="8"/>
      <c r="E410" s="7"/>
      <c r="F410" s="7"/>
      <c r="G410" s="7"/>
      <c r="H410" s="7"/>
      <c r="I410" s="7"/>
      <c r="J410" s="7"/>
      <c r="K410" s="7"/>
    </row>
    <row r="411" spans="1:19">
      <c r="A411" s="7"/>
      <c r="B411" s="8">
        <v>0.40019020491700363</v>
      </c>
      <c r="C411" s="8">
        <v>1.0840062473010013</v>
      </c>
      <c r="D411" s="8">
        <v>1.6840506224230944E-2</v>
      </c>
      <c r="E411" s="7">
        <v>-1.4990516053215155E-2</v>
      </c>
      <c r="F411" s="8">
        <v>0</v>
      </c>
      <c r="G411" s="8">
        <v>0</v>
      </c>
      <c r="H411" s="33">
        <v>-2.2872089329671663E-2</v>
      </c>
      <c r="I411" s="7">
        <v>1.6236379226863738E-2</v>
      </c>
      <c r="J411" s="7">
        <v>0</v>
      </c>
      <c r="K411" s="7">
        <v>0</v>
      </c>
      <c r="M411">
        <f t="shared" ref="M411" si="303">MDETERM(B411:D413)</f>
        <v>-2.3700193625278945</v>
      </c>
      <c r="N411">
        <f t="shared" ref="N411" si="304">MDETERM(E411:G413)</f>
        <v>-3.3686023826032914E-6</v>
      </c>
      <c r="P411">
        <f t="array" ref="P411:R413">SVDD(B411:D413)</f>
        <v>4.0004552400202558</v>
      </c>
      <c r="Q411">
        <v>0</v>
      </c>
      <c r="R411">
        <v>0</v>
      </c>
      <c r="S411" s="3">
        <f t="shared" ref="S411" si="305">MAX(P411,Q412,R413)/MIN(P411,Q412,R413)</f>
        <v>8.1126859890305525</v>
      </c>
    </row>
    <row r="412" spans="1:19">
      <c r="A412" s="7" t="s">
        <v>118</v>
      </c>
      <c r="B412" s="8">
        <v>-2.0770709056556562</v>
      </c>
      <c r="C412" s="8">
        <v>2.1445635165533226</v>
      </c>
      <c r="D412" s="8">
        <v>5.6653180844775664E-2</v>
      </c>
      <c r="E412" s="7">
        <v>0</v>
      </c>
      <c r="F412" s="7">
        <v>-1.4990516053215155E-2</v>
      </c>
      <c r="G412" s="8">
        <v>0</v>
      </c>
      <c r="H412" s="8">
        <v>-2.2872089329671663E-2</v>
      </c>
      <c r="I412" s="33">
        <v>0</v>
      </c>
      <c r="J412" s="7">
        <v>1.5970575730977998E-2</v>
      </c>
      <c r="K412" s="7">
        <v>0</v>
      </c>
      <c r="P412">
        <v>0</v>
      </c>
      <c r="Q412">
        <v>1.2014279451541472</v>
      </c>
      <c r="R412">
        <v>0</v>
      </c>
    </row>
    <row r="413" spans="1:19">
      <c r="A413" s="7"/>
      <c r="B413" s="8">
        <v>-1.0673702345396179</v>
      </c>
      <c r="C413" s="8">
        <v>2.4075843796929846</v>
      </c>
      <c r="D413" s="8">
        <v>-0.708799578341892</v>
      </c>
      <c r="E413" s="7">
        <v>0</v>
      </c>
      <c r="F413" s="8">
        <v>0</v>
      </c>
      <c r="G413" s="7">
        <v>-1.4990516053215155E-2</v>
      </c>
      <c r="H413" s="8">
        <v>-2.2872089329671663E-2</v>
      </c>
      <c r="I413" s="8">
        <v>0</v>
      </c>
      <c r="J413" s="33">
        <v>0</v>
      </c>
      <c r="K413" s="33">
        <v>2.0521745021313972E-2</v>
      </c>
      <c r="P413">
        <v>0</v>
      </c>
      <c r="Q413">
        <v>0</v>
      </c>
      <c r="R413">
        <v>0.49311106647408909</v>
      </c>
    </row>
    <row r="414" spans="1:19">
      <c r="A414" s="7"/>
      <c r="B414" s="8"/>
      <c r="C414" s="8"/>
      <c r="D414" s="8"/>
      <c r="E414" s="7"/>
      <c r="F414" s="7"/>
      <c r="G414" s="7"/>
      <c r="H414" s="7"/>
      <c r="I414" s="7"/>
      <c r="J414" s="7"/>
      <c r="K414" s="7"/>
    </row>
    <row r="415" spans="1:19">
      <c r="A415" s="7"/>
      <c r="B415" s="8">
        <v>0.40019020491700363</v>
      </c>
      <c r="C415" s="8">
        <v>1.0840062473010013</v>
      </c>
      <c r="D415" s="8">
        <v>1.6840506224230944E-2</v>
      </c>
      <c r="E415" s="7">
        <v>-1.4990516053215155E-2</v>
      </c>
      <c r="F415" s="8">
        <v>0</v>
      </c>
      <c r="G415" s="8">
        <v>0</v>
      </c>
      <c r="H415" s="33">
        <v>0</v>
      </c>
      <c r="I415" s="7">
        <v>0</v>
      </c>
      <c r="J415" s="7">
        <v>0</v>
      </c>
      <c r="K415" s="7">
        <v>0</v>
      </c>
      <c r="M415">
        <f t="shared" ref="M415" si="306">MDETERM(B415:D417)</f>
        <v>-0.89118368812874926</v>
      </c>
      <c r="N415">
        <f t="shared" ref="N415" si="307">MDETERM(E415:G417)</f>
        <v>-3.3686023826032914E-6</v>
      </c>
      <c r="P415">
        <f t="array" ref="P415:R417">SVDD(B415:D417)</f>
        <v>3.5590730720337227</v>
      </c>
      <c r="Q415">
        <v>0</v>
      </c>
      <c r="R415">
        <v>0</v>
      </c>
      <c r="S415" s="3">
        <f t="shared" ref="S415" si="308">MAX(P415,Q416,R417)/MIN(P415,Q416,R417)</f>
        <v>12.299736121719162</v>
      </c>
    </row>
    <row r="416" spans="1:19">
      <c r="A416" s="7" t="s">
        <v>119</v>
      </c>
      <c r="B416" s="8">
        <v>-0.45824053226673911</v>
      </c>
      <c r="C416" s="8">
        <v>2.124969022302313</v>
      </c>
      <c r="D416" s="8">
        <v>-2.076961144994538E-2</v>
      </c>
      <c r="E416" s="7">
        <v>0</v>
      </c>
      <c r="F416" s="7">
        <v>-1.4990516053215155E-2</v>
      </c>
      <c r="G416" s="8">
        <v>0</v>
      </c>
      <c r="H416" s="8">
        <v>0</v>
      </c>
      <c r="I416" s="33">
        <v>0</v>
      </c>
      <c r="J416" s="7">
        <v>0</v>
      </c>
      <c r="K416" s="7">
        <v>0</v>
      </c>
      <c r="P416">
        <v>0</v>
      </c>
      <c r="Q416">
        <v>0.86534485042459308</v>
      </c>
      <c r="R416">
        <v>0</v>
      </c>
    </row>
    <row r="417" spans="1:19">
      <c r="A417" s="7"/>
      <c r="B417" s="8">
        <v>-1.0673702345396179</v>
      </c>
      <c r="C417" s="8">
        <v>2.4075843796929846</v>
      </c>
      <c r="D417" s="8">
        <v>-0.708799578341892</v>
      </c>
      <c r="E417" s="7">
        <v>0</v>
      </c>
      <c r="F417" s="8">
        <v>0</v>
      </c>
      <c r="G417" s="7">
        <v>-1.4990516053215155E-2</v>
      </c>
      <c r="H417" s="8">
        <v>0</v>
      </c>
      <c r="I417" s="8">
        <v>0</v>
      </c>
      <c r="J417" s="33">
        <v>0</v>
      </c>
      <c r="K417" s="33">
        <v>0</v>
      </c>
      <c r="P417">
        <v>0</v>
      </c>
      <c r="Q417">
        <v>0</v>
      </c>
      <c r="R417">
        <v>0.28936174213925031</v>
      </c>
    </row>
    <row r="418" spans="1:19">
      <c r="A418" s="7"/>
      <c r="B418" s="8"/>
      <c r="C418" s="8"/>
      <c r="D418" s="8"/>
      <c r="E418" s="7"/>
      <c r="F418" s="7"/>
      <c r="G418" s="7"/>
      <c r="H418" s="7"/>
      <c r="I418" s="7"/>
      <c r="J418" s="7"/>
      <c r="K418" s="7"/>
    </row>
    <row r="419" spans="1:19">
      <c r="A419" s="7"/>
      <c r="B419" s="8">
        <v>-2.0770709056556562</v>
      </c>
      <c r="C419" s="8">
        <v>2.1445635165533226</v>
      </c>
      <c r="D419" s="8">
        <v>5.6653180844775664E-2</v>
      </c>
      <c r="E419" s="7">
        <v>-1.4990516053215155E-2</v>
      </c>
      <c r="F419" s="8">
        <v>0</v>
      </c>
      <c r="G419" s="8">
        <v>0</v>
      </c>
      <c r="H419" s="33">
        <v>0</v>
      </c>
      <c r="I419" s="7">
        <v>0</v>
      </c>
      <c r="J419" s="7">
        <v>0</v>
      </c>
      <c r="K419" s="7">
        <v>0</v>
      </c>
      <c r="M419">
        <f t="shared" ref="M419" si="309">MDETERM(B419:D421)</f>
        <v>2.4415543907414023</v>
      </c>
      <c r="N419">
        <f t="shared" ref="N419" si="310">MDETERM(E419:G421)</f>
        <v>-3.3686023826032914E-6</v>
      </c>
      <c r="P419">
        <f t="array" ref="P419:R421">SVDD(B419:D421)</f>
        <v>4.4365135714374775</v>
      </c>
      <c r="Q419">
        <v>0</v>
      </c>
      <c r="R419">
        <v>0</v>
      </c>
      <c r="S419" s="3">
        <f t="shared" ref="S419" si="311">MAX(P419,Q420,R421)/MIN(P419,Q420,R421)</f>
        <v>8.5693135695380551</v>
      </c>
    </row>
    <row r="420" spans="1:19">
      <c r="A420" s="7" t="s">
        <v>120</v>
      </c>
      <c r="B420" s="8">
        <v>-0.45824053226673911</v>
      </c>
      <c r="C420" s="8">
        <v>2.124969022302313</v>
      </c>
      <c r="D420" s="8">
        <v>-2.076961144994538E-2</v>
      </c>
      <c r="E420" s="7">
        <v>0</v>
      </c>
      <c r="F420" s="7">
        <v>-1.4990516053215155E-2</v>
      </c>
      <c r="G420" s="8">
        <v>0</v>
      </c>
      <c r="H420" s="8">
        <v>0</v>
      </c>
      <c r="I420" s="33">
        <v>0</v>
      </c>
      <c r="J420" s="7">
        <v>0</v>
      </c>
      <c r="K420" s="7">
        <v>0</v>
      </c>
      <c r="P420">
        <v>0</v>
      </c>
      <c r="Q420">
        <v>1.0629890961656128</v>
      </c>
      <c r="R420">
        <v>0</v>
      </c>
    </row>
    <row r="421" spans="1:19">
      <c r="A421" s="7"/>
      <c r="B421" s="8">
        <v>-1.0673702345396179</v>
      </c>
      <c r="C421" s="8">
        <v>2.4075843796929846</v>
      </c>
      <c r="D421" s="8">
        <v>-0.708799578341892</v>
      </c>
      <c r="E421" s="7">
        <v>0</v>
      </c>
      <c r="F421" s="8">
        <v>0</v>
      </c>
      <c r="G421" s="7">
        <v>-1.4990516053215155E-2</v>
      </c>
      <c r="H421" s="8">
        <v>0</v>
      </c>
      <c r="I421" s="8">
        <v>0</v>
      </c>
      <c r="J421" s="33">
        <v>0</v>
      </c>
      <c r="K421" s="33">
        <v>0</v>
      </c>
      <c r="P421">
        <v>0</v>
      </c>
      <c r="Q421">
        <v>0</v>
      </c>
      <c r="R421">
        <v>0.51772099777142777</v>
      </c>
    </row>
    <row r="422" spans="1:19">
      <c r="A422" s="7"/>
      <c r="B422" s="8"/>
      <c r="C422" s="8"/>
      <c r="D422" s="8"/>
      <c r="E422" s="7"/>
      <c r="F422" s="7"/>
      <c r="G422" s="7"/>
      <c r="H422" s="7"/>
      <c r="I422" s="7"/>
      <c r="J422" s="7"/>
      <c r="K422" s="7"/>
    </row>
    <row r="423" spans="1:19">
      <c r="A423" s="7"/>
      <c r="B423" s="8">
        <v>1.4028471761352286</v>
      </c>
      <c r="C423" s="8">
        <v>-0.814665459345566</v>
      </c>
      <c r="D423" s="8">
        <v>-0.7195871750303805</v>
      </c>
      <c r="E423" s="7">
        <v>-1.4990516053215155E-2</v>
      </c>
      <c r="F423" s="8">
        <v>0</v>
      </c>
      <c r="G423" s="8">
        <v>0</v>
      </c>
      <c r="H423" s="33">
        <v>0</v>
      </c>
      <c r="I423" s="7">
        <v>0</v>
      </c>
      <c r="J423" s="7">
        <v>0</v>
      </c>
      <c r="K423" s="7">
        <v>0</v>
      </c>
      <c r="M423">
        <f t="shared" ref="M423" si="312">MDETERM(B423:D425)</f>
        <v>-1.4708968013385888</v>
      </c>
      <c r="N423">
        <f t="shared" ref="N423" si="313">MDETERM(E423:G425)</f>
        <v>-3.3686023826032914E-6</v>
      </c>
      <c r="P423">
        <f t="array" ref="P423:R425">SVDD(B423:D425)</f>
        <v>3.1000127906565456</v>
      </c>
      <c r="Q423">
        <v>0</v>
      </c>
      <c r="R423">
        <v>0</v>
      </c>
      <c r="S423" s="3">
        <f t="shared" ref="S423" si="314">MAX(P423,Q424,R425)/MIN(P423,Q424,R425)</f>
        <v>5.2226620862837869</v>
      </c>
    </row>
    <row r="424" spans="1:19">
      <c r="A424" s="7" t="s">
        <v>121</v>
      </c>
      <c r="B424" s="8">
        <v>0.14897154656832046</v>
      </c>
      <c r="C424" s="8">
        <v>-0.84725762547333594</v>
      </c>
      <c r="D424" s="8">
        <v>1.9759438806851826E-2</v>
      </c>
      <c r="E424" s="7">
        <v>0</v>
      </c>
      <c r="F424" s="7">
        <v>-1.4990516053215155E-2</v>
      </c>
      <c r="G424" s="8">
        <v>0</v>
      </c>
      <c r="H424" s="8">
        <v>0</v>
      </c>
      <c r="I424" s="33">
        <v>0</v>
      </c>
      <c r="J424" s="7">
        <v>0</v>
      </c>
      <c r="K424" s="7">
        <v>0</v>
      </c>
      <c r="P424">
        <v>0</v>
      </c>
      <c r="Q424">
        <v>0.79936873730076408</v>
      </c>
      <c r="R424">
        <v>0</v>
      </c>
    </row>
    <row r="425" spans="1:19">
      <c r="A425" s="7"/>
      <c r="B425" s="8">
        <v>2.44475956514645</v>
      </c>
      <c r="C425" s="8">
        <v>-0.85548399177677847</v>
      </c>
      <c r="D425" s="8">
        <v>5.2896656816179721E-2</v>
      </c>
      <c r="E425" s="7">
        <v>0</v>
      </c>
      <c r="F425" s="8">
        <v>0</v>
      </c>
      <c r="G425" s="7">
        <v>-1.4990516053215155E-2</v>
      </c>
      <c r="H425" s="8">
        <v>0</v>
      </c>
      <c r="I425" s="8">
        <v>0</v>
      </c>
      <c r="J425" s="33">
        <v>0</v>
      </c>
      <c r="K425" s="33">
        <v>0</v>
      </c>
      <c r="P425">
        <v>0</v>
      </c>
      <c r="Q425">
        <v>0</v>
      </c>
      <c r="R425">
        <v>0.59356947461679954</v>
      </c>
    </row>
    <row r="426" spans="1:19">
      <c r="A426" s="7"/>
      <c r="B426" s="8"/>
      <c r="C426" s="8"/>
      <c r="D426" s="8"/>
      <c r="E426" s="7"/>
      <c r="F426" s="7"/>
      <c r="G426" s="7"/>
      <c r="H426" s="7"/>
      <c r="I426" s="7"/>
      <c r="J426" s="7"/>
      <c r="K426" s="7"/>
    </row>
    <row r="427" spans="1:19">
      <c r="A427" s="7"/>
      <c r="B427" s="8">
        <v>1.4028471761352286</v>
      </c>
      <c r="C427" s="8">
        <v>-0.814665459345566</v>
      </c>
      <c r="D427" s="8">
        <v>-0.7195871750303805</v>
      </c>
      <c r="E427" s="7">
        <v>-1.4990516053215155E-2</v>
      </c>
      <c r="F427" s="8">
        <v>0</v>
      </c>
      <c r="G427" s="8">
        <v>0</v>
      </c>
      <c r="H427" s="33">
        <v>0</v>
      </c>
      <c r="I427" s="7">
        <v>0</v>
      </c>
      <c r="J427" s="7">
        <v>0</v>
      </c>
      <c r="K427" s="7">
        <v>0</v>
      </c>
      <c r="M427">
        <f t="shared" ref="M427" si="315">MDETERM(B427:D429)</f>
        <v>-1.8855488203375224</v>
      </c>
      <c r="N427">
        <f t="shared" ref="N427" si="316">MDETERM(E427:G429)</f>
        <v>-3.3686023826032914E-6</v>
      </c>
      <c r="P427">
        <f t="array" ref="P427:R429">SVDD(B427:D429)</f>
        <v>3.1941270869072875</v>
      </c>
      <c r="Q427">
        <v>0</v>
      </c>
      <c r="R427">
        <v>0</v>
      </c>
      <c r="S427" s="3">
        <f t="shared" ref="S427" si="317">MAX(P427,Q428,R429)/MIN(P427,Q428,R429)</f>
        <v>6.8946518551856064</v>
      </c>
    </row>
    <row r="428" spans="1:19">
      <c r="A428" s="7" t="s">
        <v>122</v>
      </c>
      <c r="B428" s="8">
        <v>0.14897154656832046</v>
      </c>
      <c r="C428" s="8">
        <v>-0.84725762547333594</v>
      </c>
      <c r="D428" s="8">
        <v>1.9759438806851826E-2</v>
      </c>
      <c r="E428" s="7">
        <v>0</v>
      </c>
      <c r="F428" s="7">
        <v>-1.4990516053215155E-2</v>
      </c>
      <c r="G428" s="8">
        <v>0</v>
      </c>
      <c r="H428" s="8">
        <v>0</v>
      </c>
      <c r="I428" s="33">
        <v>0</v>
      </c>
      <c r="J428" s="7">
        <v>0</v>
      </c>
      <c r="K428" s="7">
        <v>0</v>
      </c>
      <c r="P428">
        <v>0</v>
      </c>
      <c r="Q428">
        <v>1.2742238790864915</v>
      </c>
      <c r="R428">
        <v>0</v>
      </c>
    </row>
    <row r="429" spans="1:19">
      <c r="A429" s="7"/>
      <c r="B429" s="8">
        <v>2.8449497700634536</v>
      </c>
      <c r="C429" s="8">
        <v>0.22852225552422287</v>
      </c>
      <c r="D429" s="8">
        <v>6.9737163040410666E-2</v>
      </c>
      <c r="E429" s="7">
        <v>0</v>
      </c>
      <c r="F429" s="8">
        <v>0</v>
      </c>
      <c r="G429" s="7">
        <v>-1.4990516053215155E-2</v>
      </c>
      <c r="H429" s="8">
        <v>0</v>
      </c>
      <c r="I429" s="8">
        <v>0</v>
      </c>
      <c r="J429" s="33">
        <v>0</v>
      </c>
      <c r="K429" s="33">
        <v>0</v>
      </c>
      <c r="P429">
        <v>0</v>
      </c>
      <c r="Q429">
        <v>0</v>
      </c>
      <c r="R429">
        <v>0.46327605135057259</v>
      </c>
    </row>
    <row r="430" spans="1:19">
      <c r="A430" s="7"/>
      <c r="B430" s="8"/>
      <c r="C430" s="8"/>
      <c r="D430" s="8"/>
      <c r="E430" s="7"/>
      <c r="F430" s="7"/>
      <c r="G430" s="7"/>
      <c r="H430" s="7"/>
      <c r="I430" s="7"/>
      <c r="J430" s="7"/>
      <c r="K430" s="7"/>
    </row>
    <row r="431" spans="1:19">
      <c r="A431" s="7"/>
      <c r="B431" s="8">
        <v>1.4028471761352286</v>
      </c>
      <c r="C431" s="8">
        <v>-0.814665459345566</v>
      </c>
      <c r="D431" s="8">
        <v>-0.7195871750303805</v>
      </c>
      <c r="E431" s="7">
        <v>-1.4990516053215155E-2</v>
      </c>
      <c r="F431" s="8">
        <v>0</v>
      </c>
      <c r="G431" s="8">
        <v>0</v>
      </c>
      <c r="H431" s="33">
        <v>0</v>
      </c>
      <c r="I431" s="7">
        <v>0</v>
      </c>
      <c r="J431" s="7">
        <v>0</v>
      </c>
      <c r="K431" s="7">
        <v>0</v>
      </c>
      <c r="M431">
        <f t="shared" ref="M431" si="318">MDETERM(B431:D433)</f>
        <v>-0.52092181672998861</v>
      </c>
      <c r="N431">
        <f t="shared" ref="N431" si="319">MDETERM(E431:G433)</f>
        <v>-3.3686023826032914E-6</v>
      </c>
      <c r="P431">
        <f t="array" ref="P431:R433">SVDD(B431:D433)</f>
        <v>1.9684766777030376</v>
      </c>
      <c r="Q431">
        <v>0</v>
      </c>
      <c r="R431">
        <v>0</v>
      </c>
      <c r="S431" s="3">
        <f t="shared" ref="S431" si="320">MAX(P431,Q432,R433)/MIN(P431,Q432,R433)</f>
        <v>9.9372843807971485</v>
      </c>
    </row>
    <row r="432" spans="1:19">
      <c r="A432" s="7" t="s">
        <v>123</v>
      </c>
      <c r="B432" s="8">
        <v>0.14897154656832046</v>
      </c>
      <c r="C432" s="8">
        <v>-0.84725762547333594</v>
      </c>
      <c r="D432" s="8">
        <v>1.9759438806851826E-2</v>
      </c>
      <c r="E432" s="7">
        <v>0</v>
      </c>
      <c r="F432" s="7">
        <v>-1.4990516053215155E-2</v>
      </c>
      <c r="G432" s="8">
        <v>0</v>
      </c>
      <c r="H432" s="8">
        <v>0</v>
      </c>
      <c r="I432" s="33">
        <v>0</v>
      </c>
      <c r="J432" s="7">
        <v>0</v>
      </c>
      <c r="K432" s="7">
        <v>0</v>
      </c>
      <c r="P432">
        <v>0</v>
      </c>
      <c r="Q432">
        <v>1.3359177417946284</v>
      </c>
      <c r="R432">
        <v>0</v>
      </c>
    </row>
    <row r="433" spans="1:19">
      <c r="A433" s="7"/>
      <c r="B433" s="8">
        <v>0.36768865949079377</v>
      </c>
      <c r="C433" s="8">
        <v>1.2890795247765441</v>
      </c>
      <c r="D433" s="8">
        <v>0.10954983766095538</v>
      </c>
      <c r="E433" s="7">
        <v>0</v>
      </c>
      <c r="F433" s="8">
        <v>0</v>
      </c>
      <c r="G433" s="7">
        <v>-1.4990516053215155E-2</v>
      </c>
      <c r="H433" s="8">
        <v>0</v>
      </c>
      <c r="I433" s="8">
        <v>0</v>
      </c>
      <c r="J433" s="33">
        <v>0</v>
      </c>
      <c r="K433" s="33">
        <v>0</v>
      </c>
      <c r="P433">
        <v>0</v>
      </c>
      <c r="Q433">
        <v>0</v>
      </c>
      <c r="R433">
        <v>0.19809000148037731</v>
      </c>
    </row>
    <row r="434" spans="1:19">
      <c r="A434" s="7"/>
      <c r="B434" s="8"/>
      <c r="C434" s="8"/>
      <c r="D434" s="8"/>
      <c r="E434" s="7"/>
      <c r="F434" s="7"/>
      <c r="G434" s="7"/>
      <c r="H434" s="7"/>
      <c r="I434" s="7"/>
      <c r="J434" s="7"/>
      <c r="K434" s="7"/>
    </row>
    <row r="435" spans="1:19">
      <c r="A435" s="7"/>
      <c r="B435" s="8">
        <v>1.4028471761352286</v>
      </c>
      <c r="C435" s="8">
        <v>-0.814665459345566</v>
      </c>
      <c r="D435" s="8">
        <v>-0.7195871750303805</v>
      </c>
      <c r="E435" s="7">
        <v>-1.4990516053215155E-2</v>
      </c>
      <c r="F435" s="8">
        <v>0</v>
      </c>
      <c r="G435" s="8">
        <v>0</v>
      </c>
      <c r="H435" s="33">
        <v>0</v>
      </c>
      <c r="I435" s="7">
        <v>0</v>
      </c>
      <c r="J435" s="7">
        <v>0</v>
      </c>
      <c r="K435" s="7">
        <v>0</v>
      </c>
      <c r="M435">
        <f t="shared" ref="M435" si="321">MDETERM(B435:D437)</f>
        <v>-1.4486721475840942</v>
      </c>
      <c r="N435">
        <f t="shared" ref="N435" si="322">MDETERM(E435:G437)</f>
        <v>-3.3686023826032914E-6</v>
      </c>
      <c r="P435">
        <f t="array" ref="P435:R437">SVDD(B435:D437)</f>
        <v>2.5448790443588063</v>
      </c>
      <c r="Q435">
        <v>0</v>
      </c>
      <c r="R435">
        <v>0</v>
      </c>
      <c r="S435" s="3">
        <f t="shared" ref="S435" si="323">MAX(P435,Q436,R437)/MIN(P435,Q436,R437)</f>
        <v>7.5591544987062864</v>
      </c>
    </row>
    <row r="436" spans="1:19">
      <c r="A436" s="7" t="s">
        <v>124</v>
      </c>
      <c r="B436" s="8">
        <v>0.14897154656832046</v>
      </c>
      <c r="C436" s="8">
        <v>-0.84725762547333594</v>
      </c>
      <c r="D436" s="8">
        <v>1.9759438806851826E-2</v>
      </c>
      <c r="E436" s="7">
        <v>0</v>
      </c>
      <c r="F436" s="7">
        <v>-1.4990516053215155E-2</v>
      </c>
      <c r="G436" s="8">
        <v>0</v>
      </c>
      <c r="H436" s="8">
        <v>0</v>
      </c>
      <c r="I436" s="33">
        <v>0</v>
      </c>
      <c r="J436" s="7">
        <v>0</v>
      </c>
      <c r="K436" s="7">
        <v>0</v>
      </c>
      <c r="P436">
        <v>0</v>
      </c>
      <c r="Q436">
        <v>1.6908654146230595</v>
      </c>
      <c r="R436">
        <v>0</v>
      </c>
    </row>
    <row r="437" spans="1:19">
      <c r="A437" s="7"/>
      <c r="B437" s="8">
        <v>1.9865190328797109</v>
      </c>
      <c r="C437" s="8">
        <v>1.2694850305255347</v>
      </c>
      <c r="D437" s="8">
        <v>3.2127045366234341E-2</v>
      </c>
      <c r="E437" s="7">
        <v>0</v>
      </c>
      <c r="F437" s="8">
        <v>0</v>
      </c>
      <c r="G437" s="7">
        <v>-1.4990516053215155E-2</v>
      </c>
      <c r="H437" s="8">
        <v>0</v>
      </c>
      <c r="I437" s="8">
        <v>0</v>
      </c>
      <c r="J437" s="33">
        <v>0</v>
      </c>
      <c r="K437" s="33">
        <v>0</v>
      </c>
      <c r="P437">
        <v>0</v>
      </c>
      <c r="Q437">
        <v>0</v>
      </c>
      <c r="R437">
        <v>0.33666186407413029</v>
      </c>
    </row>
    <row r="438" spans="1:19">
      <c r="A438" s="7"/>
      <c r="B438" s="8"/>
      <c r="C438" s="8"/>
      <c r="D438" s="8"/>
      <c r="E438" s="7"/>
      <c r="F438" s="7"/>
      <c r="G438" s="7"/>
      <c r="H438" s="7"/>
      <c r="I438" s="7"/>
      <c r="J438" s="7"/>
      <c r="K438" s="7"/>
    </row>
    <row r="439" spans="1:19">
      <c r="A439" s="7"/>
      <c r="B439" s="8">
        <v>1.4028471761352286</v>
      </c>
      <c r="C439" s="8">
        <v>-0.814665459345566</v>
      </c>
      <c r="D439" s="8">
        <v>-0.7195871750303805</v>
      </c>
      <c r="E439" s="7">
        <v>-1.4990516053215155E-2</v>
      </c>
      <c r="F439" s="8">
        <v>0</v>
      </c>
      <c r="G439" s="8">
        <v>0</v>
      </c>
      <c r="H439" s="33">
        <v>0</v>
      </c>
      <c r="I439" s="7">
        <v>0</v>
      </c>
      <c r="J439" s="7">
        <v>0</v>
      </c>
      <c r="K439" s="7">
        <v>0</v>
      </c>
      <c r="M439">
        <f t="shared" ref="M439" si="324">MDETERM(B439:D441)</f>
        <v>-0.37135180285820096</v>
      </c>
      <c r="N439">
        <f t="shared" ref="N439" si="325">MDETERM(E439:G441)</f>
        <v>-3.3686023826032914E-6</v>
      </c>
      <c r="P439">
        <f t="array" ref="P439:R441">SVDD(B439:D441)</f>
        <v>2.3271767913680312</v>
      </c>
      <c r="Q439">
        <v>0</v>
      </c>
      <c r="R439">
        <v>0</v>
      </c>
      <c r="S439" s="3">
        <f t="shared" ref="S439" si="326">MAX(P439,Q440,R441)/MIN(P439,Q440,R441)</f>
        <v>26.099112239465395</v>
      </c>
    </row>
    <row r="440" spans="1:19">
      <c r="A440" s="7" t="s">
        <v>125</v>
      </c>
      <c r="B440" s="8">
        <v>0.14897154656832046</v>
      </c>
      <c r="C440" s="8">
        <v>-0.84725762547333594</v>
      </c>
      <c r="D440" s="8">
        <v>1.9759438806851826E-2</v>
      </c>
      <c r="E440" s="7">
        <v>0</v>
      </c>
      <c r="F440" s="7">
        <v>-1.4990516053215155E-2</v>
      </c>
      <c r="G440" s="8">
        <v>0</v>
      </c>
      <c r="H440" s="8">
        <v>0</v>
      </c>
      <c r="I440" s="33">
        <v>0</v>
      </c>
      <c r="J440" s="7">
        <v>0</v>
      </c>
      <c r="K440" s="7">
        <v>0</v>
      </c>
      <c r="P440">
        <v>0</v>
      </c>
      <c r="Q440">
        <v>1.7895857691275263</v>
      </c>
      <c r="R440">
        <v>0</v>
      </c>
    </row>
    <row r="441" spans="1:19">
      <c r="A441" s="7"/>
      <c r="B441" s="8">
        <v>1.3773893306068323</v>
      </c>
      <c r="C441" s="8">
        <v>1.5521003879162059</v>
      </c>
      <c r="D441" s="8">
        <v>-0.65590292152571228</v>
      </c>
      <c r="E441" s="7">
        <v>0</v>
      </c>
      <c r="F441" s="8">
        <v>0</v>
      </c>
      <c r="G441" s="7">
        <v>-1.4990516053215155E-2</v>
      </c>
      <c r="H441" s="8">
        <v>0</v>
      </c>
      <c r="I441" s="8">
        <v>0</v>
      </c>
      <c r="J441" s="33">
        <v>0</v>
      </c>
      <c r="K441" s="33">
        <v>0</v>
      </c>
      <c r="P441">
        <v>0</v>
      </c>
      <c r="Q441">
        <v>0</v>
      </c>
      <c r="R441">
        <v>8.9166894644371261E-2</v>
      </c>
    </row>
    <row r="442" spans="1:19">
      <c r="A442" s="7"/>
      <c r="B442" s="8"/>
      <c r="C442" s="8"/>
      <c r="D442" s="8"/>
      <c r="E442" s="7"/>
      <c r="F442" s="7"/>
      <c r="G442" s="7"/>
      <c r="H442" s="7"/>
      <c r="I442" s="7"/>
      <c r="J442" s="7"/>
      <c r="K442" s="7"/>
    </row>
    <row r="443" spans="1:19">
      <c r="A443" s="7"/>
      <c r="B443" s="8">
        <v>1.4028471761352286</v>
      </c>
      <c r="C443" s="8">
        <v>-0.814665459345566</v>
      </c>
      <c r="D443" s="8">
        <v>-0.7195871750303805</v>
      </c>
      <c r="E443" s="7">
        <v>-1.4990516053215155E-2</v>
      </c>
      <c r="F443" s="8">
        <v>0</v>
      </c>
      <c r="G443" s="8">
        <v>0</v>
      </c>
      <c r="H443" s="33">
        <v>-2.2385887789414392E-2</v>
      </c>
      <c r="I443" s="7">
        <v>2.1796664656245589E-2</v>
      </c>
      <c r="J443" s="7">
        <v>0</v>
      </c>
      <c r="K443" s="7">
        <v>0</v>
      </c>
      <c r="M443">
        <f t="shared" ref="M443" si="327">MDETERM(B443:D445)</f>
        <v>-2.2377131614660728</v>
      </c>
      <c r="N443">
        <f t="shared" ref="N443" si="328">MDETERM(E443:G445)</f>
        <v>-3.3686023826032914E-6</v>
      </c>
      <c r="P443">
        <f t="array" ref="P443:R445">SVDD(B443:D445)</f>
        <v>4.0644144803502593</v>
      </c>
      <c r="Q443">
        <v>0</v>
      </c>
      <c r="R443">
        <v>0</v>
      </c>
      <c r="S443" s="3">
        <f t="shared" ref="S443" si="329">MAX(P443,Q444,R445)/MIN(P443,Q444,R445)</f>
        <v>8.2529665998791568</v>
      </c>
    </row>
    <row r="444" spans="1:19">
      <c r="A444" s="7" t="s">
        <v>126</v>
      </c>
      <c r="B444" s="8">
        <v>2.44475956514645</v>
      </c>
      <c r="C444" s="8">
        <v>-0.85548399177677847</v>
      </c>
      <c r="D444" s="8">
        <v>5.2896656816179721E-2</v>
      </c>
      <c r="E444" s="7">
        <v>0</v>
      </c>
      <c r="F444" s="7">
        <v>-1.4990516053215155E-2</v>
      </c>
      <c r="G444" s="8">
        <v>0</v>
      </c>
      <c r="H444" s="8">
        <v>-2.2385887789414392E-2</v>
      </c>
      <c r="I444" s="33">
        <v>0</v>
      </c>
      <c r="J444" s="7">
        <v>2.2872089329671663E-2</v>
      </c>
      <c r="K444" s="7">
        <v>0</v>
      </c>
      <c r="P444">
        <v>0</v>
      </c>
      <c r="Q444">
        <v>1.1179400728521878</v>
      </c>
      <c r="R444">
        <v>0</v>
      </c>
    </row>
    <row r="445" spans="1:19">
      <c r="A445" s="7"/>
      <c r="B445" s="8">
        <v>2.8449497700634536</v>
      </c>
      <c r="C445" s="8">
        <v>0.22852225552422287</v>
      </c>
      <c r="D445" s="8">
        <v>6.9737163040410666E-2</v>
      </c>
      <c r="E445" s="7">
        <v>0</v>
      </c>
      <c r="F445" s="8">
        <v>0</v>
      </c>
      <c r="G445" s="7">
        <v>-1.4990516053215155E-2</v>
      </c>
      <c r="H445" s="8">
        <v>-2.2385887789414392E-2</v>
      </c>
      <c r="I445" s="8">
        <v>0</v>
      </c>
      <c r="J445" s="33">
        <v>0</v>
      </c>
      <c r="K445" s="33">
        <v>1.6236379226863738E-2</v>
      </c>
      <c r="P445">
        <v>0</v>
      </c>
      <c r="Q445">
        <v>0</v>
      </c>
      <c r="R445">
        <v>0.49247921110086307</v>
      </c>
    </row>
    <row r="446" spans="1:19">
      <c r="A446" s="7"/>
      <c r="B446" s="8"/>
      <c r="C446" s="8"/>
      <c r="D446" s="8"/>
      <c r="E446" s="7"/>
      <c r="F446" s="7"/>
      <c r="G446" s="7"/>
      <c r="H446" s="7"/>
      <c r="I446" s="7"/>
      <c r="J446" s="7"/>
      <c r="K446" s="7"/>
    </row>
    <row r="447" spans="1:19">
      <c r="A447" s="7"/>
      <c r="B447" s="8">
        <v>1.4028471761352286</v>
      </c>
      <c r="C447" s="8">
        <v>-0.814665459345566</v>
      </c>
      <c r="D447" s="8">
        <v>-0.7195871750303805</v>
      </c>
      <c r="E447" s="7">
        <v>-1.4990516053215155E-2</v>
      </c>
      <c r="F447" s="8">
        <v>0</v>
      </c>
      <c r="G447" s="8">
        <v>0</v>
      </c>
      <c r="H447" s="33">
        <v>-2.2385887789414392E-2</v>
      </c>
      <c r="I447" s="7">
        <v>2.1796664656245589E-2</v>
      </c>
      <c r="J447" s="7">
        <v>0</v>
      </c>
      <c r="K447" s="7">
        <v>0</v>
      </c>
      <c r="M447">
        <f t="shared" ref="M447" si="330">MDETERM(B447:D449)</f>
        <v>-2.5189070742544719</v>
      </c>
      <c r="N447">
        <f t="shared" ref="N447" si="331">MDETERM(E447:G449)</f>
        <v>-3.3686023826032914E-6</v>
      </c>
      <c r="P447">
        <f t="array" ref="P447:R449">SVDD(B447:D449)</f>
        <v>3.0697225356387325</v>
      </c>
      <c r="Q447">
        <v>0</v>
      </c>
      <c r="R447">
        <v>0</v>
      </c>
      <c r="S447" s="3">
        <f t="shared" ref="S447" si="332">MAX(P447,Q448,R449)/MIN(P447,Q448,R449)</f>
        <v>5.1437331426071831</v>
      </c>
    </row>
    <row r="448" spans="1:19">
      <c r="A448" s="7" t="s">
        <v>127</v>
      </c>
      <c r="B448" s="8">
        <v>2.44475956514645</v>
      </c>
      <c r="C448" s="8">
        <v>-0.85548399177677847</v>
      </c>
      <c r="D448" s="8">
        <v>5.2896656816179721E-2</v>
      </c>
      <c r="E448" s="7">
        <v>0</v>
      </c>
      <c r="F448" s="7">
        <v>-1.4990516053215155E-2</v>
      </c>
      <c r="G448" s="8">
        <v>0</v>
      </c>
      <c r="H448" s="8">
        <v>-2.2385887789414392E-2</v>
      </c>
      <c r="I448" s="33">
        <v>0</v>
      </c>
      <c r="J448" s="7">
        <v>2.2872089329671663E-2</v>
      </c>
      <c r="K448" s="7">
        <v>0</v>
      </c>
      <c r="P448">
        <v>0</v>
      </c>
      <c r="Q448">
        <v>1.3749671754698374</v>
      </c>
      <c r="R448">
        <v>0</v>
      </c>
    </row>
    <row r="449" spans="1:19">
      <c r="A449" s="7"/>
      <c r="B449" s="8">
        <v>0.36768865949079377</v>
      </c>
      <c r="C449" s="8">
        <v>1.2890795247765441</v>
      </c>
      <c r="D449" s="8">
        <v>0.10954983766095538</v>
      </c>
      <c r="E449" s="7">
        <v>0</v>
      </c>
      <c r="F449" s="8">
        <v>0</v>
      </c>
      <c r="G449" s="7">
        <v>-1.4990516053215155E-2</v>
      </c>
      <c r="H449" s="8">
        <v>-2.2385887789414392E-2</v>
      </c>
      <c r="I449" s="8">
        <v>0</v>
      </c>
      <c r="J449" s="33">
        <v>0</v>
      </c>
      <c r="K449" s="33">
        <v>1.5970575730977998E-2</v>
      </c>
      <c r="P449">
        <v>0</v>
      </c>
      <c r="Q449">
        <v>0</v>
      </c>
      <c r="R449">
        <v>0.59678884003745081</v>
      </c>
    </row>
    <row r="450" spans="1:19">
      <c r="A450" s="7"/>
      <c r="B450" s="8"/>
      <c r="C450" s="8"/>
      <c r="D450" s="8"/>
      <c r="E450" s="7"/>
      <c r="F450" s="7"/>
      <c r="G450" s="7"/>
      <c r="H450" s="7"/>
      <c r="I450" s="7"/>
      <c r="J450" s="7"/>
      <c r="K450" s="7"/>
    </row>
    <row r="451" spans="1:19">
      <c r="A451" s="7"/>
      <c r="B451" s="8">
        <v>1.4028471761352286</v>
      </c>
      <c r="C451" s="8">
        <v>-0.814665459345566</v>
      </c>
      <c r="D451" s="8">
        <v>-0.7195871750303805</v>
      </c>
      <c r="E451" s="7">
        <v>-1.4990516053215155E-2</v>
      </c>
      <c r="F451" s="8">
        <v>0</v>
      </c>
      <c r="G451" s="8">
        <v>0</v>
      </c>
      <c r="H451" s="33">
        <v>0</v>
      </c>
      <c r="I451" s="7">
        <v>0</v>
      </c>
      <c r="J451" s="7">
        <v>0</v>
      </c>
      <c r="K451" s="7">
        <v>0</v>
      </c>
      <c r="M451">
        <f t="shared" ref="M451" si="333">MDETERM(B451:D453)</f>
        <v>-3.6105706827739756</v>
      </c>
      <c r="N451">
        <f t="shared" ref="N451" si="334">MDETERM(E451:G453)</f>
        <v>-3.3686023826032914E-6</v>
      </c>
      <c r="P451">
        <f t="array" ref="P451:R453">SVDD(B451:D453)</f>
        <v>3.4658884447027165</v>
      </c>
      <c r="Q451">
        <v>0</v>
      </c>
      <c r="R451">
        <v>0</v>
      </c>
      <c r="S451" s="3">
        <f t="shared" ref="S451" si="335">MAX(P451,Q452,R453)/MIN(P451,Q452,R453)</f>
        <v>5.8121432217475695</v>
      </c>
    </row>
    <row r="452" spans="1:19">
      <c r="A452" s="7" t="s">
        <v>128</v>
      </c>
      <c r="B452" s="8">
        <v>2.44475956514645</v>
      </c>
      <c r="C452" s="8">
        <v>-0.85548399177677847</v>
      </c>
      <c r="D452" s="8">
        <v>5.2896656816179721E-2</v>
      </c>
      <c r="E452" s="7">
        <v>0</v>
      </c>
      <c r="F452" s="7">
        <v>-1.4990516053215155E-2</v>
      </c>
      <c r="G452" s="8">
        <v>0</v>
      </c>
      <c r="H452" s="8">
        <v>0</v>
      </c>
      <c r="I452" s="33">
        <v>0</v>
      </c>
      <c r="J452" s="7">
        <v>0</v>
      </c>
      <c r="K452" s="7">
        <v>0</v>
      </c>
      <c r="P452">
        <v>0</v>
      </c>
      <c r="Q452">
        <v>1.7469601514687334</v>
      </c>
      <c r="R452">
        <v>0</v>
      </c>
    </row>
    <row r="453" spans="1:19">
      <c r="A453" s="7"/>
      <c r="B453" s="8">
        <v>1.9865190328797109</v>
      </c>
      <c r="C453" s="8">
        <v>1.2694850305255347</v>
      </c>
      <c r="D453" s="8">
        <v>3.2127045366234341E-2</v>
      </c>
      <c r="E453" s="7">
        <v>0</v>
      </c>
      <c r="F453" s="8">
        <v>0</v>
      </c>
      <c r="G453" s="7">
        <v>-1.4990516053215155E-2</v>
      </c>
      <c r="H453" s="8">
        <v>0</v>
      </c>
      <c r="I453" s="8">
        <v>0</v>
      </c>
      <c r="J453" s="33">
        <v>0</v>
      </c>
      <c r="K453" s="33">
        <v>0</v>
      </c>
      <c r="P453">
        <v>0</v>
      </c>
      <c r="Q453">
        <v>0</v>
      </c>
      <c r="R453">
        <v>0.59631848570665613</v>
      </c>
    </row>
    <row r="454" spans="1:19">
      <c r="A454" s="7"/>
      <c r="B454" s="8"/>
      <c r="C454" s="8"/>
      <c r="D454" s="8"/>
      <c r="E454" s="7"/>
      <c r="F454" s="7"/>
      <c r="G454" s="7"/>
      <c r="H454" s="7"/>
      <c r="I454" s="7"/>
      <c r="J454" s="7"/>
      <c r="K454" s="7"/>
    </row>
    <row r="455" spans="1:19">
      <c r="A455" s="7"/>
      <c r="B455" s="8">
        <v>1.4028471761352286</v>
      </c>
      <c r="C455" s="8">
        <v>-0.814665459345566</v>
      </c>
      <c r="D455" s="8">
        <v>-0.7195871750303805</v>
      </c>
      <c r="E455" s="7">
        <v>-1.4990516053215155E-2</v>
      </c>
      <c r="F455" s="8">
        <v>0</v>
      </c>
      <c r="G455" s="8">
        <v>0</v>
      </c>
      <c r="H455" s="33">
        <v>-2.2385887789414392E-2</v>
      </c>
      <c r="I455" s="7">
        <v>2.1796664656245589E-2</v>
      </c>
      <c r="J455" s="7">
        <v>0</v>
      </c>
      <c r="K455" s="7">
        <v>0</v>
      </c>
      <c r="M455">
        <f t="shared" ref="M455" si="336">MDETERM(B455:D457)</f>
        <v>-4.2721063303758733</v>
      </c>
      <c r="N455">
        <f t="shared" ref="N455" si="337">MDETERM(E455:G457)</f>
        <v>-3.3686023826032914E-6</v>
      </c>
      <c r="P455">
        <f t="array" ref="P455:R457">SVDD(B455:D457)</f>
        <v>3.2150312761623865</v>
      </c>
      <c r="Q455">
        <v>0</v>
      </c>
      <c r="R455">
        <v>0</v>
      </c>
      <c r="S455" s="3">
        <f t="shared" ref="S455" si="338">MAX(P455,Q456,R457)/MIN(P455,Q456,R457)</f>
        <v>4.7138939593144054</v>
      </c>
    </row>
    <row r="456" spans="1:19">
      <c r="A456" s="7" t="s">
        <v>129</v>
      </c>
      <c r="B456" s="8">
        <v>2.44475956514645</v>
      </c>
      <c r="C456" s="8">
        <v>-0.85548399177677847</v>
      </c>
      <c r="D456" s="8">
        <v>5.2896656816179721E-2</v>
      </c>
      <c r="E456" s="7">
        <v>0</v>
      </c>
      <c r="F456" s="7">
        <v>-1.4990516053215155E-2</v>
      </c>
      <c r="G456" s="8">
        <v>0</v>
      </c>
      <c r="H456" s="8">
        <v>-2.2385887789414392E-2</v>
      </c>
      <c r="I456" s="33">
        <v>0</v>
      </c>
      <c r="J456" s="7">
        <v>2.2872089329671663E-2</v>
      </c>
      <c r="K456" s="7">
        <v>0</v>
      </c>
      <c r="P456">
        <v>0</v>
      </c>
      <c r="Q456">
        <v>1.9482803839955478</v>
      </c>
      <c r="R456">
        <v>0</v>
      </c>
    </row>
    <row r="457" spans="1:19">
      <c r="A457" s="7"/>
      <c r="B457" s="8">
        <v>1.3773893306068323</v>
      </c>
      <c r="C457" s="8">
        <v>1.5521003879162059</v>
      </c>
      <c r="D457" s="8">
        <v>-0.65590292152571228</v>
      </c>
      <c r="E457" s="7">
        <v>0</v>
      </c>
      <c r="F457" s="8">
        <v>0</v>
      </c>
      <c r="G457" s="7">
        <v>-1.4990516053215155E-2</v>
      </c>
      <c r="H457" s="8">
        <v>-2.2385887789414392E-2</v>
      </c>
      <c r="I457" s="8">
        <v>0</v>
      </c>
      <c r="J457" s="33">
        <v>0</v>
      </c>
      <c r="K457" s="33">
        <v>2.0521745021313972E-2</v>
      </c>
      <c r="P457">
        <v>0</v>
      </c>
      <c r="Q457">
        <v>0</v>
      </c>
      <c r="R457">
        <v>0.68203300793596655</v>
      </c>
    </row>
    <row r="458" spans="1:19">
      <c r="A458" s="7"/>
      <c r="B458" s="8"/>
      <c r="C458" s="8"/>
      <c r="D458" s="8"/>
      <c r="E458" s="7"/>
      <c r="F458" s="7"/>
      <c r="G458" s="7"/>
      <c r="H458" s="7"/>
      <c r="I458" s="7"/>
      <c r="J458" s="7"/>
      <c r="K458" s="7"/>
    </row>
    <row r="459" spans="1:19">
      <c r="A459" s="7"/>
      <c r="B459" s="8">
        <v>1.4028471761352286</v>
      </c>
      <c r="C459" s="8">
        <v>-0.814665459345566</v>
      </c>
      <c r="D459" s="8">
        <v>-0.7195871750303805</v>
      </c>
      <c r="E459" s="7">
        <v>-1.4990516053215155E-2</v>
      </c>
      <c r="F459" s="8">
        <v>0</v>
      </c>
      <c r="G459" s="8">
        <v>0</v>
      </c>
      <c r="H459" s="33">
        <v>-2.2385887789414392E-2</v>
      </c>
      <c r="I459" s="7">
        <v>2.1796664656245589E-2</v>
      </c>
      <c r="J459" s="7">
        <v>0</v>
      </c>
      <c r="K459" s="7">
        <v>0</v>
      </c>
      <c r="M459">
        <f t="shared" ref="M459" si="339">MDETERM(B459:D461)</f>
        <v>-2.4365058471453387</v>
      </c>
      <c r="N459">
        <f t="shared" ref="N459" si="340">MDETERM(E459:G461)</f>
        <v>-3.3686023826032914E-6</v>
      </c>
      <c r="P459">
        <f t="array" ref="P459:R461">SVDD(B459:D461)</f>
        <v>3.2029334682930499</v>
      </c>
      <c r="Q459">
        <v>0</v>
      </c>
      <c r="R459">
        <v>0</v>
      </c>
      <c r="S459" s="3">
        <f t="shared" ref="S459" si="341">MAX(P459,Q460,R461)/MIN(P459,Q460,R461)</f>
        <v>6.8287657968734292</v>
      </c>
    </row>
    <row r="460" spans="1:19">
      <c r="A460" s="7" t="s">
        <v>130</v>
      </c>
      <c r="B460" s="8">
        <v>2.8449497700634536</v>
      </c>
      <c r="C460" s="8">
        <v>0.22852225552422287</v>
      </c>
      <c r="D460" s="8">
        <v>6.9737163040410666E-2</v>
      </c>
      <c r="E460" s="7">
        <v>0</v>
      </c>
      <c r="F460" s="7">
        <v>-1.4990516053215155E-2</v>
      </c>
      <c r="G460" s="8">
        <v>0</v>
      </c>
      <c r="H460" s="8">
        <v>-2.2385887789414392E-2</v>
      </c>
      <c r="I460" s="33">
        <v>0</v>
      </c>
      <c r="J460" s="7">
        <v>1.6236379226863738E-2</v>
      </c>
      <c r="K460" s="7">
        <v>0</v>
      </c>
      <c r="P460">
        <v>0</v>
      </c>
      <c r="Q460">
        <v>1.621861785505283</v>
      </c>
      <c r="R460">
        <v>0</v>
      </c>
    </row>
    <row r="461" spans="1:19">
      <c r="A461" s="7"/>
      <c r="B461" s="8">
        <v>0.36768865949079377</v>
      </c>
      <c r="C461" s="8">
        <v>1.2890795247765441</v>
      </c>
      <c r="D461" s="8">
        <v>0.10954983766095538</v>
      </c>
      <c r="E461" s="7">
        <v>0</v>
      </c>
      <c r="F461" s="8">
        <v>0</v>
      </c>
      <c r="G461" s="7">
        <v>-1.4990516053215155E-2</v>
      </c>
      <c r="H461" s="8">
        <v>-2.2385887789414392E-2</v>
      </c>
      <c r="I461" s="8">
        <v>0</v>
      </c>
      <c r="J461" s="33">
        <v>0</v>
      </c>
      <c r="K461" s="33">
        <v>1.5970575730977998E-2</v>
      </c>
      <c r="P461">
        <v>0</v>
      </c>
      <c r="Q461">
        <v>0</v>
      </c>
      <c r="R461">
        <v>0.46903548365350628</v>
      </c>
    </row>
    <row r="462" spans="1:19">
      <c r="A462" s="7"/>
      <c r="B462" s="8"/>
      <c r="C462" s="8"/>
      <c r="D462" s="8"/>
      <c r="E462" s="7"/>
      <c r="F462" s="7"/>
      <c r="G462" s="7"/>
      <c r="H462" s="7"/>
      <c r="I462" s="7"/>
      <c r="J462" s="7"/>
      <c r="K462" s="7"/>
    </row>
    <row r="463" spans="1:19">
      <c r="A463" s="7"/>
      <c r="B463" s="8">
        <v>1.4028471761352286</v>
      </c>
      <c r="C463" s="8">
        <v>-0.814665459345566</v>
      </c>
      <c r="D463" s="8">
        <v>-0.7195871750303805</v>
      </c>
      <c r="E463" s="7">
        <v>-1.4990516053215155E-2</v>
      </c>
      <c r="F463" s="8">
        <v>0</v>
      </c>
      <c r="G463" s="8">
        <v>0</v>
      </c>
      <c r="H463" s="33">
        <v>0</v>
      </c>
      <c r="I463" s="7">
        <v>0</v>
      </c>
      <c r="J463" s="7">
        <v>0</v>
      </c>
      <c r="K463" s="7">
        <v>0</v>
      </c>
      <c r="M463">
        <f t="shared" ref="M463" si="342">MDETERM(B463:D465)</f>
        <v>-2.4245035797929879</v>
      </c>
      <c r="N463">
        <f t="shared" ref="N463" si="343">MDETERM(E463:G465)</f>
        <v>-3.3686023826032914E-6</v>
      </c>
      <c r="P463">
        <f t="array" ref="P463:R465">SVDD(B463:D465)</f>
        <v>3.7919871303405759</v>
      </c>
      <c r="Q463">
        <v>0</v>
      </c>
      <c r="R463">
        <v>0</v>
      </c>
      <c r="S463" s="3">
        <f t="shared" ref="S463" si="344">MAX(P463,Q464,R465)/MIN(P463,Q464,R465)</f>
        <v>8.9992558577730577</v>
      </c>
    </row>
    <row r="464" spans="1:19">
      <c r="A464" s="7" t="s">
        <v>131</v>
      </c>
      <c r="B464" s="8">
        <v>2.8449497700634536</v>
      </c>
      <c r="C464" s="8">
        <v>0.22852225552422287</v>
      </c>
      <c r="D464" s="8">
        <v>6.9737163040410666E-2</v>
      </c>
      <c r="E464" s="7">
        <v>0</v>
      </c>
      <c r="F464" s="7">
        <v>-1.4990516053215155E-2</v>
      </c>
      <c r="G464" s="8">
        <v>0</v>
      </c>
      <c r="H464" s="8">
        <v>0</v>
      </c>
      <c r="I464" s="33">
        <v>0</v>
      </c>
      <c r="J464" s="7">
        <v>0</v>
      </c>
      <c r="K464" s="7">
        <v>0</v>
      </c>
      <c r="P464">
        <v>0</v>
      </c>
      <c r="Q464">
        <v>1.5173847663171118</v>
      </c>
      <c r="R464">
        <v>0</v>
      </c>
    </row>
    <row r="465" spans="1:19">
      <c r="A465" s="7"/>
      <c r="B465" s="8">
        <v>1.9865190328797109</v>
      </c>
      <c r="C465" s="8">
        <v>1.2694850305255347</v>
      </c>
      <c r="D465" s="8">
        <v>3.2127045366234341E-2</v>
      </c>
      <c r="E465" s="7">
        <v>0</v>
      </c>
      <c r="F465" s="8">
        <v>0</v>
      </c>
      <c r="G465" s="7">
        <v>-1.4990516053215155E-2</v>
      </c>
      <c r="H465" s="8">
        <v>0</v>
      </c>
      <c r="I465" s="8">
        <v>0</v>
      </c>
      <c r="J465" s="33">
        <v>0</v>
      </c>
      <c r="K465" s="33">
        <v>0</v>
      </c>
      <c r="P465">
        <v>0</v>
      </c>
      <c r="Q465">
        <v>0</v>
      </c>
      <c r="R465">
        <v>0.42136674301412019</v>
      </c>
    </row>
    <row r="466" spans="1:19">
      <c r="A466" s="7"/>
      <c r="B466" s="8"/>
      <c r="C466" s="8"/>
      <c r="D466" s="8"/>
      <c r="E466" s="7"/>
      <c r="F466" s="7"/>
      <c r="G466" s="7"/>
      <c r="H466" s="7"/>
      <c r="I466" s="7"/>
      <c r="J466" s="7"/>
      <c r="K466" s="7"/>
    </row>
    <row r="467" spans="1:19">
      <c r="A467" s="7"/>
      <c r="B467" s="8">
        <v>1.4028471761352286</v>
      </c>
      <c r="C467" s="8">
        <v>-0.814665459345566</v>
      </c>
      <c r="D467" s="8">
        <v>-0.7195871750303805</v>
      </c>
      <c r="E467" s="7">
        <v>-1.4990516053215155E-2</v>
      </c>
      <c r="F467" s="8">
        <v>0</v>
      </c>
      <c r="G467" s="8">
        <v>0</v>
      </c>
      <c r="H467" s="33">
        <v>-2.2385887789414392E-2</v>
      </c>
      <c r="I467" s="7">
        <v>2.1796664656245589E-2</v>
      </c>
      <c r="J467" s="7">
        <v>0</v>
      </c>
      <c r="K467" s="7">
        <v>0</v>
      </c>
      <c r="M467">
        <f t="shared" ref="M467" si="345">MDETERM(B467:D469)</f>
        <v>-4.9114840879606803</v>
      </c>
      <c r="N467">
        <f t="shared" ref="N467" si="346">MDETERM(E467:G469)</f>
        <v>-3.3686023826032914E-6</v>
      </c>
      <c r="P467">
        <f t="array" ref="P467:R469">SVDD(B467:D469)</f>
        <v>3.5388432143614454</v>
      </c>
      <c r="Q467">
        <v>0</v>
      </c>
      <c r="R467">
        <v>0</v>
      </c>
      <c r="S467" s="3">
        <f t="shared" ref="S467" si="347">MAX(P467,Q468,R469)/MIN(P467,Q468,R469)</f>
        <v>4.292123906712999</v>
      </c>
    </row>
    <row r="468" spans="1:19">
      <c r="A468" s="7" t="s">
        <v>132</v>
      </c>
      <c r="B468" s="8">
        <v>2.8449497700634536</v>
      </c>
      <c r="C468" s="8">
        <v>0.22852225552422287</v>
      </c>
      <c r="D468" s="8">
        <v>6.9737163040410666E-2</v>
      </c>
      <c r="E468" s="7">
        <v>0</v>
      </c>
      <c r="F468" s="7">
        <v>-1.4990516053215155E-2</v>
      </c>
      <c r="G468" s="8">
        <v>0</v>
      </c>
      <c r="H468" s="8">
        <v>-2.2385887789414392E-2</v>
      </c>
      <c r="I468" s="33">
        <v>0</v>
      </c>
      <c r="J468" s="7">
        <v>1.6236379226863738E-2</v>
      </c>
      <c r="K468" s="7">
        <v>0</v>
      </c>
      <c r="P468">
        <v>0</v>
      </c>
      <c r="Q468">
        <v>1.683303196980559</v>
      </c>
      <c r="R468">
        <v>0</v>
      </c>
    </row>
    <row r="469" spans="1:19">
      <c r="A469" s="7"/>
      <c r="B469" s="8">
        <v>1.3773893306068323</v>
      </c>
      <c r="C469" s="8">
        <v>1.5521003879162059</v>
      </c>
      <c r="D469" s="8">
        <v>-0.65590292152571228</v>
      </c>
      <c r="E469" s="7">
        <v>0</v>
      </c>
      <c r="F469" s="8">
        <v>0</v>
      </c>
      <c r="G469" s="7">
        <v>-1.4990516053215155E-2</v>
      </c>
      <c r="H469" s="8">
        <v>-2.2385887789414392E-2</v>
      </c>
      <c r="I469" s="8">
        <v>0</v>
      </c>
      <c r="J469" s="33">
        <v>0</v>
      </c>
      <c r="K469" s="33">
        <v>2.0521745021313972E-2</v>
      </c>
      <c r="P469">
        <v>0</v>
      </c>
      <c r="Q469">
        <v>0</v>
      </c>
      <c r="R469">
        <v>0.82449698360911672</v>
      </c>
    </row>
    <row r="470" spans="1:19">
      <c r="A470" s="7"/>
      <c r="B470" s="8"/>
      <c r="C470" s="8"/>
      <c r="D470" s="8"/>
      <c r="E470" s="7"/>
      <c r="F470" s="7"/>
      <c r="G470" s="7"/>
      <c r="H470" s="7"/>
      <c r="I470" s="7"/>
      <c r="J470" s="7"/>
      <c r="K470" s="7"/>
    </row>
    <row r="471" spans="1:19">
      <c r="A471" s="7"/>
      <c r="B471" s="8">
        <v>1.4028471761352286</v>
      </c>
      <c r="C471" s="8">
        <v>-0.814665459345566</v>
      </c>
      <c r="D471" s="8">
        <v>-0.7195871750303805</v>
      </c>
      <c r="E471" s="7">
        <v>-1.4990516053215155E-2</v>
      </c>
      <c r="F471" s="8">
        <v>0</v>
      </c>
      <c r="G471" s="8">
        <v>0</v>
      </c>
      <c r="H471" s="33">
        <v>0</v>
      </c>
      <c r="I471" s="7">
        <v>0</v>
      </c>
      <c r="J471" s="7">
        <v>0</v>
      </c>
      <c r="K471" s="7">
        <v>0</v>
      </c>
      <c r="M471">
        <f t="shared" ref="M471" si="348">MDETERM(B471:D473)</f>
        <v>1.2021546853002525</v>
      </c>
      <c r="N471">
        <f t="shared" ref="N471" si="349">MDETERM(E471:G473)</f>
        <v>-3.3686023826032914E-6</v>
      </c>
      <c r="P471">
        <f t="array" ref="P471:R473">SVDD(B471:D473)</f>
        <v>2.6741313081209457</v>
      </c>
      <c r="Q471">
        <v>0</v>
      </c>
      <c r="R471">
        <v>0</v>
      </c>
      <c r="S471" s="3">
        <f t="shared" ref="S471" si="350">MAX(P471,Q472,R473)/MIN(P471,Q472,R473)</f>
        <v>10.814350744949346</v>
      </c>
    </row>
    <row r="472" spans="1:19">
      <c r="A472" s="7" t="s">
        <v>133</v>
      </c>
      <c r="B472" s="8">
        <v>0.36768865949079377</v>
      </c>
      <c r="C472" s="8">
        <v>1.2890795247765441</v>
      </c>
      <c r="D472" s="8">
        <v>0.10954983766095538</v>
      </c>
      <c r="E472" s="7">
        <v>0</v>
      </c>
      <c r="F472" s="7">
        <v>-1.4990516053215155E-2</v>
      </c>
      <c r="G472" s="8">
        <v>0</v>
      </c>
      <c r="H472" s="8">
        <v>0</v>
      </c>
      <c r="I472" s="33">
        <v>0</v>
      </c>
      <c r="J472" s="7">
        <v>0</v>
      </c>
      <c r="K472" s="7">
        <v>0</v>
      </c>
      <c r="P472">
        <v>0</v>
      </c>
      <c r="Q472">
        <v>1.8180061463527797</v>
      </c>
      <c r="R472">
        <v>0</v>
      </c>
    </row>
    <row r="473" spans="1:19">
      <c r="A473" s="7"/>
      <c r="B473" s="8">
        <v>1.9865190328797109</v>
      </c>
      <c r="C473" s="8">
        <v>1.2694850305255347</v>
      </c>
      <c r="D473" s="8">
        <v>3.2127045366234341E-2</v>
      </c>
      <c r="E473" s="7">
        <v>0</v>
      </c>
      <c r="F473" s="8">
        <v>0</v>
      </c>
      <c r="G473" s="7">
        <v>-1.4990516053215155E-2</v>
      </c>
      <c r="H473" s="8">
        <v>0</v>
      </c>
      <c r="I473" s="8">
        <v>0</v>
      </c>
      <c r="J473" s="33">
        <v>0</v>
      </c>
      <c r="K473" s="33">
        <v>0</v>
      </c>
      <c r="P473">
        <v>0</v>
      </c>
      <c r="Q473">
        <v>0</v>
      </c>
      <c r="R473">
        <v>0.2472761769235062</v>
      </c>
    </row>
    <row r="474" spans="1:19">
      <c r="A474" s="7"/>
      <c r="B474" s="8"/>
      <c r="C474" s="8"/>
      <c r="D474" s="8"/>
      <c r="E474" s="7"/>
      <c r="F474" s="7"/>
      <c r="G474" s="7"/>
      <c r="H474" s="7"/>
      <c r="I474" s="7"/>
      <c r="J474" s="7"/>
      <c r="K474" s="7"/>
    </row>
    <row r="475" spans="1:19">
      <c r="A475" s="7"/>
      <c r="B475" s="8">
        <v>1.4028471761352286</v>
      </c>
      <c r="C475" s="8">
        <v>-0.814665459345566</v>
      </c>
      <c r="D475" s="8">
        <v>-0.7195871750303805</v>
      </c>
      <c r="E475" s="7">
        <v>-1.4990516053215155E-2</v>
      </c>
      <c r="F475" s="8">
        <v>0</v>
      </c>
      <c r="G475" s="8">
        <v>0</v>
      </c>
      <c r="H475" s="33">
        <v>-2.2385887789414392E-2</v>
      </c>
      <c r="I475" s="7">
        <v>2.1796664656245589E-2</v>
      </c>
      <c r="J475" s="7">
        <v>0</v>
      </c>
      <c r="K475" s="7">
        <v>0</v>
      </c>
      <c r="M475">
        <f t="shared" ref="M475" si="351">MDETERM(B475:D477)</f>
        <v>-0.87703821672085813</v>
      </c>
      <c r="N475">
        <f t="shared" ref="N475" si="352">MDETERM(E475:G477)</f>
        <v>-3.3686023826032914E-6</v>
      </c>
      <c r="P475">
        <f t="array" ref="P475:R477">SVDD(B475:D477)</f>
        <v>2.5054078776691937</v>
      </c>
      <c r="Q475">
        <v>0</v>
      </c>
      <c r="R475">
        <v>0</v>
      </c>
      <c r="S475" s="3">
        <f t="shared" ref="S475" si="353">MAX(P475,Q476,R477)/MIN(P475,Q476,R477)</f>
        <v>13.161138632442416</v>
      </c>
    </row>
    <row r="476" spans="1:19">
      <c r="A476" s="7" t="s">
        <v>134</v>
      </c>
      <c r="B476" s="8">
        <v>0.36768865949079377</v>
      </c>
      <c r="C476" s="8">
        <v>1.2890795247765441</v>
      </c>
      <c r="D476" s="8">
        <v>0.10954983766095538</v>
      </c>
      <c r="E476" s="7">
        <v>0</v>
      </c>
      <c r="F476" s="7">
        <v>-1.4990516053215155E-2</v>
      </c>
      <c r="G476" s="8">
        <v>0</v>
      </c>
      <c r="H476" s="8">
        <v>-2.2385887789414392E-2</v>
      </c>
      <c r="I476" s="33">
        <v>0</v>
      </c>
      <c r="J476" s="7">
        <v>1.5970575730977998E-2</v>
      </c>
      <c r="K476" s="7">
        <v>0</v>
      </c>
      <c r="P476">
        <v>0</v>
      </c>
      <c r="Q476">
        <v>1.8388872625407877</v>
      </c>
      <c r="R476">
        <v>0</v>
      </c>
    </row>
    <row r="477" spans="1:19">
      <c r="A477" s="7"/>
      <c r="B477" s="8">
        <v>1.3773893306068323</v>
      </c>
      <c r="C477" s="8">
        <v>1.5521003879162059</v>
      </c>
      <c r="D477" s="8">
        <v>-0.65590292152571228</v>
      </c>
      <c r="E477" s="7">
        <v>0</v>
      </c>
      <c r="F477" s="8">
        <v>0</v>
      </c>
      <c r="G477" s="7">
        <v>-1.4990516053215155E-2</v>
      </c>
      <c r="H477" s="8">
        <v>-2.2385887789414392E-2</v>
      </c>
      <c r="I477" s="8">
        <v>0</v>
      </c>
      <c r="J477" s="33">
        <v>0</v>
      </c>
      <c r="K477" s="33">
        <v>2.0521745021313972E-2</v>
      </c>
      <c r="P477">
        <v>0</v>
      </c>
      <c r="Q477">
        <v>0</v>
      </c>
      <c r="R477">
        <v>0.19036406709472109</v>
      </c>
    </row>
    <row r="478" spans="1:19">
      <c r="A478" s="7"/>
      <c r="B478" s="8"/>
      <c r="C478" s="8"/>
      <c r="D478" s="8"/>
      <c r="E478" s="7"/>
      <c r="F478" s="7"/>
      <c r="G478" s="7"/>
      <c r="H478" s="7"/>
      <c r="I478" s="7"/>
      <c r="J478" s="7"/>
      <c r="K478" s="7"/>
    </row>
    <row r="479" spans="1:19">
      <c r="A479" s="7"/>
      <c r="B479" s="8">
        <v>1.4028471761352286</v>
      </c>
      <c r="C479" s="8">
        <v>-0.814665459345566</v>
      </c>
      <c r="D479" s="8">
        <v>-0.7195871750303805</v>
      </c>
      <c r="E479" s="7">
        <v>-1.4990516053215155E-2</v>
      </c>
      <c r="F479" s="8">
        <v>0</v>
      </c>
      <c r="G479" s="8">
        <v>0</v>
      </c>
      <c r="H479" s="33">
        <v>0</v>
      </c>
      <c r="I479" s="7">
        <v>0</v>
      </c>
      <c r="J479" s="7">
        <v>0</v>
      </c>
      <c r="K479" s="7">
        <v>0</v>
      </c>
      <c r="M479">
        <f t="shared" ref="M479" si="354">MDETERM(B479:D481)</f>
        <v>-3.2960092887047812</v>
      </c>
      <c r="N479">
        <f t="shared" ref="N479" si="355">MDETERM(E479:G481)</f>
        <v>-3.3686023826032914E-6</v>
      </c>
      <c r="P479">
        <f t="array" ref="P479:R481">SVDD(B479:D481)</f>
        <v>3.2290535725450686</v>
      </c>
      <c r="Q479">
        <v>0</v>
      </c>
      <c r="R479">
        <v>0</v>
      </c>
      <c r="S479" s="3">
        <f t="shared" ref="S479" si="356">MAX(P479,Q480,R481)/MIN(P479,Q480,R481)</f>
        <v>5.1208665031360203</v>
      </c>
    </row>
    <row r="480" spans="1:19">
      <c r="A480" s="7" t="s">
        <v>135</v>
      </c>
      <c r="B480" s="8">
        <v>1.9865190328797109</v>
      </c>
      <c r="C480" s="8">
        <v>1.2694850305255347</v>
      </c>
      <c r="D480" s="8">
        <v>3.2127045366234341E-2</v>
      </c>
      <c r="E480" s="7">
        <v>0</v>
      </c>
      <c r="F480" s="7">
        <v>-1.4990516053215155E-2</v>
      </c>
      <c r="G480" s="8">
        <v>0</v>
      </c>
      <c r="H480" s="8">
        <v>0</v>
      </c>
      <c r="I480" s="33">
        <v>0</v>
      </c>
      <c r="J480" s="7">
        <v>0</v>
      </c>
      <c r="K480" s="7">
        <v>0</v>
      </c>
      <c r="P480">
        <v>0</v>
      </c>
      <c r="Q480">
        <v>1.6187559602060135</v>
      </c>
      <c r="R480">
        <v>0</v>
      </c>
    </row>
    <row r="481" spans="1:19">
      <c r="A481" s="7"/>
      <c r="B481" s="8">
        <v>1.3773893306068323</v>
      </c>
      <c r="C481" s="8">
        <v>1.5521003879162059</v>
      </c>
      <c r="D481" s="8">
        <v>-0.65590292152571228</v>
      </c>
      <c r="E481" s="7">
        <v>0</v>
      </c>
      <c r="F481" s="8">
        <v>0</v>
      </c>
      <c r="G481" s="7">
        <v>-1.4990516053215155E-2</v>
      </c>
      <c r="H481" s="8">
        <v>0</v>
      </c>
      <c r="I481" s="8">
        <v>0</v>
      </c>
      <c r="J481" s="33">
        <v>0</v>
      </c>
      <c r="K481" s="33">
        <v>0</v>
      </c>
      <c r="P481">
        <v>0</v>
      </c>
      <c r="Q481">
        <v>0</v>
      </c>
      <c r="R481">
        <v>0.63056780928922773</v>
      </c>
    </row>
    <row r="482" spans="1:19">
      <c r="A482" s="7"/>
      <c r="B482" s="8"/>
      <c r="C482" s="8"/>
      <c r="D482" s="8"/>
      <c r="E482" s="7"/>
      <c r="F482" s="7"/>
      <c r="G482" s="7"/>
      <c r="H482" s="7"/>
      <c r="I482" s="7"/>
      <c r="J482" s="7"/>
      <c r="K482" s="7"/>
    </row>
    <row r="483" spans="1:19">
      <c r="A483" s="7"/>
      <c r="B483" s="8">
        <v>0.14897154656832046</v>
      </c>
      <c r="C483" s="8">
        <v>-0.84725762547333594</v>
      </c>
      <c r="D483" s="8">
        <v>1.9759438806851826E-2</v>
      </c>
      <c r="E483" s="7">
        <v>-1.4990516053215155E-2</v>
      </c>
      <c r="F483" s="8">
        <v>0</v>
      </c>
      <c r="G483" s="8">
        <v>0</v>
      </c>
      <c r="H483" s="33">
        <v>0</v>
      </c>
      <c r="I483" s="7">
        <v>0</v>
      </c>
      <c r="J483" s="7">
        <v>0</v>
      </c>
      <c r="K483" s="7">
        <v>0</v>
      </c>
      <c r="M483">
        <f t="shared" ref="M483" si="357">MDETERM(B483:D485)</f>
        <v>6.5388738300276861E-2</v>
      </c>
      <c r="N483">
        <f t="shared" ref="N483" si="358">MDETERM(E483:G485)</f>
        <v>-3.3686023826032914E-6</v>
      </c>
      <c r="P483">
        <f t="array" ref="P483:R485">SVDD(B483:D485)</f>
        <v>3.7805822177637474</v>
      </c>
      <c r="Q483">
        <v>0</v>
      </c>
      <c r="R483">
        <v>0</v>
      </c>
      <c r="S483" s="3">
        <f t="shared" ref="S483" si="359">MAX(P483,Q484,R485)/MIN(P483,Q484,R485)</f>
        <v>250.1521200358882</v>
      </c>
    </row>
    <row r="484" spans="1:19">
      <c r="A484" s="7" t="s">
        <v>136</v>
      </c>
      <c r="B484" s="8">
        <v>2.44475956514645</v>
      </c>
      <c r="C484" s="8">
        <v>-0.85548399177677847</v>
      </c>
      <c r="D484" s="8">
        <v>5.2896656816179721E-2</v>
      </c>
      <c r="E484" s="7">
        <v>0</v>
      </c>
      <c r="F484" s="7">
        <v>-1.4990516053215155E-2</v>
      </c>
      <c r="G484" s="8">
        <v>0</v>
      </c>
      <c r="H484" s="8">
        <v>0</v>
      </c>
      <c r="I484" s="33">
        <v>0</v>
      </c>
      <c r="J484" s="7">
        <v>0</v>
      </c>
      <c r="K484" s="7">
        <v>0</v>
      </c>
      <c r="P484">
        <v>0</v>
      </c>
      <c r="Q484">
        <v>1.1444314152463921</v>
      </c>
      <c r="R484">
        <v>0</v>
      </c>
    </row>
    <row r="485" spans="1:19">
      <c r="A485" s="7"/>
      <c r="B485" s="8">
        <v>2.8449497700634536</v>
      </c>
      <c r="C485" s="8">
        <v>0.22852225552422287</v>
      </c>
      <c r="D485" s="8">
        <v>6.9737163040410666E-2</v>
      </c>
      <c r="E485" s="7">
        <v>0</v>
      </c>
      <c r="F485" s="8">
        <v>0</v>
      </c>
      <c r="G485" s="7">
        <v>-1.4990516053215155E-2</v>
      </c>
      <c r="H485" s="8">
        <v>0</v>
      </c>
      <c r="I485" s="8">
        <v>0</v>
      </c>
      <c r="J485" s="33">
        <v>0</v>
      </c>
      <c r="K485" s="33">
        <v>0</v>
      </c>
      <c r="P485">
        <v>0</v>
      </c>
      <c r="Q485">
        <v>0</v>
      </c>
      <c r="R485">
        <v>1.5113132829821168E-2</v>
      </c>
    </row>
    <row r="486" spans="1:19">
      <c r="A486" s="7"/>
      <c r="B486" s="8"/>
      <c r="C486" s="8"/>
      <c r="D486" s="8"/>
      <c r="E486" s="7"/>
      <c r="F486" s="7"/>
      <c r="G486" s="7"/>
      <c r="H486" s="7"/>
      <c r="I486" s="7"/>
      <c r="J486" s="7"/>
      <c r="K486" s="7"/>
    </row>
    <row r="487" spans="1:19">
      <c r="A487" s="7"/>
      <c r="B487" s="8">
        <v>0.14897154656832046</v>
      </c>
      <c r="C487" s="8">
        <v>-0.84725762547333594</v>
      </c>
      <c r="D487" s="8">
        <v>1.9759438806851826E-2</v>
      </c>
      <c r="E487" s="7">
        <v>-1.4990516053215155E-2</v>
      </c>
      <c r="F487" s="8">
        <v>0</v>
      </c>
      <c r="G487" s="8">
        <v>0</v>
      </c>
      <c r="H487" s="33">
        <v>0</v>
      </c>
      <c r="I487" s="7">
        <v>0</v>
      </c>
      <c r="J487" s="7">
        <v>0</v>
      </c>
      <c r="K487" s="7">
        <v>0</v>
      </c>
      <c r="M487">
        <f t="shared" ref="M487" si="360">MDETERM(B487:D489)</f>
        <v>0.25480397621201378</v>
      </c>
      <c r="N487">
        <f t="shared" ref="N487" si="361">MDETERM(E487:G489)</f>
        <v>-3.3686023826032914E-6</v>
      </c>
      <c r="P487">
        <f t="array" ref="P487:R489">SVDD(B487:D489)</f>
        <v>2.63298504973009</v>
      </c>
      <c r="Q487">
        <v>0</v>
      </c>
      <c r="R487">
        <v>0</v>
      </c>
      <c r="S487" s="3">
        <f t="shared" ref="S487" si="362">MAX(P487,Q488,R489)/MIN(P487,Q488,R489)</f>
        <v>41.479009433576415</v>
      </c>
    </row>
    <row r="488" spans="1:19">
      <c r="A488" s="7" t="s">
        <v>137</v>
      </c>
      <c r="B488" s="8">
        <v>2.44475956514645</v>
      </c>
      <c r="C488" s="8">
        <v>-0.85548399177677847</v>
      </c>
      <c r="D488" s="8">
        <v>5.2896656816179721E-2</v>
      </c>
      <c r="E488" s="7">
        <v>0</v>
      </c>
      <c r="F488" s="7">
        <v>-1.4990516053215155E-2</v>
      </c>
      <c r="G488" s="8">
        <v>0</v>
      </c>
      <c r="H488" s="8">
        <v>0</v>
      </c>
      <c r="I488" s="33">
        <v>0</v>
      </c>
      <c r="J488" s="7">
        <v>0</v>
      </c>
      <c r="K488" s="7">
        <v>0</v>
      </c>
      <c r="P488">
        <v>0</v>
      </c>
      <c r="Q488">
        <v>1.5245363749267951</v>
      </c>
      <c r="R488">
        <v>0</v>
      </c>
    </row>
    <row r="489" spans="1:19">
      <c r="A489" s="7"/>
      <c r="B489" s="8">
        <v>0.36768865949079377</v>
      </c>
      <c r="C489" s="8">
        <v>1.2890795247765441</v>
      </c>
      <c r="D489" s="8">
        <v>0.10954983766095538</v>
      </c>
      <c r="E489" s="7">
        <v>0</v>
      </c>
      <c r="F489" s="8">
        <v>0</v>
      </c>
      <c r="G489" s="7">
        <v>-1.4990516053215155E-2</v>
      </c>
      <c r="H489" s="8">
        <v>0</v>
      </c>
      <c r="I489" s="8">
        <v>0</v>
      </c>
      <c r="J489" s="33">
        <v>0</v>
      </c>
      <c r="K489" s="33">
        <v>0</v>
      </c>
      <c r="P489">
        <v>0</v>
      </c>
      <c r="Q489">
        <v>0</v>
      </c>
      <c r="R489">
        <v>6.3477529615226111E-2</v>
      </c>
    </row>
    <row r="490" spans="1:19">
      <c r="A490" s="7"/>
      <c r="B490" s="8"/>
      <c r="C490" s="8"/>
      <c r="D490" s="8"/>
      <c r="E490" s="7"/>
      <c r="F490" s="7"/>
      <c r="G490" s="7"/>
      <c r="H490" s="7"/>
      <c r="I490" s="7"/>
      <c r="J490" s="7"/>
      <c r="K490" s="7"/>
    </row>
    <row r="491" spans="1:19">
      <c r="A491" s="7"/>
      <c r="B491" s="8">
        <v>0.14897154656832046</v>
      </c>
      <c r="C491" s="8">
        <v>-0.84725762547333594</v>
      </c>
      <c r="D491" s="8">
        <v>1.9759438806851826E-2</v>
      </c>
      <c r="E491" s="7">
        <v>-1.4990516053215155E-2</v>
      </c>
      <c r="F491" s="8">
        <v>0</v>
      </c>
      <c r="G491" s="8">
        <v>0</v>
      </c>
      <c r="H491" s="33">
        <v>0</v>
      </c>
      <c r="I491" s="7">
        <v>0</v>
      </c>
      <c r="J491" s="7">
        <v>0</v>
      </c>
      <c r="K491" s="7">
        <v>0</v>
      </c>
      <c r="M491">
        <f t="shared" ref="M491" si="363">MDETERM(B491:D493)</f>
        <v>5.8323031254765789E-2</v>
      </c>
      <c r="N491">
        <f t="shared" ref="N491" si="364">MDETERM(E491:G493)</f>
        <v>-3.3686023826032914E-6</v>
      </c>
      <c r="P491">
        <f t="array" ref="P491:R493">SVDD(B491:D493)</f>
        <v>3.1563478329773647</v>
      </c>
      <c r="Q491">
        <v>0</v>
      </c>
      <c r="R491">
        <v>0</v>
      </c>
      <c r="S491" s="3">
        <f t="shared" ref="S491" si="365">MAX(P491,Q492,R493)/MIN(P491,Q492,R493)</f>
        <v>298.22841835546393</v>
      </c>
    </row>
    <row r="492" spans="1:19">
      <c r="A492" s="7" t="s">
        <v>138</v>
      </c>
      <c r="B492" s="8">
        <v>2.44475956514645</v>
      </c>
      <c r="C492" s="8">
        <v>-0.85548399177677847</v>
      </c>
      <c r="D492" s="8">
        <v>5.2896656816179721E-2</v>
      </c>
      <c r="E492" s="7">
        <v>0</v>
      </c>
      <c r="F492" s="7">
        <v>-1.4990516053215155E-2</v>
      </c>
      <c r="G492" s="8">
        <v>0</v>
      </c>
      <c r="H492" s="8">
        <v>0</v>
      </c>
      <c r="I492" s="33">
        <v>0</v>
      </c>
      <c r="J492" s="7">
        <v>0</v>
      </c>
      <c r="K492" s="7">
        <v>0</v>
      </c>
      <c r="P492">
        <v>0</v>
      </c>
      <c r="Q492">
        <v>1.7459001374895331</v>
      </c>
      <c r="R492">
        <v>0</v>
      </c>
    </row>
    <row r="493" spans="1:19">
      <c r="A493" s="7"/>
      <c r="B493" s="8">
        <v>1.9865190328797109</v>
      </c>
      <c r="C493" s="8">
        <v>1.2694850305255347</v>
      </c>
      <c r="D493" s="8">
        <v>3.2127045366234341E-2</v>
      </c>
      <c r="E493" s="7">
        <v>0</v>
      </c>
      <c r="F493" s="8">
        <v>0</v>
      </c>
      <c r="G493" s="7">
        <v>-1.4990516053215155E-2</v>
      </c>
      <c r="H493" s="8">
        <v>0</v>
      </c>
      <c r="I493" s="8">
        <v>0</v>
      </c>
      <c r="J493" s="33">
        <v>0</v>
      </c>
      <c r="K493" s="33">
        <v>0</v>
      </c>
      <c r="P493">
        <v>0</v>
      </c>
      <c r="Q493">
        <v>0</v>
      </c>
      <c r="R493">
        <v>1.058365882896933E-2</v>
      </c>
    </row>
    <row r="494" spans="1:19">
      <c r="A494" s="7"/>
      <c r="B494" s="8"/>
      <c r="C494" s="8"/>
      <c r="D494" s="8"/>
      <c r="E494" s="7"/>
      <c r="F494" s="7"/>
      <c r="G494" s="7"/>
      <c r="H494" s="7"/>
      <c r="I494" s="7"/>
      <c r="J494" s="7"/>
      <c r="K494" s="7"/>
    </row>
    <row r="495" spans="1:19">
      <c r="A495" s="7"/>
      <c r="B495" s="8">
        <v>0.14897154656832046</v>
      </c>
      <c r="C495" s="8">
        <v>-0.84725762547333594</v>
      </c>
      <c r="D495" s="8">
        <v>1.9759438806851826E-2</v>
      </c>
      <c r="E495" s="7">
        <v>-1.4990516053215155E-2</v>
      </c>
      <c r="F495" s="8">
        <v>0</v>
      </c>
      <c r="G495" s="8">
        <v>0</v>
      </c>
      <c r="H495" s="33">
        <v>0</v>
      </c>
      <c r="I495" s="7">
        <v>0</v>
      </c>
      <c r="J495" s="7">
        <v>0</v>
      </c>
      <c r="K495" s="7">
        <v>0</v>
      </c>
      <c r="M495">
        <f t="shared" ref="M495" si="366">MDETERM(B495:D497)</f>
        <v>-1.2507092757527842</v>
      </c>
      <c r="N495">
        <f t="shared" ref="N495" si="367">MDETERM(E495:G497)</f>
        <v>-3.3686023826032914E-6</v>
      </c>
      <c r="P495">
        <f t="array" ref="P495:R497">SVDD(B495:D497)</f>
        <v>2.8240631484554339</v>
      </c>
      <c r="Q495">
        <v>0</v>
      </c>
      <c r="R495">
        <v>0</v>
      </c>
      <c r="S495" s="3">
        <f t="shared" ref="S495" si="368">MAX(P495,Q496,R497)/MIN(P495,Q496,R497)</f>
        <v>13.015143058743432</v>
      </c>
    </row>
    <row r="496" spans="1:19">
      <c r="A496" s="7" t="s">
        <v>139</v>
      </c>
      <c r="B496" s="8">
        <v>2.44475956514645</v>
      </c>
      <c r="C496" s="8">
        <v>-0.85548399177677847</v>
      </c>
      <c r="D496" s="8">
        <v>5.2896656816179721E-2</v>
      </c>
      <c r="E496" s="7">
        <v>0</v>
      </c>
      <c r="F496" s="7">
        <v>-1.4990516053215155E-2</v>
      </c>
      <c r="G496" s="8">
        <v>0</v>
      </c>
      <c r="H496" s="8">
        <v>0</v>
      </c>
      <c r="I496" s="33">
        <v>0</v>
      </c>
      <c r="J496" s="7">
        <v>0</v>
      </c>
      <c r="K496" s="7">
        <v>0</v>
      </c>
      <c r="P496">
        <v>0</v>
      </c>
      <c r="Q496">
        <v>2.0410634677684292</v>
      </c>
      <c r="R496">
        <v>0</v>
      </c>
    </row>
    <row r="497" spans="1:19">
      <c r="A497" s="7"/>
      <c r="B497" s="8">
        <v>1.3773893306068323</v>
      </c>
      <c r="C497" s="8">
        <v>1.5521003879162059</v>
      </c>
      <c r="D497" s="8">
        <v>-0.65590292152571228</v>
      </c>
      <c r="E497" s="7">
        <v>0</v>
      </c>
      <c r="F497" s="8">
        <v>0</v>
      </c>
      <c r="G497" s="7">
        <v>-1.4990516053215155E-2</v>
      </c>
      <c r="H497" s="8">
        <v>0</v>
      </c>
      <c r="I497" s="8">
        <v>0</v>
      </c>
      <c r="J497" s="33">
        <v>0</v>
      </c>
      <c r="K497" s="33">
        <v>0</v>
      </c>
      <c r="P497">
        <v>0</v>
      </c>
      <c r="Q497">
        <v>0</v>
      </c>
      <c r="R497">
        <v>0.21698287415736542</v>
      </c>
    </row>
    <row r="498" spans="1:19">
      <c r="A498" s="7"/>
      <c r="B498" s="8"/>
      <c r="C498" s="8"/>
      <c r="D498" s="8"/>
      <c r="E498" s="7"/>
      <c r="F498" s="7"/>
      <c r="G498" s="7"/>
      <c r="H498" s="7"/>
      <c r="I498" s="7"/>
      <c r="J498" s="7"/>
      <c r="K498" s="7"/>
    </row>
    <row r="499" spans="1:19">
      <c r="A499" s="7"/>
      <c r="B499" s="8">
        <v>0.14897154656832046</v>
      </c>
      <c r="C499" s="8">
        <v>-0.84725762547333594</v>
      </c>
      <c r="D499" s="8">
        <v>1.9759438806851826E-2</v>
      </c>
      <c r="E499" s="7">
        <v>-1.4990516053215155E-2</v>
      </c>
      <c r="F499" s="8">
        <v>0</v>
      </c>
      <c r="G499" s="8">
        <v>0</v>
      </c>
      <c r="H499" s="33">
        <v>0</v>
      </c>
      <c r="I499" s="7">
        <v>0</v>
      </c>
      <c r="J499" s="7">
        <v>0</v>
      </c>
      <c r="K499" s="7">
        <v>0</v>
      </c>
      <c r="M499">
        <f t="shared" ref="M499" si="369">MDETERM(B499:D501)</f>
        <v>0.30347670618943506</v>
      </c>
      <c r="N499">
        <f t="shared" ref="N499" si="370">MDETERM(E499:G501)</f>
        <v>-3.3686023826032914E-6</v>
      </c>
      <c r="P499">
        <f t="array" ref="P499:R501">SVDD(B499:D501)</f>
        <v>2.9026916978209298</v>
      </c>
      <c r="Q499">
        <v>0</v>
      </c>
      <c r="R499">
        <v>0</v>
      </c>
      <c r="S499" s="3">
        <f t="shared" ref="S499" si="371">MAX(P499,Q500,R501)/MIN(P499,Q500,R501)</f>
        <v>41.827755997562726</v>
      </c>
    </row>
    <row r="500" spans="1:19">
      <c r="A500" s="7" t="s">
        <v>140</v>
      </c>
      <c r="B500" s="8">
        <v>2.8449497700634536</v>
      </c>
      <c r="C500" s="8">
        <v>0.22852225552422287</v>
      </c>
      <c r="D500" s="8">
        <v>6.9737163040410666E-2</v>
      </c>
      <c r="E500" s="7">
        <v>0</v>
      </c>
      <c r="F500" s="7">
        <v>-1.4990516053215155E-2</v>
      </c>
      <c r="G500" s="8">
        <v>0</v>
      </c>
      <c r="H500" s="8">
        <v>0</v>
      </c>
      <c r="I500" s="33">
        <v>0</v>
      </c>
      <c r="J500" s="7">
        <v>0</v>
      </c>
      <c r="K500" s="7">
        <v>0</v>
      </c>
      <c r="P500">
        <v>0</v>
      </c>
      <c r="Q500">
        <v>1.5065658057799565</v>
      </c>
      <c r="R500">
        <v>0</v>
      </c>
    </row>
    <row r="501" spans="1:19">
      <c r="A501" s="7"/>
      <c r="B501" s="8">
        <v>0.36768865949079377</v>
      </c>
      <c r="C501" s="8">
        <v>1.2890795247765441</v>
      </c>
      <c r="D501" s="8">
        <v>0.10954983766095538</v>
      </c>
      <c r="E501" s="7">
        <v>0</v>
      </c>
      <c r="F501" s="8">
        <v>0</v>
      </c>
      <c r="G501" s="7">
        <v>-1.4990516053215155E-2</v>
      </c>
      <c r="H501" s="8">
        <v>0</v>
      </c>
      <c r="I501" s="8">
        <v>0</v>
      </c>
      <c r="J501" s="33">
        <v>0</v>
      </c>
      <c r="K501" s="33">
        <v>0</v>
      </c>
      <c r="P501">
        <v>0</v>
      </c>
      <c r="Q501">
        <v>0</v>
      </c>
      <c r="R501">
        <v>6.939630464493643E-2</v>
      </c>
    </row>
    <row r="502" spans="1:19">
      <c r="A502" s="7"/>
      <c r="B502" s="8"/>
      <c r="C502" s="8"/>
      <c r="D502" s="8"/>
      <c r="E502" s="7"/>
      <c r="F502" s="7"/>
      <c r="G502" s="7"/>
      <c r="H502" s="7"/>
      <c r="I502" s="7"/>
      <c r="J502" s="7"/>
      <c r="K502" s="7"/>
    </row>
    <row r="503" spans="1:19">
      <c r="A503" s="7"/>
      <c r="B503" s="8">
        <v>0.14897154656832046</v>
      </c>
      <c r="C503" s="8">
        <v>-0.84725762547333594</v>
      </c>
      <c r="D503" s="8">
        <v>1.9759438806851826E-2</v>
      </c>
      <c r="E503" s="7">
        <v>-1.4990516053215155E-2</v>
      </c>
      <c r="F503" s="8">
        <v>0</v>
      </c>
      <c r="G503" s="8">
        <v>0</v>
      </c>
      <c r="H503" s="33">
        <v>0</v>
      </c>
      <c r="I503" s="7">
        <v>0</v>
      </c>
      <c r="J503" s="7">
        <v>0</v>
      </c>
      <c r="K503" s="7">
        <v>0</v>
      </c>
      <c r="M503">
        <f t="shared" ref="M503" si="372">MDETERM(B503:D505)</f>
        <v>1.036379902776512E-2</v>
      </c>
      <c r="N503">
        <f t="shared" ref="N503" si="373">MDETERM(E503:G505)</f>
        <v>-3.3686023826032914E-6</v>
      </c>
      <c r="P503">
        <f t="array" ref="P503:R505">SVDD(B503:D505)</f>
        <v>3.5980837408657536</v>
      </c>
      <c r="Q503">
        <v>0</v>
      </c>
      <c r="R503">
        <v>0</v>
      </c>
      <c r="S503" s="3">
        <f t="shared" ref="S503" si="374">MAX(P503,Q504,R505)/MIN(P503,Q504,R505)</f>
        <v>1531.9211719884818</v>
      </c>
    </row>
    <row r="504" spans="1:19">
      <c r="A504" s="7" t="s">
        <v>141</v>
      </c>
      <c r="B504" s="8">
        <v>2.8449497700634536</v>
      </c>
      <c r="C504" s="8">
        <v>0.22852225552422287</v>
      </c>
      <c r="D504" s="8">
        <v>6.9737163040410666E-2</v>
      </c>
      <c r="E504" s="7">
        <v>0</v>
      </c>
      <c r="F504" s="7">
        <v>-1.4990516053215155E-2</v>
      </c>
      <c r="G504" s="8">
        <v>0</v>
      </c>
      <c r="H504" s="8">
        <v>0</v>
      </c>
      <c r="I504" s="33">
        <v>0</v>
      </c>
      <c r="J504" s="7">
        <v>0</v>
      </c>
      <c r="K504" s="7">
        <v>0</v>
      </c>
      <c r="P504">
        <v>0</v>
      </c>
      <c r="Q504">
        <v>1.2263455725449481</v>
      </c>
      <c r="R504">
        <v>0</v>
      </c>
    </row>
    <row r="505" spans="1:19">
      <c r="A505" s="7"/>
      <c r="B505" s="8">
        <v>1.9865190328797109</v>
      </c>
      <c r="C505" s="8">
        <v>1.2694850305255347</v>
      </c>
      <c r="D505" s="8">
        <v>3.2127045366234341E-2</v>
      </c>
      <c r="E505" s="7">
        <v>0</v>
      </c>
      <c r="F505" s="8">
        <v>0</v>
      </c>
      <c r="G505" s="7">
        <v>-1.4990516053215155E-2</v>
      </c>
      <c r="H505" s="8">
        <v>0</v>
      </c>
      <c r="I505" s="8">
        <v>0</v>
      </c>
      <c r="J505" s="33">
        <v>0</v>
      </c>
      <c r="K505" s="33">
        <v>0</v>
      </c>
      <c r="P505">
        <v>0</v>
      </c>
      <c r="Q505">
        <v>0</v>
      </c>
      <c r="R505">
        <v>2.3487394825905616E-3</v>
      </c>
    </row>
    <row r="506" spans="1:19">
      <c r="A506" s="7"/>
      <c r="B506" s="8"/>
      <c r="C506" s="8"/>
      <c r="D506" s="8"/>
      <c r="E506" s="7"/>
      <c r="F506" s="7"/>
      <c r="G506" s="7"/>
      <c r="H506" s="7"/>
      <c r="I506" s="7"/>
      <c r="J506" s="7"/>
      <c r="K506" s="7"/>
    </row>
    <row r="507" spans="1:19">
      <c r="A507" s="7"/>
      <c r="B507" s="8">
        <v>0.14897154656832046</v>
      </c>
      <c r="C507" s="8">
        <v>-0.84725762547333594</v>
      </c>
      <c r="D507" s="8">
        <v>1.9759438806851826E-2</v>
      </c>
      <c r="E507" s="7">
        <v>-1.4990516053215155E-2</v>
      </c>
      <c r="F507" s="8">
        <v>0</v>
      </c>
      <c r="G507" s="8">
        <v>0</v>
      </c>
      <c r="H507" s="33">
        <v>0</v>
      </c>
      <c r="I507" s="7">
        <v>0</v>
      </c>
      <c r="J507" s="7">
        <v>0</v>
      </c>
      <c r="K507" s="7">
        <v>0</v>
      </c>
      <c r="M507">
        <f t="shared" ref="M507" si="375">MDETERM(B507:D509)</f>
        <v>-1.6197979512682648</v>
      </c>
      <c r="N507">
        <f t="shared" ref="N507" si="376">MDETERM(E507:G509)</f>
        <v>-3.3686023826032914E-6</v>
      </c>
      <c r="P507">
        <f t="array" ref="P507:R509">SVDD(B507:D509)</f>
        <v>3.3198768549767723</v>
      </c>
      <c r="Q507">
        <v>0</v>
      </c>
      <c r="R507">
        <v>0</v>
      </c>
      <c r="S507" s="3">
        <f t="shared" ref="S507" si="377">MAX(P507,Q508,R509)/MIN(P507,Q508,R509)</f>
        <v>10.782827837381458</v>
      </c>
    </row>
    <row r="508" spans="1:19">
      <c r="A508" s="7" t="s">
        <v>142</v>
      </c>
      <c r="B508" s="8">
        <v>2.8449497700634536</v>
      </c>
      <c r="C508" s="8">
        <v>0.22852225552422287</v>
      </c>
      <c r="D508" s="8">
        <v>6.9737163040410666E-2</v>
      </c>
      <c r="E508" s="7">
        <v>0</v>
      </c>
      <c r="F508" s="7">
        <v>-1.4990516053215155E-2</v>
      </c>
      <c r="G508" s="8">
        <v>0</v>
      </c>
      <c r="H508" s="8">
        <v>0</v>
      </c>
      <c r="I508" s="33">
        <v>0</v>
      </c>
      <c r="J508" s="7">
        <v>0</v>
      </c>
      <c r="K508" s="7">
        <v>0</v>
      </c>
      <c r="P508">
        <v>0</v>
      </c>
      <c r="Q508">
        <v>1.5847091563998654</v>
      </c>
      <c r="R508">
        <v>0</v>
      </c>
    </row>
    <row r="509" spans="1:19">
      <c r="A509" s="7"/>
      <c r="B509" s="8">
        <v>1.3773893306068323</v>
      </c>
      <c r="C509" s="8">
        <v>1.5521003879162059</v>
      </c>
      <c r="D509" s="8">
        <v>-0.65590292152571228</v>
      </c>
      <c r="E509" s="7">
        <v>0</v>
      </c>
      <c r="F509" s="8">
        <v>0</v>
      </c>
      <c r="G509" s="7">
        <v>-1.4990516053215155E-2</v>
      </c>
      <c r="H509" s="8">
        <v>0</v>
      </c>
      <c r="I509" s="8">
        <v>0</v>
      </c>
      <c r="J509" s="33">
        <v>0</v>
      </c>
      <c r="K509" s="33">
        <v>0</v>
      </c>
      <c r="P509">
        <v>0</v>
      </c>
      <c r="Q509">
        <v>0</v>
      </c>
      <c r="R509">
        <v>0.30788554774727661</v>
      </c>
    </row>
    <row r="510" spans="1:19">
      <c r="A510" s="7"/>
      <c r="B510" s="8"/>
      <c r="C510" s="8"/>
      <c r="D510" s="8"/>
      <c r="E510" s="7"/>
      <c r="F510" s="7"/>
      <c r="G510" s="7"/>
      <c r="H510" s="7"/>
      <c r="I510" s="7"/>
      <c r="J510" s="7"/>
      <c r="K510" s="7"/>
    </row>
    <row r="511" spans="1:19">
      <c r="A511" s="7"/>
      <c r="B511" s="8">
        <v>0.14897154656832046</v>
      </c>
      <c r="C511" s="8">
        <v>-0.84725762547333594</v>
      </c>
      <c r="D511" s="8">
        <v>1.9759438806851826E-2</v>
      </c>
      <c r="E511" s="7">
        <v>-1.4990516053215155E-2</v>
      </c>
      <c r="F511" s="8">
        <v>0</v>
      </c>
      <c r="G511" s="8">
        <v>0</v>
      </c>
      <c r="H511" s="33">
        <v>0</v>
      </c>
      <c r="I511" s="7">
        <v>0</v>
      </c>
      <c r="J511" s="7">
        <v>0</v>
      </c>
      <c r="K511" s="7">
        <v>0</v>
      </c>
      <c r="M511">
        <f t="shared" ref="M511" si="378">MDETERM(B511:D513)</f>
        <v>-0.23029874272982079</v>
      </c>
      <c r="N511">
        <f t="shared" ref="N511" si="379">MDETERM(E511:G513)</f>
        <v>-3.3686023826032914E-6</v>
      </c>
      <c r="P511">
        <f t="array" ref="P511:R513">SVDD(B511:D513)</f>
        <v>2.6311437791672385</v>
      </c>
      <c r="Q511">
        <v>0</v>
      </c>
      <c r="R511">
        <v>0</v>
      </c>
      <c r="S511" s="3">
        <f t="shared" ref="S511" si="380">MAX(P511,Q512,R513)/MIN(P511,Q512,R513)</f>
        <v>32.637782807572336</v>
      </c>
    </row>
    <row r="512" spans="1:19">
      <c r="A512" s="7" t="s">
        <v>143</v>
      </c>
      <c r="B512" s="8">
        <v>0.36768865949079377</v>
      </c>
      <c r="C512" s="8">
        <v>1.2890795247765441</v>
      </c>
      <c r="D512" s="8">
        <v>0.10954983766095538</v>
      </c>
      <c r="E512" s="7">
        <v>0</v>
      </c>
      <c r="F512" s="7">
        <v>-1.4990516053215155E-2</v>
      </c>
      <c r="G512" s="8">
        <v>0</v>
      </c>
      <c r="H512" s="8">
        <v>0</v>
      </c>
      <c r="I512" s="33">
        <v>0</v>
      </c>
      <c r="J512" s="7">
        <v>0</v>
      </c>
      <c r="K512" s="7">
        <v>0</v>
      </c>
      <c r="P512">
        <v>0</v>
      </c>
      <c r="Q512">
        <v>1.0857330384182113</v>
      </c>
      <c r="R512">
        <v>0</v>
      </c>
    </row>
    <row r="513" spans="1:19">
      <c r="A513" s="7"/>
      <c r="B513" s="8">
        <v>1.9865190328797109</v>
      </c>
      <c r="C513" s="8">
        <v>1.2694850305255347</v>
      </c>
      <c r="D513" s="8">
        <v>3.2127045366234341E-2</v>
      </c>
      <c r="E513" s="7">
        <v>0</v>
      </c>
      <c r="F513" s="8">
        <v>0</v>
      </c>
      <c r="G513" s="7">
        <v>-1.4990516053215155E-2</v>
      </c>
      <c r="H513" s="8">
        <v>0</v>
      </c>
      <c r="I513" s="8">
        <v>0</v>
      </c>
      <c r="J513" s="33">
        <v>0</v>
      </c>
      <c r="K513" s="33">
        <v>0</v>
      </c>
      <c r="P513">
        <v>0</v>
      </c>
      <c r="Q513">
        <v>0</v>
      </c>
      <c r="R513">
        <v>8.0616498819177859E-2</v>
      </c>
    </row>
    <row r="514" spans="1:19">
      <c r="A514" s="7"/>
      <c r="B514" s="8"/>
      <c r="C514" s="8"/>
      <c r="D514" s="8"/>
      <c r="E514" s="7"/>
      <c r="F514" s="7"/>
      <c r="G514" s="7"/>
      <c r="H514" s="7"/>
      <c r="I514" s="7"/>
      <c r="J514" s="7"/>
      <c r="K514" s="7"/>
    </row>
    <row r="515" spans="1:19">
      <c r="A515" s="7"/>
      <c r="B515" s="8">
        <v>0.14897154656832046</v>
      </c>
      <c r="C515" s="8">
        <v>-0.84725762547333594</v>
      </c>
      <c r="D515" s="8">
        <v>1.9759438806851826E-2</v>
      </c>
      <c r="E515" s="7">
        <v>-1.4990516053215155E-2</v>
      </c>
      <c r="F515" s="8">
        <v>0</v>
      </c>
      <c r="G515" s="8">
        <v>0</v>
      </c>
      <c r="H515" s="33">
        <v>0</v>
      </c>
      <c r="I515" s="7">
        <v>0</v>
      </c>
      <c r="J515" s="7">
        <v>0</v>
      </c>
      <c r="K515" s="7">
        <v>0</v>
      </c>
      <c r="M515">
        <f t="shared" ref="M515" si="381">MDETERM(B515:D517)</f>
        <v>-0.50727125342099499</v>
      </c>
      <c r="N515">
        <f t="shared" ref="N515" si="382">MDETERM(E515:G517)</f>
        <v>-3.3686023826032914E-6</v>
      </c>
      <c r="P515">
        <f t="array" ref="P515:R517">SVDD(B515:D517)</f>
        <v>2.5493866685874518</v>
      </c>
      <c r="Q515">
        <v>0</v>
      </c>
      <c r="R515">
        <v>0</v>
      </c>
      <c r="S515" s="3">
        <f t="shared" ref="S515" si="383">MAX(P515,Q516,R517)/MIN(P515,Q516,R517)</f>
        <v>10.964478005785088</v>
      </c>
    </row>
    <row r="516" spans="1:19">
      <c r="A516" s="7" t="s">
        <v>144</v>
      </c>
      <c r="B516" s="8">
        <v>0.36768865949079377</v>
      </c>
      <c r="C516" s="8">
        <v>1.2890795247765441</v>
      </c>
      <c r="D516" s="8">
        <v>0.10954983766095538</v>
      </c>
      <c r="E516" s="7">
        <v>0</v>
      </c>
      <c r="F516" s="7">
        <v>-1.4990516053215155E-2</v>
      </c>
      <c r="G516" s="8">
        <v>0</v>
      </c>
      <c r="H516" s="8">
        <v>0</v>
      </c>
      <c r="I516" s="33">
        <v>0</v>
      </c>
      <c r="J516" s="7">
        <v>0</v>
      </c>
      <c r="K516" s="7">
        <v>0</v>
      </c>
      <c r="P516">
        <v>0</v>
      </c>
      <c r="Q516">
        <v>0.85576947600459896</v>
      </c>
      <c r="R516">
        <v>0</v>
      </c>
    </row>
    <row r="517" spans="1:19">
      <c r="A517" s="7"/>
      <c r="B517" s="8">
        <v>1.3773893306068323</v>
      </c>
      <c r="C517" s="8">
        <v>1.5521003879162059</v>
      </c>
      <c r="D517" s="8">
        <v>-0.65590292152571228</v>
      </c>
      <c r="E517" s="7">
        <v>0</v>
      </c>
      <c r="F517" s="8">
        <v>0</v>
      </c>
      <c r="G517" s="7">
        <v>-1.4990516053215155E-2</v>
      </c>
      <c r="H517" s="8">
        <v>0</v>
      </c>
      <c r="I517" s="8">
        <v>0</v>
      </c>
      <c r="J517" s="33">
        <v>0</v>
      </c>
      <c r="K517" s="33">
        <v>0</v>
      </c>
      <c r="P517">
        <v>0</v>
      </c>
      <c r="Q517">
        <v>0</v>
      </c>
      <c r="R517">
        <v>0.23251327306619995</v>
      </c>
    </row>
    <row r="518" spans="1:19">
      <c r="A518" s="7"/>
      <c r="B518" s="8"/>
      <c r="C518" s="8"/>
      <c r="D518" s="8"/>
      <c r="E518" s="7"/>
      <c r="F518" s="7"/>
      <c r="G518" s="7"/>
      <c r="H518" s="7"/>
      <c r="I518" s="7"/>
      <c r="J518" s="7"/>
      <c r="K518" s="7"/>
    </row>
    <row r="519" spans="1:19">
      <c r="A519" s="7"/>
      <c r="B519" s="8">
        <v>0.14897154656832046</v>
      </c>
      <c r="C519" s="8">
        <v>-0.84725762547333594</v>
      </c>
      <c r="D519" s="8">
        <v>1.9759438806851826E-2</v>
      </c>
      <c r="E519" s="7">
        <v>-1.4990516053215155E-2</v>
      </c>
      <c r="F519" s="8">
        <v>0</v>
      </c>
      <c r="G519" s="8">
        <v>0</v>
      </c>
      <c r="H519" s="33">
        <v>0</v>
      </c>
      <c r="I519" s="7">
        <v>0</v>
      </c>
      <c r="J519" s="7">
        <v>0</v>
      </c>
      <c r="K519" s="7">
        <v>0</v>
      </c>
      <c r="M519">
        <f t="shared" ref="M519" si="384">MDETERM(B519:D521)</f>
        <v>-1.2465361632740966</v>
      </c>
      <c r="N519">
        <f t="shared" ref="N519" si="385">MDETERM(E519:G521)</f>
        <v>-3.3686023826032914E-6</v>
      </c>
      <c r="P519">
        <f t="array" ref="P519:R521">SVDD(B519:D521)</f>
        <v>3.1689665665534172</v>
      </c>
      <c r="Q519">
        <v>0</v>
      </c>
      <c r="R519">
        <v>0</v>
      </c>
      <c r="S519" s="3">
        <f t="shared" ref="S519" si="386">MAX(P519,Q520,R521)/MIN(P519,Q520,R521)</f>
        <v>7.2055376032001162</v>
      </c>
    </row>
    <row r="520" spans="1:19">
      <c r="A520" s="7" t="s">
        <v>145</v>
      </c>
      <c r="B520" s="8">
        <v>1.9865190328797109</v>
      </c>
      <c r="C520" s="8">
        <v>1.2694850305255347</v>
      </c>
      <c r="D520" s="8">
        <v>3.2127045366234341E-2</v>
      </c>
      <c r="E520" s="7">
        <v>0</v>
      </c>
      <c r="F520" s="7">
        <v>-1.4990516053215155E-2</v>
      </c>
      <c r="G520" s="8">
        <v>0</v>
      </c>
      <c r="H520" s="8">
        <v>0</v>
      </c>
      <c r="I520" s="33">
        <v>0</v>
      </c>
      <c r="J520" s="7">
        <v>0</v>
      </c>
      <c r="K520" s="7">
        <v>0</v>
      </c>
      <c r="P520">
        <v>0</v>
      </c>
      <c r="Q520">
        <v>0.89440857998851198</v>
      </c>
      <c r="R520">
        <v>0</v>
      </c>
    </row>
    <row r="521" spans="1:19">
      <c r="A521" s="7"/>
      <c r="B521" s="8">
        <v>1.3773893306068323</v>
      </c>
      <c r="C521" s="8">
        <v>1.5521003879162059</v>
      </c>
      <c r="D521" s="8">
        <v>-0.65590292152571228</v>
      </c>
      <c r="E521" s="7">
        <v>0</v>
      </c>
      <c r="F521" s="8">
        <v>0</v>
      </c>
      <c r="G521" s="7">
        <v>-1.4990516053215155E-2</v>
      </c>
      <c r="H521" s="8">
        <v>0</v>
      </c>
      <c r="I521" s="8">
        <v>0</v>
      </c>
      <c r="J521" s="33">
        <v>0</v>
      </c>
      <c r="K521" s="33">
        <v>0</v>
      </c>
      <c r="P521">
        <v>0</v>
      </c>
      <c r="Q521">
        <v>0</v>
      </c>
      <c r="R521">
        <v>0.43979599317419688</v>
      </c>
    </row>
    <row r="522" spans="1:19">
      <c r="A522" s="7"/>
      <c r="B522" s="8"/>
      <c r="C522" s="8"/>
      <c r="D522" s="8"/>
      <c r="E522" s="7"/>
      <c r="F522" s="7"/>
      <c r="G522" s="7"/>
      <c r="H522" s="7"/>
      <c r="I522" s="7"/>
      <c r="J522" s="7"/>
      <c r="K522" s="7"/>
    </row>
    <row r="523" spans="1:19">
      <c r="A523" s="7"/>
      <c r="B523" s="8">
        <v>2.44475956514645</v>
      </c>
      <c r="C523" s="8">
        <v>-0.85548399177677847</v>
      </c>
      <c r="D523" s="8">
        <v>5.2896656816179721E-2</v>
      </c>
      <c r="E523" s="7">
        <v>-1.4990516053215155E-2</v>
      </c>
      <c r="F523" s="8">
        <v>0</v>
      </c>
      <c r="G523" s="8">
        <v>0</v>
      </c>
      <c r="H523" s="33">
        <v>-2.2385887789414392E-2</v>
      </c>
      <c r="I523" s="7">
        <v>2.2872089329671663E-2</v>
      </c>
      <c r="J523" s="7">
        <v>0</v>
      </c>
      <c r="K523" s="7">
        <v>0</v>
      </c>
      <c r="M523">
        <f t="shared" ref="M523" si="387">MDETERM(B523:D525)</f>
        <v>0.27566179715216721</v>
      </c>
      <c r="N523">
        <f t="shared" ref="N523" si="388">MDETERM(E523:G525)</f>
        <v>-3.3686023826032914E-6</v>
      </c>
      <c r="P523">
        <f t="array" ref="P523:R525">SVDD(B523:D525)</f>
        <v>3.7807122807429936</v>
      </c>
      <c r="Q523">
        <v>0</v>
      </c>
      <c r="R523">
        <v>0</v>
      </c>
      <c r="S523" s="3">
        <f t="shared" ref="S523" si="389">MAX(P523,Q524,R525)/MIN(P523,Q524,R525)</f>
        <v>79.914011691529879</v>
      </c>
    </row>
    <row r="524" spans="1:19">
      <c r="A524" s="7" t="s">
        <v>146</v>
      </c>
      <c r="B524" s="8">
        <v>2.8449497700634536</v>
      </c>
      <c r="C524" s="8">
        <v>0.22852225552422287</v>
      </c>
      <c r="D524" s="8">
        <v>6.9737163040410666E-2</v>
      </c>
      <c r="E524" s="7">
        <v>0</v>
      </c>
      <c r="F524" s="7">
        <v>-1.4990516053215155E-2</v>
      </c>
      <c r="G524" s="8">
        <v>0</v>
      </c>
      <c r="H524" s="8">
        <v>-2.2385887789414392E-2</v>
      </c>
      <c r="I524" s="33">
        <v>0</v>
      </c>
      <c r="J524" s="7">
        <v>1.6236379226863738E-2</v>
      </c>
      <c r="K524" s="7">
        <v>0</v>
      </c>
      <c r="P524">
        <v>0</v>
      </c>
      <c r="Q524">
        <v>1.5411760804771675</v>
      </c>
      <c r="R524">
        <v>0</v>
      </c>
    </row>
    <row r="525" spans="1:19">
      <c r="A525" s="7"/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8">
        <v>0</v>
      </c>
      <c r="G525" s="7">
        <v>-1.4990516053215155E-2</v>
      </c>
      <c r="H525" s="8">
        <v>-2.2385887789414392E-2</v>
      </c>
      <c r="I525" s="8">
        <v>0</v>
      </c>
      <c r="J525" s="33">
        <v>0</v>
      </c>
      <c r="K525" s="33">
        <v>1.5970575730977998E-2</v>
      </c>
      <c r="P525">
        <v>0</v>
      </c>
      <c r="Q525">
        <v>0</v>
      </c>
      <c r="R525">
        <v>4.7309754581419831E-2</v>
      </c>
    </row>
    <row r="526" spans="1:19">
      <c r="A526" s="7"/>
      <c r="B526" s="8"/>
      <c r="C526" s="8"/>
      <c r="D526" s="8"/>
      <c r="E526" s="7"/>
      <c r="F526" s="7"/>
      <c r="G526" s="7"/>
      <c r="H526" s="7"/>
      <c r="I526" s="7"/>
      <c r="J526" s="7"/>
      <c r="K526" s="7"/>
    </row>
    <row r="527" spans="1:19">
      <c r="A527" s="7"/>
      <c r="B527" s="8">
        <v>2.44475956514645</v>
      </c>
      <c r="C527" s="8">
        <v>-0.85548399177677847</v>
      </c>
      <c r="D527" s="8">
        <v>5.2896656816179721E-2</v>
      </c>
      <c r="E527" s="7">
        <v>-1.4990516053215155E-2</v>
      </c>
      <c r="F527" s="8">
        <v>0</v>
      </c>
      <c r="G527" s="8">
        <v>0</v>
      </c>
      <c r="H527" s="33">
        <v>0</v>
      </c>
      <c r="I527" s="7">
        <v>0</v>
      </c>
      <c r="J527" s="7">
        <v>0</v>
      </c>
      <c r="K527" s="7">
        <v>0</v>
      </c>
      <c r="M527">
        <f t="shared" ref="M527" si="390">MDETERM(B527:D529)</f>
        <v>-7.1779642690832868E-2</v>
      </c>
      <c r="N527">
        <f t="shared" ref="N527" si="391">MDETERM(E527:G529)</f>
        <v>-3.3686023826032914E-6</v>
      </c>
      <c r="P527">
        <f t="array" ref="P527:R529">SVDD(B527:D529)</f>
        <v>4.2543745111848903</v>
      </c>
      <c r="Q527">
        <v>0</v>
      </c>
      <c r="R527">
        <v>0</v>
      </c>
      <c r="S527" s="3">
        <f t="shared" ref="S527" si="392">MAX(P527,Q528,R529)/MIN(P527,Q528,R529)</f>
        <v>384.18771801649655</v>
      </c>
    </row>
    <row r="528" spans="1:19">
      <c r="A528" s="7" t="s">
        <v>147</v>
      </c>
      <c r="B528" s="8">
        <v>2.8449497700634536</v>
      </c>
      <c r="C528" s="8">
        <v>0.22852225552422287</v>
      </c>
      <c r="D528" s="8">
        <v>6.9737163040410666E-2</v>
      </c>
      <c r="E528" s="7">
        <v>0</v>
      </c>
      <c r="F528" s="7">
        <v>-1.4990516053215155E-2</v>
      </c>
      <c r="G528" s="8">
        <v>0</v>
      </c>
      <c r="H528" s="8">
        <v>0</v>
      </c>
      <c r="I528" s="33">
        <v>0</v>
      </c>
      <c r="J528" s="7">
        <v>0</v>
      </c>
      <c r="K528" s="7">
        <v>0</v>
      </c>
      <c r="P528">
        <v>0</v>
      </c>
      <c r="Q528">
        <v>1.5236083108957059</v>
      </c>
      <c r="R528">
        <v>0</v>
      </c>
    </row>
    <row r="529" spans="1:19">
      <c r="A529" s="7"/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8">
        <v>0</v>
      </c>
      <c r="G529" s="7">
        <v>-1.4990516053215155E-2</v>
      </c>
      <c r="H529" s="8">
        <v>0</v>
      </c>
      <c r="I529" s="8">
        <v>0</v>
      </c>
      <c r="J529" s="33">
        <v>0</v>
      </c>
      <c r="K529" s="33">
        <v>0</v>
      </c>
      <c r="P529">
        <v>0</v>
      </c>
      <c r="Q529">
        <v>0</v>
      </c>
      <c r="R529">
        <v>1.1073686928748234E-2</v>
      </c>
    </row>
    <row r="530" spans="1:19">
      <c r="A530" s="7"/>
      <c r="B530" s="8"/>
      <c r="C530" s="8"/>
      <c r="D530" s="8"/>
      <c r="E530" s="7"/>
      <c r="F530" s="7"/>
      <c r="G530" s="7"/>
      <c r="H530" s="7"/>
      <c r="I530" s="7"/>
      <c r="J530" s="7"/>
      <c r="K530" s="7"/>
    </row>
    <row r="531" spans="1:19">
      <c r="A531" s="7"/>
      <c r="B531" s="8">
        <v>2.44475956514645</v>
      </c>
      <c r="C531" s="8">
        <v>-0.85548399177677847</v>
      </c>
      <c r="D531" s="8">
        <v>5.2896656816179721E-2</v>
      </c>
      <c r="E531" s="7">
        <v>-1.4990516053215155E-2</v>
      </c>
      <c r="F531" s="8">
        <v>0</v>
      </c>
      <c r="G531" s="8">
        <v>0</v>
      </c>
      <c r="H531" s="33">
        <v>-2.2385887789414392E-2</v>
      </c>
      <c r="I531" s="7">
        <v>2.2872089329671663E-2</v>
      </c>
      <c r="J531" s="7">
        <v>0</v>
      </c>
      <c r="K531" s="7">
        <v>0</v>
      </c>
      <c r="M531">
        <f t="shared" ref="M531" si="393">MDETERM(B531:D533)</f>
        <v>-2.0926527595589355</v>
      </c>
      <c r="N531">
        <f t="shared" ref="N531" si="394">MDETERM(E531:G533)</f>
        <v>-3.3686023826032914E-6</v>
      </c>
      <c r="P531">
        <f t="array" ref="P531:R533">SVDD(B531:D533)</f>
        <v>4.0039204613193897</v>
      </c>
      <c r="Q531">
        <v>0</v>
      </c>
      <c r="R531">
        <v>0</v>
      </c>
      <c r="S531" s="3">
        <f t="shared" ref="S531" si="395">MAX(P531,Q532,R533)/MIN(P531,Q532,R533)</f>
        <v>14.309656637068336</v>
      </c>
    </row>
    <row r="532" spans="1:19">
      <c r="A532" s="7" t="s">
        <v>148</v>
      </c>
      <c r="B532" s="8">
        <v>2.8449497700634536</v>
      </c>
      <c r="C532" s="8">
        <v>0.22852225552422287</v>
      </c>
      <c r="D532" s="8">
        <v>6.9737163040410666E-2</v>
      </c>
      <c r="E532" s="7">
        <v>0</v>
      </c>
      <c r="F532" s="7">
        <v>-1.4990516053215155E-2</v>
      </c>
      <c r="G532" s="8">
        <v>0</v>
      </c>
      <c r="H532" s="8">
        <v>-2.2385887789414392E-2</v>
      </c>
      <c r="I532" s="33">
        <v>0</v>
      </c>
      <c r="J532" s="7">
        <v>1.6236379226863738E-2</v>
      </c>
      <c r="K532" s="7">
        <v>0</v>
      </c>
      <c r="P532">
        <v>0</v>
      </c>
      <c r="Q532">
        <v>1.86790807807356</v>
      </c>
      <c r="R532">
        <v>0</v>
      </c>
    </row>
    <row r="533" spans="1:19">
      <c r="A533" s="7"/>
      <c r="B533" s="8">
        <v>1.3773893306068323</v>
      </c>
      <c r="C533" s="8">
        <v>1.5521003879162059</v>
      </c>
      <c r="D533" s="8">
        <v>-0.65590292152571228</v>
      </c>
      <c r="E533" s="7">
        <v>0</v>
      </c>
      <c r="F533" s="8">
        <v>0</v>
      </c>
      <c r="G533" s="7">
        <v>-1.4990516053215155E-2</v>
      </c>
      <c r="H533" s="8">
        <v>-2.2385887789414392E-2</v>
      </c>
      <c r="I533" s="8">
        <v>0</v>
      </c>
      <c r="J533" s="33">
        <v>0</v>
      </c>
      <c r="K533" s="33">
        <v>2.0521745021313972E-2</v>
      </c>
      <c r="P533">
        <v>0</v>
      </c>
      <c r="Q533">
        <v>0</v>
      </c>
      <c r="R533">
        <v>0.27980548820070678</v>
      </c>
    </row>
    <row r="534" spans="1:19">
      <c r="A534" s="7"/>
      <c r="B534" s="8"/>
      <c r="C534" s="8"/>
      <c r="D534" s="8"/>
      <c r="E534" s="7"/>
      <c r="F534" s="7"/>
      <c r="G534" s="7"/>
      <c r="H534" s="7"/>
      <c r="I534" s="7"/>
      <c r="J534" s="7"/>
      <c r="K534" s="7"/>
    </row>
    <row r="535" spans="1:19">
      <c r="A535" s="7"/>
      <c r="B535" s="8">
        <v>2.44475956514645</v>
      </c>
      <c r="C535" s="8">
        <v>-0.85548399177677847</v>
      </c>
      <c r="D535" s="8">
        <v>5.2896656816179721E-2</v>
      </c>
      <c r="E535" s="7">
        <v>-1.4990516053215155E-2</v>
      </c>
      <c r="F535" s="8">
        <v>0</v>
      </c>
      <c r="G535" s="8">
        <v>0</v>
      </c>
      <c r="H535" s="33">
        <v>0</v>
      </c>
      <c r="I535" s="7">
        <v>0</v>
      </c>
      <c r="J535" s="7">
        <v>0</v>
      </c>
      <c r="K535" s="7">
        <v>0</v>
      </c>
      <c r="M535">
        <f t="shared" ref="M535" si="396">MDETERM(B535:D537)</f>
        <v>-0.52558239955529285</v>
      </c>
      <c r="N535">
        <f t="shared" ref="N535" si="397">MDETERM(E535:G537)</f>
        <v>-3.3686023826032914E-6</v>
      </c>
      <c r="P535">
        <f t="array" ref="P535:R537">SVDD(B535:D537)</f>
        <v>3.1932290843373745</v>
      </c>
      <c r="Q535">
        <v>0</v>
      </c>
      <c r="R535">
        <v>0</v>
      </c>
      <c r="S535" s="3">
        <f t="shared" ref="S535" si="398">MAX(P535,Q536,R537)/MIN(P535,Q536,R537)</f>
        <v>38.193455921208319</v>
      </c>
    </row>
    <row r="536" spans="1:19">
      <c r="A536" s="7" t="s">
        <v>149</v>
      </c>
      <c r="B536" s="8">
        <v>0.36768865949079377</v>
      </c>
      <c r="C536" s="8">
        <v>1.2890795247765441</v>
      </c>
      <c r="D536" s="8">
        <v>0.10954983766095538</v>
      </c>
      <c r="E536" s="7">
        <v>0</v>
      </c>
      <c r="F536" s="7">
        <v>-1.4990516053215155E-2</v>
      </c>
      <c r="G536" s="8">
        <v>0</v>
      </c>
      <c r="H536" s="8">
        <v>0</v>
      </c>
      <c r="I536" s="33">
        <v>0</v>
      </c>
      <c r="J536" s="7">
        <v>0</v>
      </c>
      <c r="K536" s="7">
        <v>0</v>
      </c>
      <c r="P536">
        <v>0</v>
      </c>
      <c r="Q536">
        <v>1.96865501740104</v>
      </c>
      <c r="R536">
        <v>0</v>
      </c>
    </row>
    <row r="537" spans="1:19">
      <c r="A537" s="7"/>
      <c r="B537" s="8">
        <v>1.9865190328797109</v>
      </c>
      <c r="C537" s="8">
        <v>1.2694850305255347</v>
      </c>
      <c r="D537" s="8">
        <v>3.2127045366234341E-2</v>
      </c>
      <c r="E537" s="7">
        <v>0</v>
      </c>
      <c r="F537" s="8">
        <v>0</v>
      </c>
      <c r="G537" s="7">
        <v>-1.4990516053215155E-2</v>
      </c>
      <c r="H537" s="8">
        <v>0</v>
      </c>
      <c r="I537" s="8">
        <v>0</v>
      </c>
      <c r="J537" s="33">
        <v>0</v>
      </c>
      <c r="K537" s="33">
        <v>0</v>
      </c>
      <c r="P537">
        <v>0</v>
      </c>
      <c r="Q537">
        <v>0</v>
      </c>
      <c r="R537">
        <v>8.360670715226419E-2</v>
      </c>
    </row>
    <row r="538" spans="1:19">
      <c r="A538" s="7"/>
      <c r="B538" s="8"/>
      <c r="C538" s="8"/>
      <c r="D538" s="8"/>
      <c r="E538" s="7"/>
      <c r="F538" s="7"/>
      <c r="G538" s="7"/>
      <c r="H538" s="7"/>
      <c r="I538" s="7"/>
      <c r="J538" s="7"/>
      <c r="K538" s="7"/>
    </row>
    <row r="539" spans="1:19">
      <c r="A539" s="7"/>
      <c r="B539" s="8">
        <v>2.44475956514645</v>
      </c>
      <c r="C539" s="8">
        <v>-0.85548399177677847</v>
      </c>
      <c r="D539" s="8">
        <v>5.2896656816179721E-2</v>
      </c>
      <c r="E539" s="7">
        <v>-1.4990516053215155E-2</v>
      </c>
      <c r="F539" s="8">
        <v>0</v>
      </c>
      <c r="G539" s="8">
        <v>0</v>
      </c>
      <c r="H539" s="33">
        <v>-2.2385887789414392E-2</v>
      </c>
      <c r="I539" s="7">
        <v>2.2872089329671663E-2</v>
      </c>
      <c r="J539" s="7">
        <v>0</v>
      </c>
      <c r="K539" s="7">
        <v>0</v>
      </c>
      <c r="M539">
        <f t="shared" ref="M539" si="399">MDETERM(B539:D541)</f>
        <v>-2.8818949898130115</v>
      </c>
      <c r="N539">
        <f t="shared" ref="N539" si="400">MDETERM(E539:G541)</f>
        <v>-3.3686023826032914E-6</v>
      </c>
      <c r="P539">
        <f t="array" ref="P539:R541">SVDD(B539:D541)</f>
        <v>2.862061475420143</v>
      </c>
      <c r="Q539">
        <v>0</v>
      </c>
      <c r="R539">
        <v>0</v>
      </c>
      <c r="S539" s="3">
        <f t="shared" ref="S539" si="401">MAX(P539,Q540,R541)/MIN(P539,Q540,R541)</f>
        <v>6.2639720915040158</v>
      </c>
    </row>
    <row r="540" spans="1:19">
      <c r="A540" s="7" t="s">
        <v>150</v>
      </c>
      <c r="B540" s="8">
        <v>0.36768865949079377</v>
      </c>
      <c r="C540" s="8">
        <v>1.2890795247765441</v>
      </c>
      <c r="D540" s="8">
        <v>0.10954983766095538</v>
      </c>
      <c r="E540" s="7">
        <v>0</v>
      </c>
      <c r="F540" s="7">
        <v>-1.4990516053215155E-2</v>
      </c>
      <c r="G540" s="8">
        <v>0</v>
      </c>
      <c r="H540" s="8">
        <v>-2.2385887789414392E-2</v>
      </c>
      <c r="I540" s="33">
        <v>0</v>
      </c>
      <c r="J540" s="7">
        <v>1.5970575730977998E-2</v>
      </c>
      <c r="K540" s="7">
        <v>0</v>
      </c>
      <c r="P540">
        <v>0</v>
      </c>
      <c r="Q540">
        <v>2.2037891992120984</v>
      </c>
      <c r="R540">
        <v>0</v>
      </c>
    </row>
    <row r="541" spans="1:19">
      <c r="A541" s="7"/>
      <c r="B541" s="8">
        <v>1.3773893306068323</v>
      </c>
      <c r="C541" s="8">
        <v>1.5521003879162059</v>
      </c>
      <c r="D541" s="8">
        <v>-0.65590292152571228</v>
      </c>
      <c r="E541" s="7">
        <v>0</v>
      </c>
      <c r="F541" s="8">
        <v>0</v>
      </c>
      <c r="G541" s="7">
        <v>-1.4990516053215155E-2</v>
      </c>
      <c r="H541" s="8">
        <v>-2.2385887789414392E-2</v>
      </c>
      <c r="I541" s="8">
        <v>0</v>
      </c>
      <c r="J541" s="33">
        <v>0</v>
      </c>
      <c r="K541" s="33">
        <v>2.0521745021313972E-2</v>
      </c>
      <c r="P541">
        <v>0</v>
      </c>
      <c r="Q541">
        <v>0</v>
      </c>
      <c r="R541">
        <v>0.45690840150805101</v>
      </c>
    </row>
    <row r="542" spans="1:19">
      <c r="A542" s="7"/>
      <c r="B542" s="8"/>
      <c r="C542" s="8"/>
      <c r="D542" s="8"/>
      <c r="E542" s="7"/>
      <c r="F542" s="7"/>
      <c r="G542" s="7"/>
      <c r="H542" s="7"/>
      <c r="I542" s="7"/>
      <c r="J542" s="7"/>
      <c r="K542" s="7"/>
    </row>
    <row r="543" spans="1:19">
      <c r="A543" s="7"/>
      <c r="B543" s="8">
        <v>2.44475956514645</v>
      </c>
      <c r="C543" s="8">
        <v>-0.85548399177677847</v>
      </c>
      <c r="D543" s="8">
        <v>5.2896656816179721E-2</v>
      </c>
      <c r="E543" s="7">
        <v>-1.4990516053215155E-2</v>
      </c>
      <c r="F543" s="8">
        <v>0</v>
      </c>
      <c r="G543" s="8">
        <v>0</v>
      </c>
      <c r="H543" s="33">
        <v>0</v>
      </c>
      <c r="I543" s="7">
        <v>0</v>
      </c>
      <c r="J543" s="7">
        <v>0</v>
      </c>
      <c r="K543" s="7">
        <v>0</v>
      </c>
      <c r="M543">
        <f t="shared" ref="M543" si="402">MDETERM(B543:D545)</f>
        <v>-3.2394770526391397</v>
      </c>
      <c r="N543">
        <f t="shared" ref="N543" si="403">MDETERM(E543:G545)</f>
        <v>-3.3686023826032914E-6</v>
      </c>
      <c r="P543">
        <f t="array" ref="P543:R545">SVDD(B543:D545)</f>
        <v>3.5686569314803323</v>
      </c>
      <c r="Q543">
        <v>0</v>
      </c>
      <c r="R543">
        <v>0</v>
      </c>
      <c r="S543" s="3">
        <f t="shared" ref="S543" si="404">MAX(P543,Q544,R545)/MIN(P543,Q544,R545)</f>
        <v>7.9300802487334305</v>
      </c>
    </row>
    <row r="544" spans="1:19">
      <c r="A544" s="7" t="s">
        <v>151</v>
      </c>
      <c r="B544" s="8">
        <v>1.9865190328797109</v>
      </c>
      <c r="C544" s="8">
        <v>1.2694850305255347</v>
      </c>
      <c r="D544" s="8">
        <v>3.2127045366234341E-2</v>
      </c>
      <c r="E544" s="7">
        <v>0</v>
      </c>
      <c r="F544" s="7">
        <v>-1.4990516053215155E-2</v>
      </c>
      <c r="G544" s="8">
        <v>0</v>
      </c>
      <c r="H544" s="8">
        <v>0</v>
      </c>
      <c r="I544" s="33">
        <v>0</v>
      </c>
      <c r="J544" s="7">
        <v>0</v>
      </c>
      <c r="K544" s="7">
        <v>0</v>
      </c>
      <c r="P544">
        <v>0</v>
      </c>
      <c r="Q544">
        <v>2.017171813073344</v>
      </c>
      <c r="R544">
        <v>0</v>
      </c>
    </row>
    <row r="545" spans="1:19">
      <c r="A545" s="7"/>
      <c r="B545" s="8">
        <v>1.3773893306068323</v>
      </c>
      <c r="C545" s="8">
        <v>1.5521003879162059</v>
      </c>
      <c r="D545" s="8">
        <v>-0.65590292152571228</v>
      </c>
      <c r="E545" s="7">
        <v>0</v>
      </c>
      <c r="F545" s="8">
        <v>0</v>
      </c>
      <c r="G545" s="7">
        <v>-1.4990516053215155E-2</v>
      </c>
      <c r="H545" s="8">
        <v>0</v>
      </c>
      <c r="I545" s="8">
        <v>0</v>
      </c>
      <c r="J545" s="33">
        <v>0</v>
      </c>
      <c r="K545" s="33">
        <v>0</v>
      </c>
      <c r="P545">
        <v>0</v>
      </c>
      <c r="Q545">
        <v>0</v>
      </c>
      <c r="R545">
        <v>0.45001523560247803</v>
      </c>
    </row>
    <row r="546" spans="1:19">
      <c r="A546" s="7"/>
      <c r="B546" s="8"/>
      <c r="C546" s="8"/>
      <c r="D546" s="8"/>
      <c r="E546" s="7"/>
      <c r="F546" s="7"/>
      <c r="G546" s="7"/>
      <c r="H546" s="7"/>
      <c r="I546" s="7"/>
      <c r="J546" s="7"/>
      <c r="K546" s="7"/>
    </row>
    <row r="547" spans="1:19">
      <c r="A547" s="7"/>
      <c r="B547" s="8">
        <v>2.8449497700634536</v>
      </c>
      <c r="C547" s="8">
        <v>0.22852225552422287</v>
      </c>
      <c r="D547" s="8">
        <v>6.9737163040410666E-2</v>
      </c>
      <c r="E547" s="7">
        <v>-1.4990516053215155E-2</v>
      </c>
      <c r="F547" s="8">
        <v>0</v>
      </c>
      <c r="G547" s="8">
        <v>0</v>
      </c>
      <c r="H547" s="33">
        <v>0</v>
      </c>
      <c r="I547" s="7">
        <v>0</v>
      </c>
      <c r="J547" s="7">
        <v>0</v>
      </c>
      <c r="K547" s="7">
        <v>0</v>
      </c>
      <c r="M547">
        <f t="shared" ref="M547" si="405">MDETERM(B547:D549)</f>
        <v>-0.37682869621116094</v>
      </c>
      <c r="N547">
        <f t="shared" ref="N547" si="406">MDETERM(E547:G549)</f>
        <v>-3.3686023826032914E-6</v>
      </c>
      <c r="P547">
        <f t="array" ref="P547:R549">SVDD(B547:D549)</f>
        <v>3.6732774020394094</v>
      </c>
      <c r="Q547">
        <v>0</v>
      </c>
      <c r="R547">
        <v>0</v>
      </c>
      <c r="S547" s="3">
        <f t="shared" ref="S547" si="407">MAX(P547,Q548,R549)/MIN(P547,Q548,R549)</f>
        <v>50.896502091007278</v>
      </c>
    </row>
    <row r="548" spans="1:19">
      <c r="A548" s="7" t="s">
        <v>152</v>
      </c>
      <c r="B548" s="8">
        <v>0.36768865949079377</v>
      </c>
      <c r="C548" s="8">
        <v>1.2890795247765441</v>
      </c>
      <c r="D548" s="8">
        <v>0.10954983766095538</v>
      </c>
      <c r="E548" s="7">
        <v>0</v>
      </c>
      <c r="F548" s="7">
        <v>-1.4990516053215155E-2</v>
      </c>
      <c r="G548" s="8">
        <v>0</v>
      </c>
      <c r="H548" s="8">
        <v>0</v>
      </c>
      <c r="I548" s="33">
        <v>0</v>
      </c>
      <c r="J548" s="7">
        <v>0</v>
      </c>
      <c r="K548" s="7">
        <v>0</v>
      </c>
      <c r="P548">
        <v>0</v>
      </c>
      <c r="Q548">
        <v>1.4214266370125714</v>
      </c>
      <c r="R548">
        <v>0</v>
      </c>
    </row>
    <row r="549" spans="1:19">
      <c r="A549" s="7"/>
      <c r="B549" s="8">
        <v>1.9865190328797109</v>
      </c>
      <c r="C549" s="8">
        <v>1.2694850305255347</v>
      </c>
      <c r="D549" s="8">
        <v>3.2127045366234341E-2</v>
      </c>
      <c r="E549" s="7">
        <v>0</v>
      </c>
      <c r="F549" s="8">
        <v>0</v>
      </c>
      <c r="G549" s="7">
        <v>-1.4990516053215155E-2</v>
      </c>
      <c r="H549" s="8">
        <v>0</v>
      </c>
      <c r="I549" s="8">
        <v>0</v>
      </c>
      <c r="J549" s="33">
        <v>0</v>
      </c>
      <c r="K549" s="33">
        <v>0</v>
      </c>
      <c r="P549">
        <v>0</v>
      </c>
      <c r="Q549">
        <v>0</v>
      </c>
      <c r="R549">
        <v>7.2171509850937829E-2</v>
      </c>
    </row>
    <row r="550" spans="1:19">
      <c r="A550" s="7"/>
      <c r="B550" s="8"/>
      <c r="C550" s="8"/>
      <c r="D550" s="8"/>
      <c r="E550" s="7"/>
      <c r="F550" s="7"/>
      <c r="G550" s="7"/>
      <c r="H550" s="7"/>
      <c r="I550" s="7"/>
      <c r="J550" s="7"/>
      <c r="K550" s="7"/>
    </row>
    <row r="551" spans="1:19">
      <c r="A551" s="7"/>
      <c r="B551" s="8">
        <v>2.8449497700634536</v>
      </c>
      <c r="C551" s="8">
        <v>0.22852225552422287</v>
      </c>
      <c r="D551" s="8">
        <v>6.9737163040410666E-2</v>
      </c>
      <c r="E551" s="7">
        <v>-1.4990516053215155E-2</v>
      </c>
      <c r="F551" s="8">
        <v>0</v>
      </c>
      <c r="G551" s="8">
        <v>0</v>
      </c>
      <c r="H551" s="33">
        <v>-2.2385887789414392E-2</v>
      </c>
      <c r="I551" s="7">
        <v>1.6236379226863738E-2</v>
      </c>
      <c r="J551" s="7">
        <v>0</v>
      </c>
      <c r="K551" s="7">
        <v>0</v>
      </c>
      <c r="M551">
        <f t="shared" ref="M551" si="408">MDETERM(B551:D553)</f>
        <v>-2.8835997956298032</v>
      </c>
      <c r="N551">
        <f t="shared" ref="N551" si="409">MDETERM(E551:G553)</f>
        <v>-3.3686023826032914E-6</v>
      </c>
      <c r="P551">
        <f t="array" ref="P551:R553">SVDD(B551:D553)</f>
        <v>3.4116005787297428</v>
      </c>
      <c r="Q551">
        <v>0</v>
      </c>
      <c r="R551">
        <v>0</v>
      </c>
      <c r="S551" s="3">
        <f t="shared" ref="S551" si="410">MAX(P551,Q552,R553)/MIN(P551,Q552,R553)</f>
        <v>6.7566483524299317</v>
      </c>
    </row>
    <row r="552" spans="1:19">
      <c r="A552" s="7" t="s">
        <v>153</v>
      </c>
      <c r="B552" s="8">
        <v>0.36768865949079377</v>
      </c>
      <c r="C552" s="8">
        <v>1.2890795247765441</v>
      </c>
      <c r="D552" s="8">
        <v>0.10954983766095538</v>
      </c>
      <c r="E552" s="7">
        <v>0</v>
      </c>
      <c r="F552" s="7">
        <v>-1.4990516053215155E-2</v>
      </c>
      <c r="G552" s="8">
        <v>0</v>
      </c>
      <c r="H552" s="8">
        <v>-2.2385887789414392E-2</v>
      </c>
      <c r="I552" s="33">
        <v>0</v>
      </c>
      <c r="J552" s="7">
        <v>1.5970575730977998E-2</v>
      </c>
      <c r="K552" s="7">
        <v>0</v>
      </c>
      <c r="P552">
        <v>0</v>
      </c>
      <c r="Q552">
        <v>1.6739787632004006</v>
      </c>
      <c r="R552">
        <v>0</v>
      </c>
    </row>
    <row r="553" spans="1:19">
      <c r="A553" s="7"/>
      <c r="B553" s="8">
        <v>1.3773893306068323</v>
      </c>
      <c r="C553" s="8">
        <v>1.5521003879162059</v>
      </c>
      <c r="D553" s="8">
        <v>-0.65590292152571228</v>
      </c>
      <c r="E553" s="7">
        <v>0</v>
      </c>
      <c r="F553" s="8">
        <v>0</v>
      </c>
      <c r="G553" s="7">
        <v>-1.4990516053215155E-2</v>
      </c>
      <c r="H553" s="8">
        <v>-2.2385887789414392E-2</v>
      </c>
      <c r="I553" s="8">
        <v>0</v>
      </c>
      <c r="J553" s="33">
        <v>0</v>
      </c>
      <c r="K553" s="33">
        <v>2.0521745021313972E-2</v>
      </c>
      <c r="P553">
        <v>0</v>
      </c>
      <c r="Q553">
        <v>0</v>
      </c>
      <c r="R553">
        <v>0.50492498658788565</v>
      </c>
    </row>
    <row r="554" spans="1:19">
      <c r="A554" s="7"/>
      <c r="B554" s="8"/>
      <c r="C554" s="8"/>
      <c r="D554" s="8"/>
      <c r="E554" s="7"/>
      <c r="F554" s="7"/>
      <c r="G554" s="7"/>
      <c r="H554" s="7"/>
      <c r="I554" s="7"/>
      <c r="J554" s="7"/>
      <c r="K554" s="7"/>
    </row>
    <row r="555" spans="1:19">
      <c r="A555" s="7"/>
      <c r="B555" s="8">
        <v>2.8449497700634536</v>
      </c>
      <c r="C555" s="8">
        <v>0.22852225552422287</v>
      </c>
      <c r="D555" s="8">
        <v>6.9737163040410666E-2</v>
      </c>
      <c r="E555" s="7">
        <v>-1.4990516053215155E-2</v>
      </c>
      <c r="F555" s="8">
        <v>0</v>
      </c>
      <c r="G555" s="8">
        <v>0</v>
      </c>
      <c r="H555" s="33">
        <v>0</v>
      </c>
      <c r="I555" s="7">
        <v>0</v>
      </c>
      <c r="J555" s="7">
        <v>0</v>
      </c>
      <c r="K555" s="7">
        <v>0</v>
      </c>
      <c r="M555">
        <f t="shared" ref="M555" si="411">MDETERM(B555:D557)</f>
        <v>-2.1097876238997864</v>
      </c>
      <c r="N555">
        <f t="shared" ref="N555" si="412">MDETERM(E555:G557)</f>
        <v>-3.3686023826032914E-6</v>
      </c>
      <c r="P555">
        <f t="array" ref="P555:R557">SVDD(B555:D557)</f>
        <v>4.0387802735762426</v>
      </c>
      <c r="Q555">
        <v>0</v>
      </c>
      <c r="R555">
        <v>0</v>
      </c>
      <c r="S555" s="3">
        <f t="shared" ref="S555" si="413">MAX(P555,Q556,R557)/MIN(P555,Q556,R557)</f>
        <v>10.927909861320535</v>
      </c>
    </row>
    <row r="556" spans="1:19">
      <c r="A556" s="7" t="s">
        <v>154</v>
      </c>
      <c r="B556" s="8">
        <v>1.9865190328797109</v>
      </c>
      <c r="C556" s="8">
        <v>1.2694850305255347</v>
      </c>
      <c r="D556" s="8">
        <v>3.2127045366234341E-2</v>
      </c>
      <c r="E556" s="7">
        <v>0</v>
      </c>
      <c r="F556" s="7">
        <v>-1.4990516053215155E-2</v>
      </c>
      <c r="G556" s="8">
        <v>0</v>
      </c>
      <c r="H556" s="8">
        <v>0</v>
      </c>
      <c r="I556" s="33">
        <v>0</v>
      </c>
      <c r="J556" s="7">
        <v>0</v>
      </c>
      <c r="K556" s="7">
        <v>0</v>
      </c>
      <c r="P556">
        <v>0</v>
      </c>
      <c r="Q556">
        <v>1.4134335368921829</v>
      </c>
      <c r="R556">
        <v>0</v>
      </c>
    </row>
    <row r="557" spans="1:19">
      <c r="A557" s="7"/>
      <c r="B557" s="8">
        <v>1.3773893306068323</v>
      </c>
      <c r="C557" s="8">
        <v>1.5521003879162059</v>
      </c>
      <c r="D557" s="8">
        <v>-0.65590292152571228</v>
      </c>
      <c r="E557" s="7">
        <v>0</v>
      </c>
      <c r="F557" s="8">
        <v>0</v>
      </c>
      <c r="G557" s="7">
        <v>-1.4990516053215155E-2</v>
      </c>
      <c r="H557" s="8">
        <v>0</v>
      </c>
      <c r="I557" s="8">
        <v>0</v>
      </c>
      <c r="J557" s="33">
        <v>0</v>
      </c>
      <c r="K557" s="33">
        <v>0</v>
      </c>
      <c r="P557">
        <v>0</v>
      </c>
      <c r="Q557">
        <v>0</v>
      </c>
      <c r="R557">
        <v>0.36958396663496951</v>
      </c>
    </row>
    <row r="558" spans="1:19">
      <c r="A558" s="7"/>
      <c r="B558" s="8"/>
      <c r="C558" s="8"/>
      <c r="D558" s="8"/>
      <c r="E558" s="7"/>
      <c r="F558" s="7"/>
      <c r="G558" s="7"/>
      <c r="H558" s="7"/>
      <c r="I558" s="7"/>
      <c r="J558" s="7"/>
      <c r="K558" s="7"/>
    </row>
    <row r="559" spans="1:19">
      <c r="A559" s="7"/>
      <c r="B559" s="8">
        <v>0.36768865949079377</v>
      </c>
      <c r="C559" s="8">
        <v>1.2890795247765441</v>
      </c>
      <c r="D559" s="8">
        <v>0.10954983766095538</v>
      </c>
      <c r="E559" s="7">
        <v>-1.4990516053215155E-2</v>
      </c>
      <c r="F559" s="8">
        <v>0</v>
      </c>
      <c r="G559" s="8">
        <v>0</v>
      </c>
      <c r="H559" s="33">
        <v>0</v>
      </c>
      <c r="I559" s="7">
        <v>0</v>
      </c>
      <c r="J559" s="7">
        <v>0</v>
      </c>
      <c r="K559" s="7">
        <v>0</v>
      </c>
      <c r="M559">
        <f t="shared" ref="M559" si="414">MDETERM(B559:D561)</f>
        <v>1.5583899283599822</v>
      </c>
      <c r="N559">
        <f t="shared" ref="N559" si="415">MDETERM(E559:G561)</f>
        <v>-3.3686023826032914E-6</v>
      </c>
      <c r="P559">
        <f t="array" ref="P559:R561">SVDD(B559:D561)</f>
        <v>3.3304330452374593</v>
      </c>
      <c r="Q559">
        <v>0</v>
      </c>
      <c r="R559">
        <v>0</v>
      </c>
      <c r="S559" s="3">
        <f t="shared" ref="S559" si="416">MAX(P559,Q560,R561)/MIN(P559,Q560,R561)</f>
        <v>5.9522483324166</v>
      </c>
    </row>
    <row r="560" spans="1:19">
      <c r="A560" s="7" t="s">
        <v>155</v>
      </c>
      <c r="B560" s="8">
        <v>1.9865190328797109</v>
      </c>
      <c r="C560" s="8">
        <v>1.2694850305255347</v>
      </c>
      <c r="D560" s="8">
        <v>3.2127045366234341E-2</v>
      </c>
      <c r="E560" s="7">
        <v>0</v>
      </c>
      <c r="F560" s="7">
        <v>-1.4990516053215155E-2</v>
      </c>
      <c r="G560" s="8">
        <v>0</v>
      </c>
      <c r="H560" s="8">
        <v>0</v>
      </c>
      <c r="I560" s="33">
        <v>0</v>
      </c>
      <c r="J560" s="7">
        <v>0</v>
      </c>
      <c r="K560" s="7">
        <v>0</v>
      </c>
      <c r="P560">
        <v>0</v>
      </c>
      <c r="Q560">
        <v>0.83628779892696181</v>
      </c>
      <c r="R560">
        <v>0</v>
      </c>
    </row>
    <row r="561" spans="1:19">
      <c r="A561" s="7"/>
      <c r="B561" s="8">
        <v>1.3773893306068323</v>
      </c>
      <c r="C561" s="8">
        <v>1.5521003879162059</v>
      </c>
      <c r="D561" s="8">
        <v>-0.65590292152571228</v>
      </c>
      <c r="E561" s="7">
        <v>0</v>
      </c>
      <c r="F561" s="8">
        <v>0</v>
      </c>
      <c r="G561" s="7">
        <v>-1.4990516053215155E-2</v>
      </c>
      <c r="H561" s="8">
        <v>0</v>
      </c>
      <c r="I561" s="8">
        <v>0</v>
      </c>
      <c r="J561" s="33">
        <v>0</v>
      </c>
      <c r="K561" s="33">
        <v>0</v>
      </c>
      <c r="P561">
        <v>0</v>
      </c>
      <c r="Q561">
        <v>0</v>
      </c>
      <c r="R561">
        <v>0.55952521790792131</v>
      </c>
    </row>
    <row r="562" spans="1:19">
      <c r="A562" s="7"/>
      <c r="B562" s="8"/>
      <c r="C562" s="8"/>
      <c r="D562" s="8"/>
      <c r="E562" s="7"/>
      <c r="F562" s="7"/>
      <c r="G562" s="7"/>
      <c r="H562" s="7"/>
      <c r="I562" s="7"/>
      <c r="J562" s="7"/>
      <c r="K562" s="7"/>
    </row>
    <row r="563" spans="1:19">
      <c r="A563" s="7"/>
      <c r="B563" s="8">
        <v>-1.4421025939282253</v>
      </c>
      <c r="C563" s="8">
        <v>-1.0431877148697888</v>
      </c>
      <c r="D563" s="8">
        <v>-0.78932433807079116</v>
      </c>
      <c r="E563" s="7">
        <v>-1.4990516053215155E-2</v>
      </c>
      <c r="F563" s="8">
        <v>0</v>
      </c>
      <c r="G563" s="8">
        <v>0</v>
      </c>
      <c r="H563" s="33">
        <v>0</v>
      </c>
      <c r="I563" s="7">
        <v>0</v>
      </c>
      <c r="J563" s="7">
        <v>0</v>
      </c>
      <c r="K563" s="7">
        <v>0</v>
      </c>
      <c r="M563">
        <f t="shared" ref="M563" si="417">MDETERM(B563:D565)</f>
        <v>-1.8884498807674159</v>
      </c>
      <c r="N563">
        <f t="shared" ref="N563" si="418">MDETERM(E563:G565)</f>
        <v>-3.3686023826032914E-6</v>
      </c>
      <c r="P563">
        <f t="array" ref="P563:R565">SVDD(B563:D565)</f>
        <v>3.5193407540499355</v>
      </c>
      <c r="Q563">
        <v>0</v>
      </c>
      <c r="R563">
        <v>0</v>
      </c>
      <c r="S563" s="3">
        <f t="shared" ref="S563" si="419">MAX(P563,Q564,R565)/MIN(P563,Q564,R565)</f>
        <v>5.9241424686026916</v>
      </c>
    </row>
    <row r="564" spans="1:19">
      <c r="A564" s="7" t="s">
        <v>156</v>
      </c>
      <c r="B564" s="8">
        <v>-2.6959782234951333</v>
      </c>
      <c r="C564" s="8">
        <v>-1.0757798809975587</v>
      </c>
      <c r="D564" s="8">
        <v>-4.997772423355884E-2</v>
      </c>
      <c r="E564" s="7">
        <v>0</v>
      </c>
      <c r="F564" s="7">
        <v>-1.4990516053215155E-2</v>
      </c>
      <c r="G564" s="8">
        <v>0</v>
      </c>
      <c r="H564" s="8">
        <v>0</v>
      </c>
      <c r="I564" s="33">
        <v>0</v>
      </c>
      <c r="J564" s="7">
        <v>0</v>
      </c>
      <c r="K564" s="7">
        <v>0</v>
      </c>
      <c r="P564">
        <v>0</v>
      </c>
      <c r="Q564">
        <v>0.903250727594609</v>
      </c>
      <c r="R564">
        <v>0</v>
      </c>
    </row>
    <row r="565" spans="1:19">
      <c r="A565" s="7"/>
      <c r="B565" s="8">
        <v>-0.40019020491700363</v>
      </c>
      <c r="C565" s="8">
        <v>-1.0840062473010013</v>
      </c>
      <c r="D565" s="8">
        <v>-1.6840506224230944E-2</v>
      </c>
      <c r="E565" s="7">
        <v>0</v>
      </c>
      <c r="F565" s="8">
        <v>0</v>
      </c>
      <c r="G565" s="7">
        <v>-1.4990516053215155E-2</v>
      </c>
      <c r="H565" s="8">
        <v>0</v>
      </c>
      <c r="I565" s="8">
        <v>0</v>
      </c>
      <c r="J565" s="33">
        <v>0</v>
      </c>
      <c r="K565" s="33">
        <v>0</v>
      </c>
      <c r="P565">
        <v>0</v>
      </c>
      <c r="Q565">
        <v>0</v>
      </c>
      <c r="R565">
        <v>0.594067541876661</v>
      </c>
    </row>
    <row r="566" spans="1:19">
      <c r="A566" s="7"/>
      <c r="B566" s="8"/>
      <c r="C566" s="8"/>
      <c r="D566" s="8"/>
      <c r="E566" s="7"/>
      <c r="F566" s="7"/>
      <c r="G566" s="7"/>
      <c r="H566" s="7"/>
      <c r="I566" s="7"/>
      <c r="J566" s="7"/>
      <c r="K566" s="7"/>
    </row>
    <row r="567" spans="1:19">
      <c r="A567" s="7"/>
      <c r="B567" s="8">
        <v>-1.4421025939282253</v>
      </c>
      <c r="C567" s="8">
        <v>-1.0431877148697888</v>
      </c>
      <c r="D567" s="8">
        <v>-0.78932433807079116</v>
      </c>
      <c r="E567" s="7">
        <v>-1.4990516053215155E-2</v>
      </c>
      <c r="F567" s="8">
        <v>0</v>
      </c>
      <c r="G567" s="8">
        <v>0</v>
      </c>
      <c r="H567" s="33">
        <v>0</v>
      </c>
      <c r="I567" s="7">
        <v>0</v>
      </c>
      <c r="J567" s="7">
        <v>0</v>
      </c>
      <c r="K567" s="7">
        <v>0</v>
      </c>
      <c r="M567">
        <f t="shared" ref="M567" si="420">MDETERM(B567:D569)</f>
        <v>1.8855488203375224</v>
      </c>
      <c r="N567">
        <f t="shared" ref="N567" si="421">MDETERM(E567:G569)</f>
        <v>-3.3686023826032914E-6</v>
      </c>
      <c r="P567">
        <f t="array" ref="P567:R569">SVDD(B567:D569)</f>
        <v>4.3731304447362875</v>
      </c>
      <c r="Q567">
        <v>0</v>
      </c>
      <c r="R567">
        <v>0</v>
      </c>
      <c r="S567" s="3">
        <f t="shared" ref="S567" si="422">MAX(P567,Q568,R569)/MIN(P567,Q568,R569)</f>
        <v>10.502318144486368</v>
      </c>
    </row>
    <row r="568" spans="1:19">
      <c r="A568" s="7" t="s">
        <v>157</v>
      </c>
      <c r="B568" s="8">
        <v>-2.6959782234951333</v>
      </c>
      <c r="C568" s="8">
        <v>-1.0757798809975587</v>
      </c>
      <c r="D568" s="8">
        <v>-4.997772423355884E-2</v>
      </c>
      <c r="E568" s="7">
        <v>0</v>
      </c>
      <c r="F568" s="7">
        <v>-1.4990516053215155E-2</v>
      </c>
      <c r="G568" s="8">
        <v>0</v>
      </c>
      <c r="H568" s="8">
        <v>0</v>
      </c>
      <c r="I568" s="33">
        <v>0</v>
      </c>
      <c r="J568" s="7">
        <v>0</v>
      </c>
      <c r="K568" s="7">
        <v>0</v>
      </c>
      <c r="P568">
        <v>0</v>
      </c>
      <c r="Q568">
        <v>1.0354713516116367</v>
      </c>
      <c r="R568">
        <v>0</v>
      </c>
    </row>
    <row r="569" spans="1:19">
      <c r="A569" s="7"/>
      <c r="B569" s="8">
        <v>-2.8449497700634536</v>
      </c>
      <c r="C569" s="8">
        <v>-0.22852225552422287</v>
      </c>
      <c r="D569" s="8">
        <v>-6.9737163040410666E-2</v>
      </c>
      <c r="E569" s="7">
        <v>0</v>
      </c>
      <c r="F569" s="8">
        <v>0</v>
      </c>
      <c r="G569" s="7">
        <v>-1.4990516053215155E-2</v>
      </c>
      <c r="H569" s="8">
        <v>0</v>
      </c>
      <c r="I569" s="8">
        <v>0</v>
      </c>
      <c r="J569" s="33">
        <v>0</v>
      </c>
      <c r="K569" s="33">
        <v>0</v>
      </c>
      <c r="P569">
        <v>0</v>
      </c>
      <c r="Q569">
        <v>0</v>
      </c>
      <c r="R569">
        <v>0.4163966835295449</v>
      </c>
    </row>
    <row r="570" spans="1:19">
      <c r="A570" s="7"/>
      <c r="B570" s="8"/>
      <c r="C570" s="8"/>
      <c r="D570" s="8"/>
      <c r="E570" s="7"/>
      <c r="F570" s="7"/>
      <c r="G570" s="7"/>
      <c r="H570" s="7"/>
      <c r="I570" s="7"/>
      <c r="J570" s="7"/>
      <c r="K570" s="7"/>
    </row>
    <row r="571" spans="1:19">
      <c r="A571" s="7"/>
      <c r="B571" s="8">
        <v>-1.4421025939282253</v>
      </c>
      <c r="C571" s="8">
        <v>-1.0431877148697888</v>
      </c>
      <c r="D571" s="8">
        <v>-0.78932433807079116</v>
      </c>
      <c r="E571" s="7">
        <v>-1.4990516053215155E-2</v>
      </c>
      <c r="F571" s="8">
        <v>0</v>
      </c>
      <c r="G571" s="8">
        <v>0</v>
      </c>
      <c r="H571" s="33">
        <v>0</v>
      </c>
      <c r="I571" s="7">
        <v>0</v>
      </c>
      <c r="J571" s="7">
        <v>0</v>
      </c>
      <c r="K571" s="7">
        <v>0</v>
      </c>
      <c r="M571">
        <f t="shared" ref="M571" si="423">MDETERM(B571:D573)</f>
        <v>4.1046095569423082</v>
      </c>
      <c r="N571">
        <f t="shared" ref="N571" si="424">MDETERM(E571:G573)</f>
        <v>-3.3686023826032914E-6</v>
      </c>
      <c r="P571">
        <f t="array" ref="P571:R573">SVDD(B571:D573)</f>
        <v>3.9812488275843316</v>
      </c>
      <c r="Q571">
        <v>0</v>
      </c>
      <c r="R571">
        <v>0</v>
      </c>
      <c r="S571" s="3">
        <f t="shared" ref="S571" si="425">MAX(P571,Q572,R573)/MIN(P571,Q572,R573)</f>
        <v>7.0264412742510673</v>
      </c>
    </row>
    <row r="572" spans="1:19">
      <c r="A572" s="7" t="s">
        <v>158</v>
      </c>
      <c r="B572" s="8">
        <v>-2.6959782234951333</v>
      </c>
      <c r="C572" s="8">
        <v>-1.0757798809975587</v>
      </c>
      <c r="D572" s="8">
        <v>-4.997772423355884E-2</v>
      </c>
      <c r="E572" s="7">
        <v>0</v>
      </c>
      <c r="F572" s="7">
        <v>-1.4990516053215155E-2</v>
      </c>
      <c r="G572" s="8">
        <v>0</v>
      </c>
      <c r="H572" s="8">
        <v>0</v>
      </c>
      <c r="I572" s="33">
        <v>0</v>
      </c>
      <c r="J572" s="7">
        <v>0</v>
      </c>
      <c r="K572" s="7">
        <v>0</v>
      </c>
      <c r="P572">
        <v>0</v>
      </c>
      <c r="Q572">
        <v>1.8195694195295511</v>
      </c>
      <c r="R572">
        <v>0</v>
      </c>
    </row>
    <row r="573" spans="1:19">
      <c r="A573" s="7"/>
      <c r="B573" s="8">
        <v>-2.4772611105726599</v>
      </c>
      <c r="C573" s="8">
        <v>1.0605572692523213</v>
      </c>
      <c r="D573" s="8">
        <v>3.9812674620544719E-2</v>
      </c>
      <c r="E573" s="7">
        <v>0</v>
      </c>
      <c r="F573" s="8">
        <v>0</v>
      </c>
      <c r="G573" s="7">
        <v>-1.4990516053215155E-2</v>
      </c>
      <c r="H573" s="8">
        <v>0</v>
      </c>
      <c r="I573" s="8">
        <v>0</v>
      </c>
      <c r="J573" s="33">
        <v>0</v>
      </c>
      <c r="K573" s="33">
        <v>0</v>
      </c>
      <c r="P573">
        <v>0</v>
      </c>
      <c r="Q573">
        <v>0</v>
      </c>
      <c r="R573">
        <v>0.56660956410095153</v>
      </c>
    </row>
    <row r="574" spans="1:19">
      <c r="A574" s="7"/>
      <c r="B574" s="8"/>
      <c r="C574" s="8"/>
      <c r="D574" s="8"/>
      <c r="E574" s="7"/>
      <c r="F574" s="7"/>
      <c r="G574" s="7"/>
      <c r="H574" s="7"/>
      <c r="I574" s="7"/>
      <c r="J574" s="7"/>
      <c r="K574" s="7"/>
    </row>
    <row r="575" spans="1:19">
      <c r="A575" s="7"/>
      <c r="B575" s="8">
        <v>-1.4421025939282253</v>
      </c>
      <c r="C575" s="8">
        <v>-1.0431877148697888</v>
      </c>
      <c r="D575" s="8">
        <v>-0.78932433807079116</v>
      </c>
      <c r="E575" s="7">
        <v>-1.4990516053215155E-2</v>
      </c>
      <c r="F575" s="8">
        <v>0</v>
      </c>
      <c r="G575" s="8">
        <v>0</v>
      </c>
      <c r="H575" s="33">
        <v>0</v>
      </c>
      <c r="I575" s="7">
        <v>0</v>
      </c>
      <c r="J575" s="7">
        <v>0</v>
      </c>
      <c r="K575" s="7">
        <v>0</v>
      </c>
      <c r="M575">
        <f t="shared" ref="M575" si="426">MDETERM(B575:D577)</f>
        <v>2.871744051574181</v>
      </c>
      <c r="N575">
        <f t="shared" ref="N575" si="427">MDETERM(E575:G577)</f>
        <v>-3.3686023826032914E-6</v>
      </c>
      <c r="P575">
        <f t="array" ref="P575:R577">SVDD(B575:D577)</f>
        <v>3.4334767470623184</v>
      </c>
      <c r="Q575">
        <v>0</v>
      </c>
      <c r="R575">
        <v>0</v>
      </c>
      <c r="S575" s="3">
        <f t="shared" ref="S575" si="428">MAX(P575,Q576,R577)/MIN(P575,Q576,R577)</f>
        <v>5.6287738318733966</v>
      </c>
    </row>
    <row r="576" spans="1:19">
      <c r="A576" s="7" t="s">
        <v>159</v>
      </c>
      <c r="B576" s="8">
        <v>-2.6959782234951333</v>
      </c>
      <c r="C576" s="8">
        <v>-1.0757798809975587</v>
      </c>
      <c r="D576" s="8">
        <v>-4.997772423355884E-2</v>
      </c>
      <c r="E576" s="7">
        <v>0</v>
      </c>
      <c r="F576" s="7">
        <v>-1.4990516053215155E-2</v>
      </c>
      <c r="G576" s="8">
        <v>0</v>
      </c>
      <c r="H576" s="8">
        <v>0</v>
      </c>
      <c r="I576" s="33">
        <v>0</v>
      </c>
      <c r="J576" s="7">
        <v>0</v>
      </c>
      <c r="K576" s="7">
        <v>0</v>
      </c>
      <c r="P576">
        <v>0</v>
      </c>
      <c r="Q576">
        <v>1.3711700163412144</v>
      </c>
      <c r="R576">
        <v>0</v>
      </c>
    </row>
    <row r="577" spans="1:19">
      <c r="A577" s="7"/>
      <c r="B577" s="8">
        <v>-0.85843073718374274</v>
      </c>
      <c r="C577" s="8">
        <v>1.040962775001312</v>
      </c>
      <c r="D577" s="8">
        <v>-3.7610117674176324E-2</v>
      </c>
      <c r="E577" s="7">
        <v>0</v>
      </c>
      <c r="F577" s="8">
        <v>0</v>
      </c>
      <c r="G577" s="7">
        <v>-1.4990516053215155E-2</v>
      </c>
      <c r="H577" s="8">
        <v>0</v>
      </c>
      <c r="I577" s="8">
        <v>0</v>
      </c>
      <c r="J577" s="33">
        <v>0</v>
      </c>
      <c r="K577" s="33">
        <v>0</v>
      </c>
      <c r="P577">
        <v>0</v>
      </c>
      <c r="Q577">
        <v>0</v>
      </c>
      <c r="R577">
        <v>0.60998662401746773</v>
      </c>
    </row>
    <row r="578" spans="1:19">
      <c r="A578" s="7"/>
      <c r="B578" s="8"/>
      <c r="C578" s="8"/>
      <c r="D578" s="8"/>
      <c r="E578" s="7"/>
      <c r="F578" s="7"/>
      <c r="G578" s="7"/>
      <c r="H578" s="7"/>
      <c r="I578" s="7"/>
      <c r="J578" s="7"/>
      <c r="K578" s="7"/>
    </row>
    <row r="579" spans="1:19">
      <c r="A579" s="7"/>
      <c r="B579" s="8">
        <v>-1.4421025939282253</v>
      </c>
      <c r="C579" s="8">
        <v>-1.0431877148697888</v>
      </c>
      <c r="D579" s="8">
        <v>-0.78932433807079116</v>
      </c>
      <c r="E579" s="7">
        <v>-1.4990516053215155E-2</v>
      </c>
      <c r="F579" s="8">
        <v>0</v>
      </c>
      <c r="G579" s="8">
        <v>0</v>
      </c>
      <c r="H579" s="33">
        <v>0</v>
      </c>
      <c r="I579" s="7">
        <v>0</v>
      </c>
      <c r="J579" s="7">
        <v>0</v>
      </c>
      <c r="K579" s="7">
        <v>0</v>
      </c>
      <c r="M579">
        <f t="shared" ref="M579" si="429">MDETERM(B579:D581)</f>
        <v>4.8058831541717364</v>
      </c>
      <c r="N579">
        <f t="shared" ref="N579" si="430">MDETERM(E579:G581)</f>
        <v>-3.3686023826032914E-6</v>
      </c>
      <c r="P579">
        <f t="array" ref="P579:R581">SVDD(B579:D581)</f>
        <v>3.5589664314805911</v>
      </c>
      <c r="Q579">
        <v>0</v>
      </c>
      <c r="R579">
        <v>0</v>
      </c>
      <c r="S579" s="3">
        <f t="shared" ref="S579" si="431">MAX(P579,Q580,R581)/MIN(P579,Q580,R581)</f>
        <v>4.9007064832167684</v>
      </c>
    </row>
    <row r="580" spans="1:19">
      <c r="A580" s="7" t="s">
        <v>160</v>
      </c>
      <c r="B580" s="8">
        <v>-2.6959782234951333</v>
      </c>
      <c r="C580" s="8">
        <v>-1.0757798809975587</v>
      </c>
      <c r="D580" s="8">
        <v>-4.997772423355884E-2</v>
      </c>
      <c r="E580" s="7">
        <v>0</v>
      </c>
      <c r="F580" s="7">
        <v>-1.4990516053215155E-2</v>
      </c>
      <c r="G580" s="8">
        <v>0</v>
      </c>
      <c r="H580" s="8">
        <v>0</v>
      </c>
      <c r="I580" s="33">
        <v>0</v>
      </c>
      <c r="J580" s="7">
        <v>0</v>
      </c>
      <c r="K580" s="7">
        <v>0</v>
      </c>
      <c r="P580">
        <v>0</v>
      </c>
      <c r="Q580">
        <v>1.8594483366819019</v>
      </c>
      <c r="R580">
        <v>0</v>
      </c>
    </row>
    <row r="581" spans="1:19">
      <c r="A581" s="7"/>
      <c r="B581" s="8">
        <v>-1.4675604394566215</v>
      </c>
      <c r="C581" s="8">
        <v>1.3235781323919831</v>
      </c>
      <c r="D581" s="8">
        <v>-0.72564008456612294</v>
      </c>
      <c r="E581" s="7">
        <v>0</v>
      </c>
      <c r="F581" s="8">
        <v>0</v>
      </c>
      <c r="G581" s="7">
        <v>-1.4990516053215155E-2</v>
      </c>
      <c r="H581" s="8">
        <v>0</v>
      </c>
      <c r="I581" s="8">
        <v>0</v>
      </c>
      <c r="J581" s="33">
        <v>0</v>
      </c>
      <c r="K581" s="33">
        <v>0</v>
      </c>
      <c r="P581">
        <v>0</v>
      </c>
      <c r="Q581">
        <v>0</v>
      </c>
      <c r="R581">
        <v>0.72621497403870749</v>
      </c>
    </row>
    <row r="582" spans="1:19">
      <c r="A582" s="7"/>
      <c r="B582" s="8"/>
      <c r="C582" s="8"/>
      <c r="D582" s="8"/>
      <c r="E582" s="7"/>
      <c r="F582" s="7"/>
      <c r="G582" s="7"/>
      <c r="H582" s="7"/>
      <c r="I582" s="7"/>
      <c r="J582" s="7"/>
      <c r="K582" s="7"/>
    </row>
    <row r="583" spans="1:19">
      <c r="A583" s="7"/>
      <c r="B583" s="8">
        <v>-1.4421025939282253</v>
      </c>
      <c r="C583" s="8">
        <v>-1.0431877148697888</v>
      </c>
      <c r="D583" s="8">
        <v>-0.78932433807079116</v>
      </c>
      <c r="E583" s="7">
        <v>-1.4990516053215155E-2</v>
      </c>
      <c r="F583" s="8">
        <v>0</v>
      </c>
      <c r="G583" s="8">
        <v>0</v>
      </c>
      <c r="H583" s="33">
        <v>-1.6236379226863738E-2</v>
      </c>
      <c r="I583" s="7">
        <v>2.1796664656245589E-2</v>
      </c>
      <c r="J583" s="7">
        <v>0</v>
      </c>
      <c r="K583" s="7">
        <v>0</v>
      </c>
      <c r="M583">
        <f t="shared" ref="M583" si="432">MDETERM(B583:D585)</f>
        <v>2.2377131614660728</v>
      </c>
      <c r="N583">
        <f t="shared" ref="N583" si="433">MDETERM(E583:G585)</f>
        <v>-3.3686023826032914E-6</v>
      </c>
      <c r="P583">
        <f t="array" ref="P583:R585">SVDD(B583:D585)</f>
        <v>3.363962680655133</v>
      </c>
      <c r="Q583">
        <v>0</v>
      </c>
      <c r="R583">
        <v>0</v>
      </c>
      <c r="S583" s="3">
        <f t="shared" ref="S583" si="434">MAX(P583,Q584,R585)/MIN(P583,Q584,R585)</f>
        <v>6.5952649754803758</v>
      </c>
    </row>
    <row r="584" spans="1:19">
      <c r="A584" s="7" t="s">
        <v>161</v>
      </c>
      <c r="B584" s="8">
        <v>-0.40019020491700363</v>
      </c>
      <c r="C584" s="8">
        <v>-1.0840062473010013</v>
      </c>
      <c r="D584" s="8">
        <v>-1.6840506224230944E-2</v>
      </c>
      <c r="E584" s="7">
        <v>0</v>
      </c>
      <c r="F584" s="7">
        <v>-1.4990516053215155E-2</v>
      </c>
      <c r="G584" s="8">
        <v>0</v>
      </c>
      <c r="H584" s="8">
        <v>-1.6236379226863738E-2</v>
      </c>
      <c r="I584" s="33">
        <v>0</v>
      </c>
      <c r="J584" s="7">
        <v>2.2872089329671663E-2</v>
      </c>
      <c r="K584" s="7">
        <v>0</v>
      </c>
      <c r="P584">
        <v>0</v>
      </c>
      <c r="Q584">
        <v>1.3041703628229029</v>
      </c>
      <c r="R584">
        <v>0</v>
      </c>
    </row>
    <row r="585" spans="1:19">
      <c r="A585" s="7"/>
      <c r="B585" s="8">
        <v>-2.8449497700634536</v>
      </c>
      <c r="C585" s="8">
        <v>-0.22852225552422287</v>
      </c>
      <c r="D585" s="8">
        <v>-6.9737163040410666E-2</v>
      </c>
      <c r="E585" s="7">
        <v>0</v>
      </c>
      <c r="F585" s="8">
        <v>0</v>
      </c>
      <c r="G585" s="7">
        <v>-1.4990516053215155E-2</v>
      </c>
      <c r="H585" s="8">
        <v>-1.6236379226863738E-2</v>
      </c>
      <c r="I585" s="8">
        <v>0</v>
      </c>
      <c r="J585" s="33">
        <v>0</v>
      </c>
      <c r="K585" s="33">
        <v>2.2385887789414392E-2</v>
      </c>
      <c r="P585">
        <v>0</v>
      </c>
      <c r="Q585">
        <v>0</v>
      </c>
      <c r="R585">
        <v>0.51005724457797297</v>
      </c>
    </row>
    <row r="586" spans="1:19">
      <c r="A586" s="7"/>
      <c r="B586" s="8"/>
      <c r="C586" s="8"/>
      <c r="D586" s="8"/>
      <c r="E586" s="7"/>
      <c r="F586" s="7"/>
      <c r="G586" s="7"/>
      <c r="H586" s="7"/>
      <c r="I586" s="7"/>
      <c r="J586" s="7"/>
      <c r="K586" s="7"/>
    </row>
    <row r="587" spans="1:19">
      <c r="A587" s="7"/>
      <c r="B587" s="8">
        <v>-1.4421025939282253</v>
      </c>
      <c r="C587" s="8">
        <v>-1.0431877148697888</v>
      </c>
      <c r="D587" s="8">
        <v>-0.78932433807079116</v>
      </c>
      <c r="E587" s="7">
        <v>-1.4990516053215155E-2</v>
      </c>
      <c r="F587" s="8">
        <v>0</v>
      </c>
      <c r="G587" s="8">
        <v>0</v>
      </c>
      <c r="H587" s="33">
        <v>-1.6236379226863738E-2</v>
      </c>
      <c r="I587" s="7">
        <v>2.1796664656245589E-2</v>
      </c>
      <c r="J587" s="7">
        <v>0</v>
      </c>
      <c r="K587" s="7">
        <v>0</v>
      </c>
      <c r="M587">
        <f t="shared" ref="M587" si="435">MDETERM(B587:D589)</f>
        <v>2.4309737315091065</v>
      </c>
      <c r="N587">
        <f t="shared" ref="N587" si="436">MDETERM(E587:G589)</f>
        <v>-3.3686023826032914E-6</v>
      </c>
      <c r="P587">
        <f t="array" ref="P587:R589">SVDD(B587:D589)</f>
        <v>2.9289465042484881</v>
      </c>
      <c r="Q587">
        <v>0</v>
      </c>
      <c r="R587">
        <v>0</v>
      </c>
      <c r="S587" s="3">
        <f t="shared" ref="S587" si="437">MAX(P587,Q588,R589)/MIN(P587,Q588,R589)</f>
        <v>6.7148325139077363</v>
      </c>
    </row>
    <row r="588" spans="1:19">
      <c r="A588" s="7" t="s">
        <v>162</v>
      </c>
      <c r="B588" s="8">
        <v>-0.40019020491700363</v>
      </c>
      <c r="C588" s="8">
        <v>-1.0840062473010013</v>
      </c>
      <c r="D588" s="8">
        <v>-1.6840506224230944E-2</v>
      </c>
      <c r="E588" s="7">
        <v>0</v>
      </c>
      <c r="F588" s="7">
        <v>-1.4990516053215155E-2</v>
      </c>
      <c r="G588" s="8">
        <v>0</v>
      </c>
      <c r="H588" s="8">
        <v>-1.6236379226863738E-2</v>
      </c>
      <c r="I588" s="33">
        <v>0</v>
      </c>
      <c r="J588" s="7">
        <v>2.2872089329671663E-2</v>
      </c>
      <c r="K588" s="7">
        <v>0</v>
      </c>
      <c r="P588">
        <v>0</v>
      </c>
      <c r="Q588">
        <v>1.9027974971136499</v>
      </c>
      <c r="R588">
        <v>0</v>
      </c>
    </row>
    <row r="589" spans="1:19">
      <c r="A589" s="7"/>
      <c r="B589" s="8">
        <v>-2.4772611105726599</v>
      </c>
      <c r="C589" s="8">
        <v>1.0605572692523213</v>
      </c>
      <c r="D589" s="8">
        <v>3.9812674620544719E-2</v>
      </c>
      <c r="E589" s="7">
        <v>0</v>
      </c>
      <c r="F589" s="8">
        <v>0</v>
      </c>
      <c r="G589" s="7">
        <v>-1.4990516053215155E-2</v>
      </c>
      <c r="H589" s="8">
        <v>-1.6236379226863738E-2</v>
      </c>
      <c r="I589" s="8">
        <v>0</v>
      </c>
      <c r="J589" s="33">
        <v>0</v>
      </c>
      <c r="K589" s="33">
        <v>1.5970575730977998E-2</v>
      </c>
      <c r="P589">
        <v>0</v>
      </c>
      <c r="Q589">
        <v>0</v>
      </c>
      <c r="R589">
        <v>0.43619055250924949</v>
      </c>
    </row>
    <row r="590" spans="1:19">
      <c r="A590" s="7"/>
      <c r="B590" s="8"/>
      <c r="C590" s="8"/>
      <c r="D590" s="8"/>
      <c r="E590" s="7"/>
      <c r="F590" s="7"/>
      <c r="G590" s="7"/>
      <c r="H590" s="7"/>
      <c r="I590" s="7"/>
      <c r="J590" s="7"/>
      <c r="K590" s="7"/>
    </row>
    <row r="591" spans="1:19">
      <c r="A591" s="7"/>
      <c r="B591" s="8">
        <v>-1.4421025939282253</v>
      </c>
      <c r="C591" s="8">
        <v>-1.0431877148697888</v>
      </c>
      <c r="D591" s="8">
        <v>-0.78932433807079116</v>
      </c>
      <c r="E591" s="7">
        <v>-1.4990516053215155E-2</v>
      </c>
      <c r="F591" s="8">
        <v>0</v>
      </c>
      <c r="G591" s="8">
        <v>0</v>
      </c>
      <c r="H591" s="33">
        <v>0</v>
      </c>
      <c r="I591" s="7">
        <v>0</v>
      </c>
      <c r="J591" s="7">
        <v>0</v>
      </c>
      <c r="K591" s="7">
        <v>0</v>
      </c>
      <c r="M591">
        <f t="shared" ref="M591" si="438">MDETERM(B591:D593)</f>
        <v>0.97986641579425215</v>
      </c>
      <c r="N591">
        <f t="shared" ref="N591" si="439">MDETERM(E591:G593)</f>
        <v>-3.3686023826032914E-6</v>
      </c>
      <c r="P591">
        <f t="array" ref="P591:R593">SVDD(B591:D593)</f>
        <v>2.1660448283808087</v>
      </c>
      <c r="Q591">
        <v>0</v>
      </c>
      <c r="R591">
        <v>0</v>
      </c>
      <c r="S591" s="3">
        <f t="shared" ref="S591" si="440">MAX(P591,Q592,R593)/MIN(P591,Q592,R593)</f>
        <v>7.0402993519910142</v>
      </c>
    </row>
    <row r="592" spans="1:19">
      <c r="A592" s="7" t="s">
        <v>163</v>
      </c>
      <c r="B592" s="8">
        <v>-0.40019020491700363</v>
      </c>
      <c r="C592" s="8">
        <v>-1.0840062473010013</v>
      </c>
      <c r="D592" s="8">
        <v>-1.6840506224230944E-2</v>
      </c>
      <c r="E592" s="7">
        <v>0</v>
      </c>
      <c r="F592" s="7">
        <v>-1.4990516053215155E-2</v>
      </c>
      <c r="G592" s="8">
        <v>0</v>
      </c>
      <c r="H592" s="8">
        <v>0</v>
      </c>
      <c r="I592" s="33">
        <v>0</v>
      </c>
      <c r="J592" s="7">
        <v>0</v>
      </c>
      <c r="K592" s="7">
        <v>0</v>
      </c>
      <c r="P592">
        <v>0</v>
      </c>
      <c r="Q592">
        <v>1.4703580967030885</v>
      </c>
      <c r="R592">
        <v>0</v>
      </c>
    </row>
    <row r="593" spans="1:19">
      <c r="A593" s="7"/>
      <c r="B593" s="8">
        <v>-0.85843073718374274</v>
      </c>
      <c r="C593" s="8">
        <v>1.040962775001312</v>
      </c>
      <c r="D593" s="8">
        <v>-3.7610117674176324E-2</v>
      </c>
      <c r="E593" s="7">
        <v>0</v>
      </c>
      <c r="F593" s="8">
        <v>0</v>
      </c>
      <c r="G593" s="7">
        <v>-1.4990516053215155E-2</v>
      </c>
      <c r="H593" s="8">
        <v>0</v>
      </c>
      <c r="I593" s="8">
        <v>0</v>
      </c>
      <c r="J593" s="33">
        <v>0</v>
      </c>
      <c r="K593" s="33">
        <v>0</v>
      </c>
      <c r="P593">
        <v>0</v>
      </c>
      <c r="Q593">
        <v>0</v>
      </c>
      <c r="R593">
        <v>0.30766373986189177</v>
      </c>
    </row>
    <row r="594" spans="1:19">
      <c r="A594" s="7"/>
      <c r="B594" s="8"/>
      <c r="C594" s="8"/>
      <c r="D594" s="8"/>
      <c r="E594" s="7"/>
      <c r="F594" s="7"/>
      <c r="G594" s="7"/>
      <c r="H594" s="7"/>
      <c r="I594" s="7"/>
      <c r="J594" s="7"/>
      <c r="K594" s="7"/>
    </row>
    <row r="595" spans="1:19">
      <c r="A595" s="7"/>
      <c r="B595" s="8">
        <v>-1.4421025939282253</v>
      </c>
      <c r="C595" s="8">
        <v>-1.0431877148697888</v>
      </c>
      <c r="D595" s="8">
        <v>-0.78932433807079116</v>
      </c>
      <c r="E595" s="7">
        <v>-1.4990516053215155E-2</v>
      </c>
      <c r="F595" s="8">
        <v>0</v>
      </c>
      <c r="G595" s="8">
        <v>0</v>
      </c>
      <c r="H595" s="33">
        <v>-1.6236379226863738E-2</v>
      </c>
      <c r="I595" s="7">
        <v>2.1796664656245589E-2</v>
      </c>
      <c r="J595" s="7">
        <v>0</v>
      </c>
      <c r="K595" s="7">
        <v>0</v>
      </c>
      <c r="M595">
        <f t="shared" ref="M595" si="441">MDETERM(B595:D597)</f>
        <v>0.78443815949194351</v>
      </c>
      <c r="N595">
        <f t="shared" ref="N595" si="442">MDETERM(E595:G597)</f>
        <v>-3.3686023826032914E-6</v>
      </c>
      <c r="P595">
        <f t="array" ref="P595:R597">SVDD(B595:D597)</f>
        <v>2.3484291353760662</v>
      </c>
      <c r="Q595">
        <v>0</v>
      </c>
      <c r="R595">
        <v>0</v>
      </c>
      <c r="S595" s="3">
        <f t="shared" ref="S595" si="443">MAX(P595,Q596,R597)/MIN(P595,Q596,R597)</f>
        <v>14.088858695576636</v>
      </c>
    </row>
    <row r="596" spans="1:19">
      <c r="A596" s="7" t="s">
        <v>164</v>
      </c>
      <c r="B596" s="8">
        <v>-0.40019020491700363</v>
      </c>
      <c r="C596" s="8">
        <v>-1.0840062473010013</v>
      </c>
      <c r="D596" s="8">
        <v>-1.6840506224230944E-2</v>
      </c>
      <c r="E596" s="7">
        <v>0</v>
      </c>
      <c r="F596" s="7">
        <v>-1.4990516053215155E-2</v>
      </c>
      <c r="G596" s="8">
        <v>0</v>
      </c>
      <c r="H596" s="8">
        <v>-1.6236379226863738E-2</v>
      </c>
      <c r="I596" s="33">
        <v>0</v>
      </c>
      <c r="J596" s="7">
        <v>2.2872089329671663E-2</v>
      </c>
      <c r="K596" s="7">
        <v>0</v>
      </c>
      <c r="P596">
        <v>0</v>
      </c>
      <c r="Q596">
        <v>2.003916429573338</v>
      </c>
      <c r="R596">
        <v>0</v>
      </c>
    </row>
    <row r="597" spans="1:19">
      <c r="A597" s="7"/>
      <c r="B597" s="8">
        <v>-1.4675604394566215</v>
      </c>
      <c r="C597" s="8">
        <v>1.3235781323919831</v>
      </c>
      <c r="D597" s="8">
        <v>-0.72564008456612294</v>
      </c>
      <c r="E597" s="7">
        <v>0</v>
      </c>
      <c r="F597" s="8">
        <v>0</v>
      </c>
      <c r="G597" s="7">
        <v>-1.4990516053215155E-2</v>
      </c>
      <c r="H597" s="8">
        <v>-1.6236379226863738E-2</v>
      </c>
      <c r="I597" s="8">
        <v>0</v>
      </c>
      <c r="J597" s="33">
        <v>0</v>
      </c>
      <c r="K597" s="33">
        <v>2.0521745021313972E-2</v>
      </c>
      <c r="P597">
        <v>0</v>
      </c>
      <c r="Q597">
        <v>0</v>
      </c>
      <c r="R597">
        <v>0.16668696777499681</v>
      </c>
    </row>
    <row r="598" spans="1:19">
      <c r="A598" s="7"/>
      <c r="B598" s="8"/>
      <c r="C598" s="8"/>
      <c r="D598" s="8"/>
      <c r="E598" s="7"/>
      <c r="F598" s="7"/>
      <c r="G598" s="7"/>
      <c r="H598" s="7"/>
      <c r="I598" s="7"/>
      <c r="J598" s="7"/>
      <c r="K598" s="7"/>
    </row>
    <row r="599" spans="1:19">
      <c r="A599" s="7"/>
      <c r="B599" s="8">
        <v>-1.4421025939282253</v>
      </c>
      <c r="C599" s="8">
        <v>-1.0431877148697888</v>
      </c>
      <c r="D599" s="8">
        <v>-0.78932433807079116</v>
      </c>
      <c r="E599" s="7">
        <v>-1.4990516053215155E-2</v>
      </c>
      <c r="F599" s="8">
        <v>0</v>
      </c>
      <c r="G599" s="8">
        <v>0</v>
      </c>
      <c r="H599" s="33">
        <v>-1.6236379226863738E-2</v>
      </c>
      <c r="I599" s="7">
        <v>2.1796664656245589E-2</v>
      </c>
      <c r="J599" s="7">
        <v>0</v>
      </c>
      <c r="K599" s="7">
        <v>0</v>
      </c>
      <c r="M599">
        <f t="shared" ref="M599" si="444">MDETERM(B599:D601)</f>
        <v>2.4365058471453391</v>
      </c>
      <c r="N599">
        <f t="shared" ref="N599" si="445">MDETERM(E599:G601)</f>
        <v>-3.3686023826032914E-6</v>
      </c>
      <c r="P599">
        <f t="array" ref="P599:R601">SVDD(B599:D601)</f>
        <v>4.0520180290321051</v>
      </c>
      <c r="Q599">
        <v>0</v>
      </c>
      <c r="R599">
        <v>0</v>
      </c>
      <c r="S599" s="3">
        <f t="shared" ref="S599" si="446">MAX(P599,Q600,R601)/MIN(P599,Q600,R601)</f>
        <v>10.969037156132696</v>
      </c>
    </row>
    <row r="600" spans="1:19">
      <c r="A600" s="7" t="s">
        <v>165</v>
      </c>
      <c r="B600" s="8">
        <v>-2.8449497700634536</v>
      </c>
      <c r="C600" s="8">
        <v>-0.22852225552422287</v>
      </c>
      <c r="D600" s="8">
        <v>-6.9737163040410666E-2</v>
      </c>
      <c r="E600" s="7">
        <v>0</v>
      </c>
      <c r="F600" s="7">
        <v>-1.4990516053215155E-2</v>
      </c>
      <c r="G600" s="8">
        <v>0</v>
      </c>
      <c r="H600" s="8">
        <v>-1.6236379226863738E-2</v>
      </c>
      <c r="I600" s="33">
        <v>0</v>
      </c>
      <c r="J600" s="7">
        <v>2.2385887789414392E-2</v>
      </c>
      <c r="K600" s="7">
        <v>0</v>
      </c>
      <c r="P600">
        <v>0</v>
      </c>
      <c r="Q600">
        <v>1.627770702169864</v>
      </c>
      <c r="R600">
        <v>0</v>
      </c>
    </row>
    <row r="601" spans="1:19">
      <c r="A601" s="7"/>
      <c r="B601" s="8">
        <v>-2.4772611105726599</v>
      </c>
      <c r="C601" s="8">
        <v>1.0605572692523213</v>
      </c>
      <c r="D601" s="8">
        <v>3.9812674620544719E-2</v>
      </c>
      <c r="E601" s="7">
        <v>0</v>
      </c>
      <c r="F601" s="8">
        <v>0</v>
      </c>
      <c r="G601" s="7">
        <v>-1.4990516053215155E-2</v>
      </c>
      <c r="H601" s="8">
        <v>-1.6236379226863738E-2</v>
      </c>
      <c r="I601" s="8">
        <v>0</v>
      </c>
      <c r="J601" s="33">
        <v>0</v>
      </c>
      <c r="K601" s="33">
        <v>1.5970575730977998E-2</v>
      </c>
      <c r="P601">
        <v>0</v>
      </c>
      <c r="Q601">
        <v>0</v>
      </c>
      <c r="R601">
        <v>0.36940507825398838</v>
      </c>
    </row>
    <row r="602" spans="1:19">
      <c r="A602" s="7"/>
      <c r="B602" s="8"/>
      <c r="C602" s="8"/>
      <c r="D602" s="8"/>
      <c r="E602" s="7"/>
      <c r="F602" s="7"/>
      <c r="G602" s="7"/>
      <c r="H602" s="7"/>
      <c r="I602" s="7"/>
      <c r="J602" s="7"/>
      <c r="K602" s="7"/>
    </row>
    <row r="603" spans="1:19">
      <c r="A603" s="7"/>
      <c r="B603" s="8">
        <v>-1.4421025939282253</v>
      </c>
      <c r="C603" s="8">
        <v>-1.0431877148697888</v>
      </c>
      <c r="D603" s="8">
        <v>-0.78932433807079116</v>
      </c>
      <c r="E603" s="7">
        <v>-1.4990516053215155E-2</v>
      </c>
      <c r="F603" s="8">
        <v>0</v>
      </c>
      <c r="G603" s="8">
        <v>0</v>
      </c>
      <c r="H603" s="33">
        <v>0</v>
      </c>
      <c r="I603" s="7">
        <v>0</v>
      </c>
      <c r="J603" s="7">
        <v>0</v>
      </c>
      <c r="K603" s="7">
        <v>0</v>
      </c>
      <c r="M603">
        <f t="shared" ref="M603" si="447">MDETERM(B603:D605)</f>
        <v>2.4245035797929879</v>
      </c>
      <c r="N603">
        <f t="shared" ref="N603" si="448">MDETERM(E603:G605)</f>
        <v>-3.3686023826032914E-6</v>
      </c>
      <c r="P603">
        <f t="array" ref="P603:R605">SVDD(B603:D605)</f>
        <v>3.3604286587114824</v>
      </c>
      <c r="Q603">
        <v>0</v>
      </c>
      <c r="R603">
        <v>0</v>
      </c>
      <c r="S603" s="3">
        <f t="shared" ref="S603" si="449">MAX(P603,Q604,R605)/MIN(P603,Q604,R605)</f>
        <v>6.9688671966435978</v>
      </c>
    </row>
    <row r="604" spans="1:19">
      <c r="A604" s="7" t="s">
        <v>166</v>
      </c>
      <c r="B604" s="8">
        <v>-2.8449497700634536</v>
      </c>
      <c r="C604" s="8">
        <v>-0.22852225552422287</v>
      </c>
      <c r="D604" s="8">
        <v>-6.9737163040410666E-2</v>
      </c>
      <c r="E604" s="7">
        <v>0</v>
      </c>
      <c r="F604" s="7">
        <v>-1.4990516053215155E-2</v>
      </c>
      <c r="G604" s="8">
        <v>0</v>
      </c>
      <c r="H604" s="8">
        <v>0</v>
      </c>
      <c r="I604" s="33">
        <v>0</v>
      </c>
      <c r="J604" s="7">
        <v>0</v>
      </c>
      <c r="K604" s="7">
        <v>0</v>
      </c>
      <c r="P604">
        <v>0</v>
      </c>
      <c r="Q604">
        <v>1.4962206984507656</v>
      </c>
      <c r="R604">
        <v>0</v>
      </c>
    </row>
    <row r="605" spans="1:19">
      <c r="A605" s="7"/>
      <c r="B605" s="8">
        <v>-0.85843073718374274</v>
      </c>
      <c r="C605" s="8">
        <v>1.040962775001312</v>
      </c>
      <c r="D605" s="8">
        <v>-3.7610117674176324E-2</v>
      </c>
      <c r="E605" s="7">
        <v>0</v>
      </c>
      <c r="F605" s="8">
        <v>0</v>
      </c>
      <c r="G605" s="7">
        <v>-1.4990516053215155E-2</v>
      </c>
      <c r="H605" s="8">
        <v>0</v>
      </c>
      <c r="I605" s="8">
        <v>0</v>
      </c>
      <c r="J605" s="33">
        <v>0</v>
      </c>
      <c r="K605" s="33">
        <v>0</v>
      </c>
      <c r="P605">
        <v>0</v>
      </c>
      <c r="Q605">
        <v>0</v>
      </c>
      <c r="R605">
        <v>0.48220586845591767</v>
      </c>
    </row>
    <row r="606" spans="1:19">
      <c r="A606" s="7"/>
      <c r="B606" s="8"/>
      <c r="C606" s="8"/>
      <c r="D606" s="8"/>
      <c r="E606" s="7"/>
      <c r="F606" s="7"/>
      <c r="G606" s="7"/>
      <c r="H606" s="7"/>
      <c r="I606" s="7"/>
      <c r="J606" s="7"/>
      <c r="K606" s="7"/>
    </row>
    <row r="607" spans="1:19">
      <c r="A607" s="7"/>
      <c r="B607" s="8">
        <v>-1.4421025939282253</v>
      </c>
      <c r="C607" s="8">
        <v>-1.0431877148697888</v>
      </c>
      <c r="D607" s="8">
        <v>-0.78932433807079116</v>
      </c>
      <c r="E607" s="7">
        <v>-1.4990516053215155E-2</v>
      </c>
      <c r="F607" s="8">
        <v>0</v>
      </c>
      <c r="G607" s="8">
        <v>0</v>
      </c>
      <c r="H607" s="33">
        <v>-1.6236379226863738E-2</v>
      </c>
      <c r="I607" s="7">
        <v>2.1796664656245589E-2</v>
      </c>
      <c r="J607" s="7">
        <v>0</v>
      </c>
      <c r="K607" s="7">
        <v>0</v>
      </c>
      <c r="M607">
        <f t="shared" ref="M607" si="450">MDETERM(B607:D609)</f>
        <v>4.9114840879606794</v>
      </c>
      <c r="N607">
        <f t="shared" ref="N607" si="451">MDETERM(E607:G609)</f>
        <v>-3.3686023826032914E-6</v>
      </c>
      <c r="P607">
        <f t="array" ref="P607:R609">SVDD(B607:D609)</f>
        <v>3.5811836289499288</v>
      </c>
      <c r="Q607">
        <v>0</v>
      </c>
      <c r="R607">
        <v>0</v>
      </c>
      <c r="S607" s="3">
        <f t="shared" ref="S607" si="452">MAX(P607,Q608,R609)/MIN(P607,Q608,R609)</f>
        <v>4.4471433415054369</v>
      </c>
    </row>
    <row r="608" spans="1:19">
      <c r="A608" s="7" t="s">
        <v>167</v>
      </c>
      <c r="B608" s="8">
        <v>-2.8449497700634536</v>
      </c>
      <c r="C608" s="8">
        <v>-0.22852225552422287</v>
      </c>
      <c r="D608" s="8">
        <v>-6.9737163040410666E-2</v>
      </c>
      <c r="E608" s="7">
        <v>0</v>
      </c>
      <c r="F608" s="7">
        <v>-1.4990516053215155E-2</v>
      </c>
      <c r="G608" s="8">
        <v>0</v>
      </c>
      <c r="H608" s="8">
        <v>-1.6236379226863738E-2</v>
      </c>
      <c r="I608" s="33">
        <v>0</v>
      </c>
      <c r="J608" s="7">
        <v>2.2385887789414392E-2</v>
      </c>
      <c r="K608" s="7">
        <v>0</v>
      </c>
      <c r="P608">
        <v>0</v>
      </c>
      <c r="Q608">
        <v>1.7031021153633268</v>
      </c>
      <c r="R608">
        <v>0</v>
      </c>
    </row>
    <row r="609" spans="1:19">
      <c r="A609" s="7"/>
      <c r="B609" s="8">
        <v>-1.4675604394566215</v>
      </c>
      <c r="C609" s="8">
        <v>1.3235781323919831</v>
      </c>
      <c r="D609" s="8">
        <v>-0.72564008456612294</v>
      </c>
      <c r="E609" s="7">
        <v>0</v>
      </c>
      <c r="F609" s="8">
        <v>0</v>
      </c>
      <c r="G609" s="7">
        <v>-1.4990516053215155E-2</v>
      </c>
      <c r="H609" s="8">
        <v>-1.6236379226863738E-2</v>
      </c>
      <c r="I609" s="8">
        <v>0</v>
      </c>
      <c r="J609" s="33">
        <v>0</v>
      </c>
      <c r="K609" s="33">
        <v>2.0521745021313972E-2</v>
      </c>
      <c r="P609">
        <v>0</v>
      </c>
      <c r="Q609">
        <v>0</v>
      </c>
      <c r="R609">
        <v>0.80527731038631967</v>
      </c>
    </row>
    <row r="610" spans="1:19">
      <c r="A610" s="7"/>
      <c r="B610" s="8"/>
      <c r="C610" s="8"/>
      <c r="D610" s="8"/>
      <c r="E610" s="7"/>
      <c r="F610" s="7"/>
      <c r="G610" s="7"/>
      <c r="H610" s="7"/>
      <c r="I610" s="7"/>
      <c r="J610" s="7"/>
      <c r="K610" s="7"/>
    </row>
    <row r="611" spans="1:19">
      <c r="A611" s="7"/>
      <c r="B611" s="8">
        <v>-1.4421025939282253</v>
      </c>
      <c r="C611" s="8">
        <v>-1.0431877148697888</v>
      </c>
      <c r="D611" s="8">
        <v>-0.78932433807079116</v>
      </c>
      <c r="E611" s="7">
        <v>-1.4990516053215155E-2</v>
      </c>
      <c r="F611" s="8">
        <v>0</v>
      </c>
      <c r="G611" s="8">
        <v>0</v>
      </c>
      <c r="H611" s="33">
        <v>0</v>
      </c>
      <c r="I611" s="7">
        <v>0</v>
      </c>
      <c r="J611" s="7">
        <v>0</v>
      </c>
      <c r="K611" s="7">
        <v>0</v>
      </c>
      <c r="M611">
        <f t="shared" ref="M611" si="453">MDETERM(B611:D613)</f>
        <v>1.5669811141590626</v>
      </c>
      <c r="N611">
        <f t="shared" ref="N611" si="454">MDETERM(E611:G613)</f>
        <v>-3.3686023826032914E-6</v>
      </c>
      <c r="P611">
        <f t="array" ref="P611:R613">SVDD(B611:D613)</f>
        <v>3.1089153647279377</v>
      </c>
      <c r="Q611">
        <v>0</v>
      </c>
      <c r="R611">
        <v>0</v>
      </c>
      <c r="S611" s="3">
        <f t="shared" ref="S611" si="455">MAX(P611,Q612,R613)/MIN(P611,Q612,R613)</f>
        <v>10.911698904326556</v>
      </c>
    </row>
    <row r="612" spans="1:19">
      <c r="A612" s="7" t="s">
        <v>168</v>
      </c>
      <c r="B612" s="8">
        <v>-2.4772611105726599</v>
      </c>
      <c r="C612" s="8">
        <v>1.0605572692523213</v>
      </c>
      <c r="D612" s="8">
        <v>3.9812674620544719E-2</v>
      </c>
      <c r="E612" s="7">
        <v>0</v>
      </c>
      <c r="F612" s="7">
        <v>-1.4990516053215155E-2</v>
      </c>
      <c r="G612" s="8">
        <v>0</v>
      </c>
      <c r="H612" s="8">
        <v>0</v>
      </c>
      <c r="I612" s="33">
        <v>0</v>
      </c>
      <c r="J612" s="7">
        <v>0</v>
      </c>
      <c r="K612" s="7">
        <v>0</v>
      </c>
      <c r="P612">
        <v>0</v>
      </c>
      <c r="Q612">
        <v>1.7690427881337454</v>
      </c>
      <c r="R612">
        <v>0</v>
      </c>
    </row>
    <row r="613" spans="1:19">
      <c r="A613" s="7"/>
      <c r="B613" s="8">
        <v>-0.85843073718374274</v>
      </c>
      <c r="C613" s="8">
        <v>1.040962775001312</v>
      </c>
      <c r="D613" s="8">
        <v>-3.7610117674176324E-2</v>
      </c>
      <c r="E613" s="7">
        <v>0</v>
      </c>
      <c r="F613" s="8">
        <v>0</v>
      </c>
      <c r="G613" s="7">
        <v>-1.4990516053215155E-2</v>
      </c>
      <c r="H613" s="8">
        <v>0</v>
      </c>
      <c r="I613" s="8">
        <v>0</v>
      </c>
      <c r="J613" s="33">
        <v>0</v>
      </c>
      <c r="K613" s="33">
        <v>0</v>
      </c>
      <c r="P613">
        <v>0</v>
      </c>
      <c r="Q613">
        <v>0</v>
      </c>
      <c r="R613">
        <v>0.28491579468850936</v>
      </c>
    </row>
    <row r="614" spans="1:19">
      <c r="A614" s="7"/>
      <c r="B614" s="8"/>
      <c r="C614" s="8"/>
      <c r="D614" s="8"/>
      <c r="E614" s="7"/>
      <c r="F614" s="7"/>
      <c r="G614" s="7"/>
      <c r="H614" s="7"/>
      <c r="I614" s="7"/>
      <c r="J614" s="7"/>
      <c r="K614" s="7"/>
    </row>
    <row r="615" spans="1:19">
      <c r="A615" s="7"/>
      <c r="B615" s="8">
        <v>-1.4421025939282253</v>
      </c>
      <c r="C615" s="8">
        <v>-1.0431877148697888</v>
      </c>
      <c r="D615" s="8">
        <v>-0.78932433807079116</v>
      </c>
      <c r="E615" s="7">
        <v>-1.4990516053215155E-2</v>
      </c>
      <c r="F615" s="8">
        <v>0</v>
      </c>
      <c r="G615" s="8">
        <v>0</v>
      </c>
      <c r="H615" s="33">
        <v>-1.6236379226863738E-2</v>
      </c>
      <c r="I615" s="7">
        <v>2.1796664656245589E-2</v>
      </c>
      <c r="J615" s="7">
        <v>0</v>
      </c>
      <c r="K615" s="7">
        <v>0</v>
      </c>
      <c r="M615">
        <f t="shared" ref="M615" si="456">MDETERM(B615:D617)</f>
        <v>4.4815398197242855</v>
      </c>
      <c r="N615">
        <f t="shared" ref="N615" si="457">MDETERM(E615:G617)</f>
        <v>-3.3686023826032914E-6</v>
      </c>
      <c r="P615">
        <f t="array" ref="P615:R617">SVDD(B615:D617)</f>
        <v>3.4594870063114533</v>
      </c>
      <c r="Q615">
        <v>0</v>
      </c>
      <c r="R615">
        <v>0</v>
      </c>
      <c r="S615" s="3">
        <f t="shared" ref="S615" si="458">MAX(P615,Q616,R617)/MIN(P615,Q616,R617)</f>
        <v>4.5861496106463111</v>
      </c>
    </row>
    <row r="616" spans="1:19">
      <c r="A616" s="7" t="s">
        <v>169</v>
      </c>
      <c r="B616" s="8">
        <v>-2.4772611105726599</v>
      </c>
      <c r="C616" s="8">
        <v>1.0605572692523213</v>
      </c>
      <c r="D616" s="8">
        <v>3.9812674620544719E-2</v>
      </c>
      <c r="E616" s="7">
        <v>0</v>
      </c>
      <c r="F616" s="7">
        <v>-1.4990516053215155E-2</v>
      </c>
      <c r="G616" s="8">
        <v>0</v>
      </c>
      <c r="H616" s="8">
        <v>-1.6236379226863738E-2</v>
      </c>
      <c r="I616" s="33">
        <v>0</v>
      </c>
      <c r="J616" s="7">
        <v>1.5970575730977998E-2</v>
      </c>
      <c r="K616" s="7">
        <v>0</v>
      </c>
      <c r="P616">
        <v>0</v>
      </c>
      <c r="Q616">
        <v>1.7173233320124732</v>
      </c>
      <c r="R616">
        <v>0</v>
      </c>
    </row>
    <row r="617" spans="1:19">
      <c r="A617" s="7"/>
      <c r="B617" s="8">
        <v>-1.4675604394566215</v>
      </c>
      <c r="C617" s="8">
        <v>1.3235781323919831</v>
      </c>
      <c r="D617" s="8">
        <v>-0.72564008456612294</v>
      </c>
      <c r="E617" s="7">
        <v>0</v>
      </c>
      <c r="F617" s="8">
        <v>0</v>
      </c>
      <c r="G617" s="7">
        <v>-1.4990516053215155E-2</v>
      </c>
      <c r="H617" s="8">
        <v>-1.6236379226863738E-2</v>
      </c>
      <c r="I617" s="8">
        <v>0</v>
      </c>
      <c r="J617" s="33">
        <v>0</v>
      </c>
      <c r="K617" s="33">
        <v>2.0521745021313972E-2</v>
      </c>
      <c r="P617">
        <v>0</v>
      </c>
      <c r="Q617">
        <v>0</v>
      </c>
      <c r="R617">
        <v>0.75433365677399233</v>
      </c>
    </row>
    <row r="618" spans="1:19">
      <c r="A618" s="7"/>
      <c r="B618" s="8"/>
      <c r="C618" s="8"/>
      <c r="D618" s="8"/>
      <c r="E618" s="7"/>
      <c r="F618" s="7"/>
      <c r="G618" s="7"/>
      <c r="H618" s="7"/>
      <c r="I618" s="7"/>
      <c r="J618" s="7"/>
      <c r="K618" s="7"/>
    </row>
    <row r="619" spans="1:19">
      <c r="A619" s="7"/>
      <c r="B619" s="8">
        <v>-1.4421025939282253</v>
      </c>
      <c r="C619" s="8">
        <v>-1.0431877148697888</v>
      </c>
      <c r="D619" s="8">
        <v>-0.78932433807079116</v>
      </c>
      <c r="E619" s="7">
        <v>-1.4990516053215155E-2</v>
      </c>
      <c r="F619" s="8">
        <v>0</v>
      </c>
      <c r="G619" s="8">
        <v>0</v>
      </c>
      <c r="H619" s="33">
        <v>0</v>
      </c>
      <c r="I619" s="7">
        <v>0</v>
      </c>
      <c r="J619" s="7">
        <v>0</v>
      </c>
      <c r="K619" s="7">
        <v>0</v>
      </c>
      <c r="M619">
        <f t="shared" ref="M619" si="459">MDETERM(B619:D621)</f>
        <v>1.3007588433626966</v>
      </c>
      <c r="N619">
        <f t="shared" ref="N619" si="460">MDETERM(E619:G621)</f>
        <v>-3.3686023826032914E-6</v>
      </c>
      <c r="P619">
        <f t="array" ref="P619:R621">SVDD(B619:D621)</f>
        <v>2.5724462723154975</v>
      </c>
      <c r="Q619">
        <v>0</v>
      </c>
      <c r="R619">
        <v>0</v>
      </c>
      <c r="S619" s="3">
        <f t="shared" ref="S619" si="461">MAX(P619,Q620,R621)/MIN(P619,Q620,R621)</f>
        <v>9.3131735466476471</v>
      </c>
    </row>
    <row r="620" spans="1:19">
      <c r="A620" s="7" t="s">
        <v>170</v>
      </c>
      <c r="B620" s="8">
        <v>-0.85843073718374274</v>
      </c>
      <c r="C620" s="8">
        <v>1.040962775001312</v>
      </c>
      <c r="D620" s="8">
        <v>-3.7610117674176324E-2</v>
      </c>
      <c r="E620" s="7">
        <v>0</v>
      </c>
      <c r="F620" s="7">
        <v>-1.4990516053215155E-2</v>
      </c>
      <c r="G620" s="8">
        <v>0</v>
      </c>
      <c r="H620" s="8">
        <v>0</v>
      </c>
      <c r="I620" s="33">
        <v>0</v>
      </c>
      <c r="J620" s="7">
        <v>0</v>
      </c>
      <c r="K620" s="7">
        <v>0</v>
      </c>
      <c r="P620">
        <v>0</v>
      </c>
      <c r="Q620">
        <v>1.83063540393881</v>
      </c>
      <c r="R620">
        <v>0</v>
      </c>
    </row>
    <row r="621" spans="1:19">
      <c r="A621" s="7"/>
      <c r="B621" s="8">
        <v>-1.4675604394566215</v>
      </c>
      <c r="C621" s="8">
        <v>1.3235781323919831</v>
      </c>
      <c r="D621" s="8">
        <v>-0.72564008456612294</v>
      </c>
      <c r="E621" s="7">
        <v>0</v>
      </c>
      <c r="F621" s="8">
        <v>0</v>
      </c>
      <c r="G621" s="7">
        <v>-1.4990516053215155E-2</v>
      </c>
      <c r="H621" s="8">
        <v>0</v>
      </c>
      <c r="I621" s="8">
        <v>0</v>
      </c>
      <c r="J621" s="33">
        <v>0</v>
      </c>
      <c r="K621" s="33">
        <v>0</v>
      </c>
      <c r="P621">
        <v>0</v>
      </c>
      <c r="Q621">
        <v>0</v>
      </c>
      <c r="R621">
        <v>0.27621586341440729</v>
      </c>
    </row>
    <row r="622" spans="1:19">
      <c r="A622" s="7"/>
      <c r="B622" s="8"/>
      <c r="C622" s="8"/>
      <c r="D622" s="8"/>
      <c r="E622" s="7"/>
      <c r="F622" s="7"/>
      <c r="G622" s="7"/>
      <c r="H622" s="7"/>
      <c r="I622" s="7"/>
      <c r="J622" s="7"/>
      <c r="K622" s="7"/>
    </row>
    <row r="623" spans="1:19">
      <c r="A623" s="7"/>
      <c r="B623" s="8">
        <v>-2.6959782234951333</v>
      </c>
      <c r="C623" s="8">
        <v>-1.0757798809975587</v>
      </c>
      <c r="D623" s="8">
        <v>-4.997772423355884E-2</v>
      </c>
      <c r="E623" s="7">
        <v>-1.4990516053215155E-2</v>
      </c>
      <c r="F623" s="8">
        <v>0</v>
      </c>
      <c r="G623" s="8">
        <v>0</v>
      </c>
      <c r="H623" s="33">
        <v>0</v>
      </c>
      <c r="I623" s="7">
        <v>0</v>
      </c>
      <c r="J623" s="7">
        <v>0</v>
      </c>
      <c r="K623" s="7">
        <v>0</v>
      </c>
      <c r="M623">
        <f t="shared" ref="M623" si="462">MDETERM(B623:D625)</f>
        <v>-6.5388738300276875E-2</v>
      </c>
      <c r="N623">
        <f t="shared" ref="N623" si="463">MDETERM(E623:G625)</f>
        <v>-3.3686023826032914E-6</v>
      </c>
      <c r="P623">
        <f t="array" ref="P623:R625">SVDD(B623:D625)</f>
        <v>4.0796384102096237</v>
      </c>
      <c r="Q623">
        <v>0</v>
      </c>
      <c r="R623">
        <v>0</v>
      </c>
      <c r="S623" s="3">
        <f t="shared" ref="S623" si="464">MAX(P623,Q624,R625)/MIN(P623,Q624,R625)</f>
        <v>286.9294314386575</v>
      </c>
    </row>
    <row r="624" spans="1:19">
      <c r="A624" s="7" t="s">
        <v>171</v>
      </c>
      <c r="B624" s="8">
        <v>-0.40019020491700363</v>
      </c>
      <c r="C624" s="8">
        <v>-1.0840062473010013</v>
      </c>
      <c r="D624" s="8">
        <v>-1.6840506224230944E-2</v>
      </c>
      <c r="E624" s="7">
        <v>0</v>
      </c>
      <c r="F624" s="7">
        <v>-1.4990516053215155E-2</v>
      </c>
      <c r="G624" s="8">
        <v>0</v>
      </c>
      <c r="H624" s="8">
        <v>0</v>
      </c>
      <c r="I624" s="33">
        <v>0</v>
      </c>
      <c r="J624" s="7">
        <v>0</v>
      </c>
      <c r="K624" s="7">
        <v>0</v>
      </c>
      <c r="P624">
        <v>0</v>
      </c>
      <c r="Q624">
        <v>1.1272875516305596</v>
      </c>
      <c r="R624">
        <v>0</v>
      </c>
    </row>
    <row r="625" spans="1:19">
      <c r="A625" s="7"/>
      <c r="B625" s="8">
        <v>-2.8449497700634536</v>
      </c>
      <c r="C625" s="8">
        <v>-0.22852225552422287</v>
      </c>
      <c r="D625" s="8">
        <v>-6.9737163040410666E-2</v>
      </c>
      <c r="E625" s="7">
        <v>0</v>
      </c>
      <c r="F625" s="8">
        <v>0</v>
      </c>
      <c r="G625" s="7">
        <v>-1.4990516053215155E-2</v>
      </c>
      <c r="H625" s="8">
        <v>0</v>
      </c>
      <c r="I625" s="8">
        <v>0</v>
      </c>
      <c r="J625" s="33">
        <v>0</v>
      </c>
      <c r="K625" s="33">
        <v>0</v>
      </c>
      <c r="P625">
        <v>0</v>
      </c>
      <c r="Q625">
        <v>0</v>
      </c>
      <c r="R625">
        <v>1.4218264016188272E-2</v>
      </c>
    </row>
    <row r="626" spans="1:19">
      <c r="A626" s="7"/>
      <c r="B626" s="8"/>
      <c r="C626" s="8"/>
      <c r="D626" s="8"/>
      <c r="E626" s="7"/>
      <c r="F626" s="7"/>
      <c r="G626" s="7"/>
      <c r="H626" s="7"/>
      <c r="I626" s="7"/>
      <c r="J626" s="7"/>
      <c r="K626" s="7"/>
    </row>
    <row r="627" spans="1:19">
      <c r="A627" s="7"/>
      <c r="B627" s="8">
        <v>-2.6959782234951333</v>
      </c>
      <c r="C627" s="8">
        <v>-1.0757798809975587</v>
      </c>
      <c r="D627" s="8">
        <v>-4.997772423355884E-2</v>
      </c>
      <c r="E627" s="7">
        <v>-1.4990516053215155E-2</v>
      </c>
      <c r="F627" s="8">
        <v>0</v>
      </c>
      <c r="G627" s="8">
        <v>0</v>
      </c>
      <c r="H627" s="33">
        <v>0</v>
      </c>
      <c r="I627" s="7">
        <v>0</v>
      </c>
      <c r="J627" s="7">
        <v>0</v>
      </c>
      <c r="K627" s="7">
        <v>0</v>
      </c>
      <c r="M627">
        <f t="shared" ref="M627" si="465">MDETERM(B627:D629)</f>
        <v>0.16160032887446912</v>
      </c>
      <c r="N627">
        <f t="shared" ref="N627" si="466">MDETERM(E627:G629)</f>
        <v>-3.3686023826032914E-6</v>
      </c>
      <c r="P627">
        <f t="array" ref="P627:R629">SVDD(B627:D629)</f>
        <v>3.6898030487606412</v>
      </c>
      <c r="Q627">
        <v>0</v>
      </c>
      <c r="R627">
        <v>0</v>
      </c>
      <c r="S627" s="3">
        <f t="shared" ref="S627" si="467">MAX(P627,Q628,R629)/MIN(P627,Q628,R629)</f>
        <v>155.61168544988374</v>
      </c>
    </row>
    <row r="628" spans="1:19">
      <c r="A628" s="7" t="s">
        <v>172</v>
      </c>
      <c r="B628" s="8">
        <v>-0.40019020491700363</v>
      </c>
      <c r="C628" s="8">
        <v>-1.0840062473010013</v>
      </c>
      <c r="D628" s="8">
        <v>-1.6840506224230944E-2</v>
      </c>
      <c r="E628" s="7">
        <v>0</v>
      </c>
      <c r="F628" s="7">
        <v>-1.4990516053215155E-2</v>
      </c>
      <c r="G628" s="8">
        <v>0</v>
      </c>
      <c r="H628" s="8">
        <v>0</v>
      </c>
      <c r="I628" s="33">
        <v>0</v>
      </c>
      <c r="J628" s="7">
        <v>0</v>
      </c>
      <c r="K628" s="7">
        <v>0</v>
      </c>
      <c r="P628">
        <v>0</v>
      </c>
      <c r="Q628">
        <v>1.8470475508883464</v>
      </c>
      <c r="R628">
        <v>0</v>
      </c>
    </row>
    <row r="629" spans="1:19">
      <c r="A629" s="7"/>
      <c r="B629" s="8">
        <v>-2.4772611105726599</v>
      </c>
      <c r="C629" s="8">
        <v>1.0605572692523213</v>
      </c>
      <c r="D629" s="8">
        <v>3.9812674620544719E-2</v>
      </c>
      <c r="E629" s="7">
        <v>0</v>
      </c>
      <c r="F629" s="8">
        <v>0</v>
      </c>
      <c r="G629" s="7">
        <v>-1.4990516053215155E-2</v>
      </c>
      <c r="H629" s="8">
        <v>0</v>
      </c>
      <c r="I629" s="8">
        <v>0</v>
      </c>
      <c r="J629" s="33">
        <v>0</v>
      </c>
      <c r="K629" s="33">
        <v>0</v>
      </c>
      <c r="P629">
        <v>0</v>
      </c>
      <c r="Q629">
        <v>0</v>
      </c>
      <c r="R629">
        <v>2.3711606477965809E-2</v>
      </c>
    </row>
    <row r="630" spans="1:19">
      <c r="A630" s="7"/>
      <c r="B630" s="8"/>
      <c r="C630" s="8"/>
      <c r="D630" s="8"/>
      <c r="E630" s="7"/>
      <c r="F630" s="7"/>
      <c r="G630" s="7"/>
      <c r="H630" s="7"/>
      <c r="I630" s="7"/>
      <c r="J630" s="7"/>
      <c r="K630" s="7"/>
    </row>
    <row r="631" spans="1:19">
      <c r="A631" s="7"/>
      <c r="B631" s="8">
        <v>-2.6959782234951333</v>
      </c>
      <c r="C631" s="8">
        <v>-1.0757798809975587</v>
      </c>
      <c r="D631" s="8">
        <v>-4.997772423355884E-2</v>
      </c>
      <c r="E631" s="7">
        <v>-1.4990516053215155E-2</v>
      </c>
      <c r="F631" s="8">
        <v>0</v>
      </c>
      <c r="G631" s="8">
        <v>0</v>
      </c>
      <c r="H631" s="33">
        <v>0</v>
      </c>
      <c r="I631" s="7">
        <v>0</v>
      </c>
      <c r="J631" s="7">
        <v>0</v>
      </c>
      <c r="K631" s="7">
        <v>0</v>
      </c>
      <c r="M631">
        <f t="shared" ref="M631" si="468">MDETERM(B631:D633)</f>
        <v>-8.9209148764109056E-2</v>
      </c>
      <c r="N631">
        <f t="shared" ref="N631" si="469">MDETERM(E631:G633)</f>
        <v>-3.3686023826032914E-6</v>
      </c>
      <c r="P631">
        <f t="array" ref="P631:R633">SVDD(B631:D633)</f>
        <v>3.0329986788177234</v>
      </c>
      <c r="Q631">
        <v>0</v>
      </c>
      <c r="R631">
        <v>0</v>
      </c>
      <c r="S631" s="3">
        <f t="shared" ref="S631" si="470">MAX(P631,Q632,R633)/MIN(P631,Q632,R633)</f>
        <v>159.28604006876967</v>
      </c>
    </row>
    <row r="632" spans="1:19">
      <c r="A632" s="7" t="s">
        <v>173</v>
      </c>
      <c r="B632" s="8">
        <v>-0.40019020491700363</v>
      </c>
      <c r="C632" s="8">
        <v>-1.0840062473010013</v>
      </c>
      <c r="D632" s="8">
        <v>-1.6840506224230944E-2</v>
      </c>
      <c r="E632" s="7">
        <v>0</v>
      </c>
      <c r="F632" s="7">
        <v>-1.4990516053215155E-2</v>
      </c>
      <c r="G632" s="8">
        <v>0</v>
      </c>
      <c r="H632" s="8">
        <v>0</v>
      </c>
      <c r="I632" s="33">
        <v>0</v>
      </c>
      <c r="J632" s="7">
        <v>0</v>
      </c>
      <c r="K632" s="7">
        <v>0</v>
      </c>
      <c r="P632">
        <v>0</v>
      </c>
      <c r="Q632">
        <v>1.5446947435960519</v>
      </c>
      <c r="R632">
        <v>0</v>
      </c>
    </row>
    <row r="633" spans="1:19">
      <c r="A633" s="7"/>
      <c r="B633" s="8">
        <v>-0.85843073718374274</v>
      </c>
      <c r="C633" s="8">
        <v>1.040962775001312</v>
      </c>
      <c r="D633" s="8">
        <v>-3.7610117674176324E-2</v>
      </c>
      <c r="E633" s="7">
        <v>0</v>
      </c>
      <c r="F633" s="8">
        <v>0</v>
      </c>
      <c r="G633" s="7">
        <v>-1.4990516053215155E-2</v>
      </c>
      <c r="H633" s="8">
        <v>0</v>
      </c>
      <c r="I633" s="8">
        <v>0</v>
      </c>
      <c r="J633" s="33">
        <v>0</v>
      </c>
      <c r="K633" s="33">
        <v>0</v>
      </c>
      <c r="P633">
        <v>0</v>
      </c>
      <c r="Q633">
        <v>0</v>
      </c>
      <c r="R633">
        <v>1.9041208366459898E-2</v>
      </c>
    </row>
    <row r="634" spans="1:19">
      <c r="A634" s="7"/>
      <c r="B634" s="8"/>
      <c r="C634" s="8"/>
      <c r="D634" s="8"/>
      <c r="E634" s="7"/>
      <c r="F634" s="7"/>
      <c r="G634" s="7"/>
      <c r="H634" s="7"/>
      <c r="I634" s="7"/>
      <c r="J634" s="7"/>
      <c r="K634" s="7"/>
    </row>
    <row r="635" spans="1:19">
      <c r="A635" s="7"/>
      <c r="B635" s="8">
        <v>-2.6959782234951333</v>
      </c>
      <c r="C635" s="8">
        <v>-1.0757798809975587</v>
      </c>
      <c r="D635" s="8">
        <v>-4.997772423355884E-2</v>
      </c>
      <c r="E635" s="7">
        <v>-1.4990516053215155E-2</v>
      </c>
      <c r="F635" s="8">
        <v>0</v>
      </c>
      <c r="G635" s="8">
        <v>0</v>
      </c>
      <c r="H635" s="33">
        <v>0</v>
      </c>
      <c r="I635" s="7">
        <v>0</v>
      </c>
      <c r="J635" s="7">
        <v>0</v>
      </c>
      <c r="K635" s="7">
        <v>0</v>
      </c>
      <c r="M635">
        <f t="shared" ref="M635" si="471">MDETERM(B635:D637)</f>
        <v>-1.7889528223437317</v>
      </c>
      <c r="N635">
        <f t="shared" ref="N635" si="472">MDETERM(E635:G637)</f>
        <v>-3.3686023826032914E-6</v>
      </c>
      <c r="P635">
        <f t="array" ref="P635:R637">SVDD(B635:D637)</f>
        <v>3.1646809187710834</v>
      </c>
      <c r="Q635">
        <v>0</v>
      </c>
      <c r="R635">
        <v>0</v>
      </c>
      <c r="S635" s="3">
        <f t="shared" ref="S635" si="473">MAX(P635,Q636,R637)/MIN(P635,Q636,R637)</f>
        <v>11.339490785679912</v>
      </c>
    </row>
    <row r="636" spans="1:19">
      <c r="A636" s="7" t="s">
        <v>174</v>
      </c>
      <c r="B636" s="8">
        <v>-0.40019020491700363</v>
      </c>
      <c r="C636" s="8">
        <v>-1.0840062473010013</v>
      </c>
      <c r="D636" s="8">
        <v>-1.6840506224230944E-2</v>
      </c>
      <c r="E636" s="7">
        <v>0</v>
      </c>
      <c r="F636" s="7">
        <v>-1.4990516053215155E-2</v>
      </c>
      <c r="G636" s="8">
        <v>0</v>
      </c>
      <c r="H636" s="8">
        <v>0</v>
      </c>
      <c r="I636" s="33">
        <v>0</v>
      </c>
      <c r="J636" s="7">
        <v>0</v>
      </c>
      <c r="K636" s="7">
        <v>0</v>
      </c>
      <c r="P636">
        <v>0</v>
      </c>
      <c r="Q636">
        <v>2.0255015650318771</v>
      </c>
      <c r="R636">
        <v>0</v>
      </c>
    </row>
    <row r="637" spans="1:19">
      <c r="A637" s="7"/>
      <c r="B637" s="8">
        <v>-1.4675604394566215</v>
      </c>
      <c r="C637" s="8">
        <v>1.3235781323919831</v>
      </c>
      <c r="D637" s="8">
        <v>-0.72564008456612294</v>
      </c>
      <c r="E637" s="7">
        <v>0</v>
      </c>
      <c r="F637" s="8">
        <v>0</v>
      </c>
      <c r="G637" s="7">
        <v>-1.4990516053215155E-2</v>
      </c>
      <c r="H637" s="8">
        <v>0</v>
      </c>
      <c r="I637" s="8">
        <v>0</v>
      </c>
      <c r="J637" s="33">
        <v>0</v>
      </c>
      <c r="K637" s="33">
        <v>0</v>
      </c>
      <c r="P637">
        <v>0</v>
      </c>
      <c r="Q637">
        <v>0</v>
      </c>
      <c r="R637">
        <v>0.2790849235282773</v>
      </c>
    </row>
    <row r="638" spans="1:19">
      <c r="A638" s="7"/>
      <c r="B638" s="8"/>
      <c r="C638" s="8"/>
      <c r="D638" s="8"/>
      <c r="E638" s="7"/>
      <c r="F638" s="7"/>
      <c r="G638" s="7"/>
      <c r="H638" s="7"/>
      <c r="I638" s="7"/>
      <c r="J638" s="7"/>
      <c r="K638" s="7"/>
    </row>
    <row r="639" spans="1:19">
      <c r="A639" s="7"/>
      <c r="B639" s="8">
        <v>-2.6959782234951333</v>
      </c>
      <c r="C639" s="8">
        <v>-1.0757798809975587</v>
      </c>
      <c r="D639" s="8">
        <v>-4.997772423355884E-2</v>
      </c>
      <c r="E639" s="7">
        <v>-1.4990516053215155E-2</v>
      </c>
      <c r="F639" s="8">
        <v>0</v>
      </c>
      <c r="G639" s="8">
        <v>0</v>
      </c>
      <c r="H639" s="33">
        <v>0</v>
      </c>
      <c r="I639" s="7">
        <v>0</v>
      </c>
      <c r="J639" s="7">
        <v>0</v>
      </c>
      <c r="K639" s="7">
        <v>0</v>
      </c>
      <c r="M639">
        <f t="shared" ref="M639" si="474">MDETERM(B639:D641)</f>
        <v>-0.30347670618943512</v>
      </c>
      <c r="N639">
        <f t="shared" ref="N639" si="475">MDETERM(E639:G641)</f>
        <v>-3.3686023826032914E-6</v>
      </c>
      <c r="P639">
        <f t="array" ref="P639:R641">SVDD(B639:D641)</f>
        <v>4.6417550678723405</v>
      </c>
      <c r="Q639">
        <v>0</v>
      </c>
      <c r="R639">
        <v>0</v>
      </c>
      <c r="S639" s="3">
        <f t="shared" ref="S639" si="476">MAX(P639,Q640,R641)/MIN(P639,Q640,R641)</f>
        <v>107.5399530016923</v>
      </c>
    </row>
    <row r="640" spans="1:19">
      <c r="A640" s="7" t="s">
        <v>175</v>
      </c>
      <c r="B640" s="8">
        <v>-2.8449497700634536</v>
      </c>
      <c r="C640" s="8">
        <v>-0.22852225552422287</v>
      </c>
      <c r="D640" s="8">
        <v>-6.9737163040410666E-2</v>
      </c>
      <c r="E640" s="7">
        <v>0</v>
      </c>
      <c r="F640" s="7">
        <v>-1.4990516053215155E-2</v>
      </c>
      <c r="G640" s="8">
        <v>0</v>
      </c>
      <c r="H640" s="8">
        <v>0</v>
      </c>
      <c r="I640" s="33">
        <v>0</v>
      </c>
      <c r="J640" s="7">
        <v>0</v>
      </c>
      <c r="K640" s="7">
        <v>0</v>
      </c>
      <c r="P640">
        <v>0</v>
      </c>
      <c r="Q640">
        <v>1.5147144329578435</v>
      </c>
      <c r="R640">
        <v>0</v>
      </c>
    </row>
    <row r="641" spans="1:19">
      <c r="A641" s="7"/>
      <c r="B641" s="8">
        <v>-2.4772611105726599</v>
      </c>
      <c r="C641" s="8">
        <v>1.0605572692523213</v>
      </c>
      <c r="D641" s="8">
        <v>3.9812674620544719E-2</v>
      </c>
      <c r="E641" s="7">
        <v>0</v>
      </c>
      <c r="F641" s="8">
        <v>0</v>
      </c>
      <c r="G641" s="7">
        <v>-1.4990516053215155E-2</v>
      </c>
      <c r="H641" s="8">
        <v>0</v>
      </c>
      <c r="I641" s="8">
        <v>0</v>
      </c>
      <c r="J641" s="33">
        <v>0</v>
      </c>
      <c r="K641" s="33">
        <v>0</v>
      </c>
      <c r="P641">
        <v>0</v>
      </c>
      <c r="Q641">
        <v>0</v>
      </c>
      <c r="R641">
        <v>4.3163075101951137E-2</v>
      </c>
    </row>
    <row r="642" spans="1:19">
      <c r="A642" s="7"/>
      <c r="B642" s="8"/>
      <c r="C642" s="8"/>
      <c r="D642" s="8"/>
      <c r="E642" s="7"/>
      <c r="F642" s="7"/>
      <c r="G642" s="7"/>
      <c r="H642" s="7"/>
      <c r="I642" s="7"/>
      <c r="J642" s="7"/>
      <c r="K642" s="7"/>
    </row>
    <row r="643" spans="1:19">
      <c r="A643" s="7"/>
      <c r="B643" s="8">
        <v>-2.6959782234951333</v>
      </c>
      <c r="C643" s="8">
        <v>-1.0757798809975587</v>
      </c>
      <c r="D643" s="8">
        <v>-4.997772423355884E-2</v>
      </c>
      <c r="E643" s="7">
        <v>-1.4990516053215155E-2</v>
      </c>
      <c r="F643" s="8">
        <v>0</v>
      </c>
      <c r="G643" s="8">
        <v>0</v>
      </c>
      <c r="H643" s="33">
        <v>0</v>
      </c>
      <c r="I643" s="7">
        <v>0</v>
      </c>
      <c r="J643" s="7">
        <v>0</v>
      </c>
      <c r="K643" s="7">
        <v>0</v>
      </c>
      <c r="M643">
        <f t="shared" ref="M643" si="477">MDETERM(B643:D645)</f>
        <v>-1.0363799027765148E-2</v>
      </c>
      <c r="N643">
        <f t="shared" ref="N643" si="478">MDETERM(E643:G645)</f>
        <v>-3.3686023826032914E-6</v>
      </c>
      <c r="P643">
        <f t="array" ref="P643:R645">SVDD(B643:D645)</f>
        <v>4.0743831379965254</v>
      </c>
      <c r="Q643">
        <v>0</v>
      </c>
      <c r="R643">
        <v>0</v>
      </c>
      <c r="S643" s="3">
        <f t="shared" ref="S643" si="479">MAX(P643,Q644,R645)/MIN(P643,Q644,R645)</f>
        <v>2149.1679832149403</v>
      </c>
    </row>
    <row r="644" spans="1:19">
      <c r="A644" s="7" t="s">
        <v>176</v>
      </c>
      <c r="B644" s="8">
        <v>-2.8449497700634536</v>
      </c>
      <c r="C644" s="8">
        <v>-0.22852225552422287</v>
      </c>
      <c r="D644" s="8">
        <v>-6.9737163040410666E-2</v>
      </c>
      <c r="E644" s="7">
        <v>0</v>
      </c>
      <c r="F644" s="7">
        <v>-1.4990516053215155E-2</v>
      </c>
      <c r="G644" s="8">
        <v>0</v>
      </c>
      <c r="H644" s="8">
        <v>0</v>
      </c>
      <c r="I644" s="33">
        <v>0</v>
      </c>
      <c r="J644" s="7">
        <v>0</v>
      </c>
      <c r="K644" s="7">
        <v>0</v>
      </c>
      <c r="P644">
        <v>0</v>
      </c>
      <c r="Q644">
        <v>1.3417314915444269</v>
      </c>
      <c r="R644">
        <v>0</v>
      </c>
    </row>
    <row r="645" spans="1:19">
      <c r="A645" s="7"/>
      <c r="B645" s="8">
        <v>-0.85843073718374274</v>
      </c>
      <c r="C645" s="8">
        <v>1.040962775001312</v>
      </c>
      <c r="D645" s="8">
        <v>-3.7610117674176324E-2</v>
      </c>
      <c r="E645" s="7">
        <v>0</v>
      </c>
      <c r="F645" s="8">
        <v>0</v>
      </c>
      <c r="G645" s="7">
        <v>-1.4990516053215155E-2</v>
      </c>
      <c r="H645" s="8">
        <v>0</v>
      </c>
      <c r="I645" s="8">
        <v>0</v>
      </c>
      <c r="J645" s="33">
        <v>0</v>
      </c>
      <c r="K645" s="33">
        <v>0</v>
      </c>
      <c r="P645">
        <v>0</v>
      </c>
      <c r="Q645">
        <v>0</v>
      </c>
      <c r="R645">
        <v>1.8957955682466739E-3</v>
      </c>
    </row>
    <row r="646" spans="1:19">
      <c r="A646" s="7"/>
      <c r="B646" s="8"/>
      <c r="C646" s="8"/>
      <c r="D646" s="8"/>
      <c r="E646" s="7"/>
      <c r="F646" s="7"/>
      <c r="G646" s="7"/>
      <c r="H646" s="7"/>
      <c r="I646" s="7"/>
      <c r="J646" s="7"/>
      <c r="K646" s="7"/>
    </row>
    <row r="647" spans="1:19">
      <c r="A647" s="7"/>
      <c r="B647" s="8">
        <v>-2.6959782234951333</v>
      </c>
      <c r="C647" s="8">
        <v>-1.0757798809975587</v>
      </c>
      <c r="D647" s="8">
        <v>-4.997772423355884E-2</v>
      </c>
      <c r="E647" s="7">
        <v>-1.4990516053215155E-2</v>
      </c>
      <c r="F647" s="8">
        <v>0</v>
      </c>
      <c r="G647" s="8">
        <v>0</v>
      </c>
      <c r="H647" s="33">
        <v>0</v>
      </c>
      <c r="I647" s="7">
        <v>0</v>
      </c>
      <c r="J647" s="7">
        <v>0</v>
      </c>
      <c r="K647" s="7">
        <v>0</v>
      </c>
      <c r="M647">
        <f t="shared" ref="M647" si="480">MDETERM(B647:D649)</f>
        <v>1.6197979512682648</v>
      </c>
      <c r="N647">
        <f t="shared" ref="N647" si="481">MDETERM(E647:G649)</f>
        <v>-3.3686023826032914E-6</v>
      </c>
      <c r="P647">
        <f t="array" ref="P647:R649">SVDD(B647:D649)</f>
        <v>4.2176561494948626</v>
      </c>
      <c r="Q647">
        <v>0</v>
      </c>
      <c r="R647">
        <v>0</v>
      </c>
      <c r="S647" s="3">
        <f t="shared" ref="S647" si="482">MAX(P647,Q648,R649)/MIN(P647,Q648,R649)</f>
        <v>19.571411138788417</v>
      </c>
    </row>
    <row r="648" spans="1:19">
      <c r="A648" s="7" t="s">
        <v>177</v>
      </c>
      <c r="B648" s="8">
        <v>-2.8449497700634536</v>
      </c>
      <c r="C648" s="8">
        <v>-0.22852225552422287</v>
      </c>
      <c r="D648" s="8">
        <v>-6.9737163040410666E-2</v>
      </c>
      <c r="E648" s="7">
        <v>0</v>
      </c>
      <c r="F648" s="7">
        <v>-1.4990516053215155E-2</v>
      </c>
      <c r="G648" s="8">
        <v>0</v>
      </c>
      <c r="H648" s="8">
        <v>0</v>
      </c>
      <c r="I648" s="33">
        <v>0</v>
      </c>
      <c r="J648" s="7">
        <v>0</v>
      </c>
      <c r="K648" s="7">
        <v>0</v>
      </c>
      <c r="P648">
        <v>0</v>
      </c>
      <c r="Q648">
        <v>1.7821351861486001</v>
      </c>
      <c r="R648">
        <v>0</v>
      </c>
    </row>
    <row r="649" spans="1:19">
      <c r="A649" s="7"/>
      <c r="B649" s="8">
        <v>-1.4675604394566215</v>
      </c>
      <c r="C649" s="8">
        <v>1.3235781323919831</v>
      </c>
      <c r="D649" s="8">
        <v>-0.72564008456612294</v>
      </c>
      <c r="E649" s="7">
        <v>0</v>
      </c>
      <c r="F649" s="8">
        <v>0</v>
      </c>
      <c r="G649" s="7">
        <v>-1.4990516053215155E-2</v>
      </c>
      <c r="H649" s="8">
        <v>0</v>
      </c>
      <c r="I649" s="8">
        <v>0</v>
      </c>
      <c r="J649" s="33">
        <v>0</v>
      </c>
      <c r="K649" s="33">
        <v>0</v>
      </c>
      <c r="P649">
        <v>0</v>
      </c>
      <c r="Q649">
        <v>0</v>
      </c>
      <c r="R649">
        <v>0.21550087112195632</v>
      </c>
    </row>
    <row r="650" spans="1:19">
      <c r="A650" s="7"/>
      <c r="B650" s="8"/>
      <c r="C650" s="8"/>
      <c r="D650" s="8"/>
      <c r="E650" s="7"/>
      <c r="F650" s="7"/>
      <c r="G650" s="7"/>
      <c r="H650" s="7"/>
      <c r="I650" s="7"/>
      <c r="J650" s="7"/>
      <c r="K650" s="7"/>
    </row>
    <row r="651" spans="1:19">
      <c r="A651" s="7"/>
      <c r="B651" s="8">
        <v>-2.6959782234951333</v>
      </c>
      <c r="C651" s="8">
        <v>-1.0757798809975587</v>
      </c>
      <c r="D651" s="8">
        <v>-4.997772423355884E-2</v>
      </c>
      <c r="E651" s="7">
        <v>-1.4990516053215155E-2</v>
      </c>
      <c r="F651" s="8">
        <v>0</v>
      </c>
      <c r="G651" s="8">
        <v>0</v>
      </c>
      <c r="H651" s="33">
        <v>0</v>
      </c>
      <c r="I651" s="7">
        <v>0</v>
      </c>
      <c r="J651" s="7">
        <v>0</v>
      </c>
      <c r="K651" s="7">
        <v>0</v>
      </c>
      <c r="M651">
        <f t="shared" ref="M651" si="483">MDETERM(B651:D653)</f>
        <v>0.43964286064301011</v>
      </c>
      <c r="N651">
        <f t="shared" ref="N651" si="484">MDETERM(E651:G653)</f>
        <v>-3.3686023826032914E-6</v>
      </c>
      <c r="P651">
        <f t="array" ref="P651:R653">SVDD(B651:D653)</f>
        <v>3.7653610886539575</v>
      </c>
      <c r="Q651">
        <v>0</v>
      </c>
      <c r="R651">
        <v>0</v>
      </c>
      <c r="S651" s="3">
        <f t="shared" ref="S651" si="485">MAX(P651,Q652,R653)/MIN(P651,Q652,R653)</f>
        <v>58.858855955017582</v>
      </c>
    </row>
    <row r="652" spans="1:19">
      <c r="A652" s="7" t="s">
        <v>178</v>
      </c>
      <c r="B652" s="8">
        <v>-2.4772611105726599</v>
      </c>
      <c r="C652" s="8">
        <v>1.0605572692523213</v>
      </c>
      <c r="D652" s="8">
        <v>3.9812674620544719E-2</v>
      </c>
      <c r="E652" s="7">
        <v>0</v>
      </c>
      <c r="F652" s="7">
        <v>-1.4990516053215155E-2</v>
      </c>
      <c r="G652" s="8">
        <v>0</v>
      </c>
      <c r="H652" s="8">
        <v>0</v>
      </c>
      <c r="I652" s="33">
        <v>0</v>
      </c>
      <c r="J652" s="7">
        <v>0</v>
      </c>
      <c r="K652" s="7">
        <v>0</v>
      </c>
      <c r="P652">
        <v>0</v>
      </c>
      <c r="Q652">
        <v>1.8251500762530917</v>
      </c>
      <c r="R652">
        <v>0</v>
      </c>
    </row>
    <row r="653" spans="1:19">
      <c r="A653" s="7"/>
      <c r="B653" s="8">
        <v>-0.85843073718374274</v>
      </c>
      <c r="C653" s="8">
        <v>1.040962775001312</v>
      </c>
      <c r="D653" s="8">
        <v>-3.7610117674176324E-2</v>
      </c>
      <c r="E653" s="7">
        <v>0</v>
      </c>
      <c r="F653" s="8">
        <v>0</v>
      </c>
      <c r="G653" s="7">
        <v>-1.4990516053215155E-2</v>
      </c>
      <c r="H653" s="8">
        <v>0</v>
      </c>
      <c r="I653" s="8">
        <v>0</v>
      </c>
      <c r="J653" s="33">
        <v>0</v>
      </c>
      <c r="K653" s="33">
        <v>0</v>
      </c>
      <c r="P653">
        <v>0</v>
      </c>
      <c r="Q653">
        <v>0</v>
      </c>
      <c r="R653">
        <v>6.3972719611329262E-2</v>
      </c>
    </row>
    <row r="654" spans="1:19">
      <c r="A654" s="7"/>
      <c r="B654" s="8"/>
      <c r="C654" s="8"/>
      <c r="D654" s="8"/>
      <c r="E654" s="7"/>
      <c r="F654" s="7"/>
      <c r="G654" s="7"/>
      <c r="H654" s="7"/>
      <c r="I654" s="7"/>
      <c r="J654" s="7"/>
      <c r="K654" s="7"/>
    </row>
    <row r="655" spans="1:19">
      <c r="A655" s="7"/>
      <c r="B655" s="8">
        <v>-2.6959782234951333</v>
      </c>
      <c r="C655" s="8">
        <v>-1.0757798809975587</v>
      </c>
      <c r="D655" s="8">
        <v>-4.997772423355884E-2</v>
      </c>
      <c r="E655" s="7">
        <v>-1.4990516053215155E-2</v>
      </c>
      <c r="F655" s="8">
        <v>0</v>
      </c>
      <c r="G655" s="8">
        <v>0</v>
      </c>
      <c r="H655" s="33">
        <v>0</v>
      </c>
      <c r="I655" s="7">
        <v>0</v>
      </c>
      <c r="J655" s="7">
        <v>0</v>
      </c>
      <c r="K655" s="7">
        <v>0</v>
      </c>
      <c r="M655">
        <f t="shared" ref="M655" si="486">MDETERM(B655:D657)</f>
        <v>4.2996031996665085</v>
      </c>
      <c r="N655">
        <f t="shared" ref="N655" si="487">MDETERM(E655:G657)</f>
        <v>-3.3686023826032914E-6</v>
      </c>
      <c r="P655">
        <f t="array" ref="P655:R657">SVDD(B655:D657)</f>
        <v>3.9864298650085872</v>
      </c>
      <c r="Q655">
        <v>0</v>
      </c>
      <c r="R655">
        <v>0</v>
      </c>
      <c r="S655" s="3">
        <f t="shared" ref="S655" si="488">MAX(P655,Q656,R657)/MIN(P655,Q656,R657)</f>
        <v>7.33302063772613</v>
      </c>
    </row>
    <row r="656" spans="1:19">
      <c r="A656" s="7" t="s">
        <v>179</v>
      </c>
      <c r="B656" s="8">
        <v>-2.4772611105726599</v>
      </c>
      <c r="C656" s="8">
        <v>1.0605572692523213</v>
      </c>
      <c r="D656" s="8">
        <v>3.9812674620544719E-2</v>
      </c>
      <c r="E656" s="7">
        <v>0</v>
      </c>
      <c r="F656" s="7">
        <v>-1.4990516053215155E-2</v>
      </c>
      <c r="G656" s="8">
        <v>0</v>
      </c>
      <c r="H656" s="8">
        <v>0</v>
      </c>
      <c r="I656" s="33">
        <v>0</v>
      </c>
      <c r="J656" s="7">
        <v>0</v>
      </c>
      <c r="K656" s="7">
        <v>0</v>
      </c>
      <c r="P656">
        <v>0</v>
      </c>
      <c r="Q656">
        <v>1.9840062189381586</v>
      </c>
      <c r="R656">
        <v>0</v>
      </c>
    </row>
    <row r="657" spans="1:19">
      <c r="A657" s="7"/>
      <c r="B657" s="8">
        <v>-1.4675604394566215</v>
      </c>
      <c r="C657" s="8">
        <v>1.3235781323919831</v>
      </c>
      <c r="D657" s="8">
        <v>-0.72564008456612294</v>
      </c>
      <c r="E657" s="7">
        <v>0</v>
      </c>
      <c r="F657" s="8">
        <v>0</v>
      </c>
      <c r="G657" s="7">
        <v>-1.4990516053215155E-2</v>
      </c>
      <c r="H657" s="8">
        <v>0</v>
      </c>
      <c r="I657" s="8">
        <v>0</v>
      </c>
      <c r="J657" s="33">
        <v>0</v>
      </c>
      <c r="K657" s="33">
        <v>0</v>
      </c>
      <c r="P657">
        <v>0</v>
      </c>
      <c r="Q657">
        <v>0</v>
      </c>
      <c r="R657">
        <v>0.54362725293580039</v>
      </c>
    </row>
    <row r="658" spans="1:19">
      <c r="A658" s="7"/>
      <c r="B658" s="8"/>
      <c r="C658" s="8"/>
      <c r="D658" s="8"/>
      <c r="E658" s="7"/>
      <c r="F658" s="7"/>
      <c r="G658" s="7"/>
      <c r="H658" s="7"/>
      <c r="I658" s="7"/>
      <c r="J658" s="7"/>
      <c r="K658" s="7"/>
    </row>
    <row r="659" spans="1:19">
      <c r="A659" s="7"/>
      <c r="B659" s="8">
        <v>-2.6959782234951333</v>
      </c>
      <c r="C659" s="8">
        <v>-1.0757798809975587</v>
      </c>
      <c r="D659" s="8">
        <v>-4.997772423355884E-2</v>
      </c>
      <c r="E659" s="7">
        <v>-1.4990516053215155E-2</v>
      </c>
      <c r="F659" s="8">
        <v>0</v>
      </c>
      <c r="G659" s="8">
        <v>0</v>
      </c>
      <c r="H659" s="33">
        <v>0</v>
      </c>
      <c r="I659" s="7">
        <v>0</v>
      </c>
      <c r="J659" s="7">
        <v>0</v>
      </c>
      <c r="K659" s="7">
        <v>0</v>
      </c>
      <c r="M659">
        <f t="shared" ref="M659" si="489">MDETERM(B659:D661)</f>
        <v>2.4934132109217195</v>
      </c>
      <c r="N659">
        <f t="shared" ref="N659" si="490">MDETERM(E659:G661)</f>
        <v>-3.3686023826032914E-6</v>
      </c>
      <c r="P659">
        <f t="array" ref="P659:R661">SVDD(B659:D661)</f>
        <v>3.2116252266340304</v>
      </c>
      <c r="Q659">
        <v>0</v>
      </c>
      <c r="R659">
        <v>0</v>
      </c>
      <c r="S659" s="3">
        <f t="shared" ref="S659" si="491">MAX(P659,Q660,R661)/MIN(P659,Q660,R661)</f>
        <v>8.5028993454699311</v>
      </c>
    </row>
    <row r="660" spans="1:19">
      <c r="A660" s="7" t="s">
        <v>180</v>
      </c>
      <c r="B660" s="8">
        <v>-0.85843073718374274</v>
      </c>
      <c r="C660" s="8">
        <v>1.040962775001312</v>
      </c>
      <c r="D660" s="8">
        <v>-3.7610117674176324E-2</v>
      </c>
      <c r="E660" s="7">
        <v>0</v>
      </c>
      <c r="F660" s="7">
        <v>-1.4990516053215155E-2</v>
      </c>
      <c r="G660" s="8">
        <v>0</v>
      </c>
      <c r="H660" s="8">
        <v>0</v>
      </c>
      <c r="I660" s="33">
        <v>0</v>
      </c>
      <c r="J660" s="7">
        <v>0</v>
      </c>
      <c r="K660" s="7">
        <v>0</v>
      </c>
      <c r="P660">
        <v>0</v>
      </c>
      <c r="Q660">
        <v>2.0554720380390674</v>
      </c>
      <c r="R660">
        <v>0</v>
      </c>
    </row>
    <row r="661" spans="1:19">
      <c r="A661" s="7"/>
      <c r="B661" s="8">
        <v>-1.4675604394566215</v>
      </c>
      <c r="C661" s="8">
        <v>1.3235781323919831</v>
      </c>
      <c r="D661" s="8">
        <v>-0.72564008456612294</v>
      </c>
      <c r="E661" s="7">
        <v>0</v>
      </c>
      <c r="F661" s="8">
        <v>0</v>
      </c>
      <c r="G661" s="7">
        <v>-1.4990516053215155E-2</v>
      </c>
      <c r="H661" s="8">
        <v>0</v>
      </c>
      <c r="I661" s="8">
        <v>0</v>
      </c>
      <c r="J661" s="33">
        <v>0</v>
      </c>
      <c r="K661" s="33">
        <v>0</v>
      </c>
      <c r="P661">
        <v>0</v>
      </c>
      <c r="Q661">
        <v>0</v>
      </c>
      <c r="R661">
        <v>0.37770942547321584</v>
      </c>
    </row>
    <row r="662" spans="1:19">
      <c r="A662" s="7"/>
      <c r="B662" s="8"/>
      <c r="C662" s="8"/>
      <c r="D662" s="8"/>
      <c r="E662" s="7"/>
      <c r="F662" s="7"/>
      <c r="G662" s="7"/>
      <c r="H662" s="7"/>
      <c r="I662" s="7"/>
      <c r="J662" s="7"/>
      <c r="K662" s="7"/>
    </row>
    <row r="663" spans="1:19">
      <c r="A663" s="7"/>
      <c r="B663" s="8">
        <v>-0.40019020491700363</v>
      </c>
      <c r="C663" s="8">
        <v>-1.0840062473010013</v>
      </c>
      <c r="D663" s="8">
        <v>-1.6840506224230944E-2</v>
      </c>
      <c r="E663" s="7">
        <v>-1.4990516053215155E-2</v>
      </c>
      <c r="F663" s="8">
        <v>0</v>
      </c>
      <c r="G663" s="8">
        <v>0</v>
      </c>
      <c r="H663" s="33">
        <v>-1.6236379226863738E-2</v>
      </c>
      <c r="I663" s="7">
        <v>2.2872089329671663E-2</v>
      </c>
      <c r="J663" s="7">
        <v>0</v>
      </c>
      <c r="K663" s="7">
        <v>0</v>
      </c>
      <c r="M663">
        <f t="shared" ref="M663" si="492">MDETERM(B663:D665)</f>
        <v>-0.27566179715216726</v>
      </c>
      <c r="N663">
        <f t="shared" ref="N663" si="493">MDETERM(E663:G665)</f>
        <v>-3.3686023826032914E-6</v>
      </c>
      <c r="P663">
        <f t="array" ref="P663:R665">SVDD(B663:D665)</f>
        <v>3.819168963019361</v>
      </c>
      <c r="Q663">
        <v>0</v>
      </c>
      <c r="R663">
        <v>0</v>
      </c>
      <c r="S663" s="3">
        <f t="shared" ref="S663" si="494">MAX(P663,Q664,R665)/MIN(P663,Q664,R665)</f>
        <v>77.784722012998088</v>
      </c>
    </row>
    <row r="664" spans="1:19">
      <c r="A664" s="7" t="s">
        <v>181</v>
      </c>
      <c r="B664" s="8">
        <v>-2.8449497700634536</v>
      </c>
      <c r="C664" s="8">
        <v>-0.22852225552422287</v>
      </c>
      <c r="D664" s="8">
        <v>-6.9737163040410666E-2</v>
      </c>
      <c r="E664" s="7">
        <v>0</v>
      </c>
      <c r="F664" s="7">
        <v>-1.4990516053215155E-2</v>
      </c>
      <c r="G664" s="8">
        <v>0</v>
      </c>
      <c r="H664" s="8">
        <v>-1.6236379226863738E-2</v>
      </c>
      <c r="I664" s="33">
        <v>0</v>
      </c>
      <c r="J664" s="7">
        <v>2.2385887789414392E-2</v>
      </c>
      <c r="K664" s="7">
        <v>0</v>
      </c>
      <c r="P664">
        <v>0</v>
      </c>
      <c r="Q664">
        <v>1.4700535070089573</v>
      </c>
      <c r="R664">
        <v>0</v>
      </c>
    </row>
    <row r="665" spans="1:19">
      <c r="A665" s="7"/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8">
        <v>0</v>
      </c>
      <c r="G665" s="7">
        <v>-1.4990516053215155E-2</v>
      </c>
      <c r="H665" s="8">
        <v>-1.6236379226863738E-2</v>
      </c>
      <c r="I665" s="8">
        <v>0</v>
      </c>
      <c r="J665" s="33">
        <v>0</v>
      </c>
      <c r="K665" s="33">
        <v>1.5970575730977998E-2</v>
      </c>
      <c r="P665">
        <v>0</v>
      </c>
      <c r="Q665">
        <v>0</v>
      </c>
      <c r="R665">
        <v>4.9099217226503233E-2</v>
      </c>
    </row>
    <row r="666" spans="1:19">
      <c r="A666" s="7"/>
      <c r="B666" s="8"/>
      <c r="C666" s="8"/>
      <c r="D666" s="8"/>
      <c r="E666" s="7"/>
      <c r="F666" s="7"/>
      <c r="G666" s="7"/>
      <c r="H666" s="7"/>
      <c r="I666" s="7"/>
      <c r="J666" s="7"/>
      <c r="K666" s="7"/>
    </row>
    <row r="667" spans="1:19">
      <c r="A667" s="7"/>
      <c r="B667" s="8">
        <v>-0.40019020491700363</v>
      </c>
      <c r="C667" s="8">
        <v>-1.0840062473010013</v>
      </c>
      <c r="D667" s="8">
        <v>-1.6840506224230944E-2</v>
      </c>
      <c r="E667" s="7">
        <v>-1.4990516053215155E-2</v>
      </c>
      <c r="F667" s="8">
        <v>0</v>
      </c>
      <c r="G667" s="8">
        <v>0</v>
      </c>
      <c r="H667" s="33">
        <v>0</v>
      </c>
      <c r="I667" s="7">
        <v>0</v>
      </c>
      <c r="J667" s="7">
        <v>0</v>
      </c>
      <c r="K667" s="7">
        <v>0</v>
      </c>
      <c r="M667">
        <f t="shared" ref="M667" si="495">MDETERM(B667:D669)</f>
        <v>7.1779642690832868E-2</v>
      </c>
      <c r="N667">
        <f t="shared" ref="N667" si="496">MDETERM(E667:G669)</f>
        <v>-3.3686023826032914E-6</v>
      </c>
      <c r="P667">
        <f t="array" ref="P667:R669">SVDD(B667:D669)</f>
        <v>3.0004113272618786</v>
      </c>
      <c r="Q667">
        <v>0</v>
      </c>
      <c r="R667">
        <v>0</v>
      </c>
      <c r="S667" s="3">
        <f t="shared" ref="S667" si="497">MAX(P667,Q668,R669)/MIN(P667,Q668,R669)</f>
        <v>190.43474137765517</v>
      </c>
    </row>
    <row r="668" spans="1:19">
      <c r="A668" s="7" t="s">
        <v>182</v>
      </c>
      <c r="B668" s="8">
        <v>-2.8449497700634536</v>
      </c>
      <c r="C668" s="8">
        <v>-0.22852225552422287</v>
      </c>
      <c r="D668" s="8">
        <v>-6.9737163040410666E-2</v>
      </c>
      <c r="E668" s="7">
        <v>0</v>
      </c>
      <c r="F668" s="7">
        <v>-1.4990516053215155E-2</v>
      </c>
      <c r="G668" s="8">
        <v>0</v>
      </c>
      <c r="H668" s="8">
        <v>0</v>
      </c>
      <c r="I668" s="33">
        <v>0</v>
      </c>
      <c r="J668" s="7">
        <v>0</v>
      </c>
      <c r="K668" s="7">
        <v>0</v>
      </c>
      <c r="P668">
        <v>0</v>
      </c>
      <c r="Q668">
        <v>1.5183988979938086</v>
      </c>
      <c r="R668">
        <v>0</v>
      </c>
    </row>
    <row r="669" spans="1:19">
      <c r="A669" s="7"/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8">
        <v>0</v>
      </c>
      <c r="G669" s="7">
        <v>-1.4990516053215155E-2</v>
      </c>
      <c r="H669" s="8">
        <v>0</v>
      </c>
      <c r="I669" s="8">
        <v>0</v>
      </c>
      <c r="J669" s="33">
        <v>0</v>
      </c>
      <c r="K669" s="33">
        <v>0</v>
      </c>
      <c r="P669">
        <v>0</v>
      </c>
      <c r="Q669">
        <v>0</v>
      </c>
      <c r="R669">
        <v>1.5755588006453609E-2</v>
      </c>
    </row>
    <row r="670" spans="1:19">
      <c r="A670" s="7"/>
      <c r="B670" s="8"/>
      <c r="C670" s="8"/>
      <c r="D670" s="8"/>
      <c r="E670" s="7"/>
      <c r="F670" s="7"/>
      <c r="G670" s="7"/>
      <c r="H670" s="7"/>
      <c r="I670" s="7"/>
      <c r="J670" s="7"/>
      <c r="K670" s="7"/>
    </row>
    <row r="671" spans="1:19">
      <c r="A671" s="7"/>
      <c r="B671" s="8">
        <v>-0.40019020491700363</v>
      </c>
      <c r="C671" s="8">
        <v>-1.0840062473010013</v>
      </c>
      <c r="D671" s="8">
        <v>-1.6840506224230944E-2</v>
      </c>
      <c r="E671" s="7">
        <v>-1.4990516053215155E-2</v>
      </c>
      <c r="F671" s="8">
        <v>0</v>
      </c>
      <c r="G671" s="8">
        <v>0</v>
      </c>
      <c r="H671" s="33">
        <v>-1.6236379226863738E-2</v>
      </c>
      <c r="I671" s="7">
        <v>2.2872089329671663E-2</v>
      </c>
      <c r="J671" s="7">
        <v>0</v>
      </c>
      <c r="K671" s="7">
        <v>0</v>
      </c>
      <c r="M671">
        <f t="shared" ref="M671" si="498">MDETERM(B671:D673)</f>
        <v>2.0926527595589355</v>
      </c>
      <c r="N671">
        <f t="shared" ref="N671" si="499">MDETERM(E671:G673)</f>
        <v>-3.3686023826032914E-6</v>
      </c>
      <c r="P671">
        <f t="array" ref="P671:R673">SVDD(B671:D673)</f>
        <v>3.2696873343647042</v>
      </c>
      <c r="Q671">
        <v>0</v>
      </c>
      <c r="R671">
        <v>0</v>
      </c>
      <c r="S671" s="3">
        <f t="shared" ref="S671" si="500">MAX(P671,Q672,R673)/MIN(P671,Q672,R673)</f>
        <v>8.9880513431210201</v>
      </c>
    </row>
    <row r="672" spans="1:19">
      <c r="A672" s="7" t="s">
        <v>183</v>
      </c>
      <c r="B672" s="8">
        <v>-2.8449497700634536</v>
      </c>
      <c r="C672" s="8">
        <v>-0.22852225552422287</v>
      </c>
      <c r="D672" s="8">
        <v>-6.9737163040410666E-2</v>
      </c>
      <c r="E672" s="7">
        <v>0</v>
      </c>
      <c r="F672" s="7">
        <v>-1.4990516053215155E-2</v>
      </c>
      <c r="G672" s="8">
        <v>0</v>
      </c>
      <c r="H672" s="8">
        <v>-1.6236379226863738E-2</v>
      </c>
      <c r="I672" s="33">
        <v>0</v>
      </c>
      <c r="J672" s="7">
        <v>2.2385887789414392E-2</v>
      </c>
      <c r="K672" s="7">
        <v>0</v>
      </c>
      <c r="P672">
        <v>0</v>
      </c>
      <c r="Q672">
        <v>1.7593419778759418</v>
      </c>
      <c r="R672">
        <v>0</v>
      </c>
    </row>
    <row r="673" spans="1:19">
      <c r="A673" s="7"/>
      <c r="B673" s="8">
        <v>-1.4675604394566215</v>
      </c>
      <c r="C673" s="8">
        <v>1.3235781323919831</v>
      </c>
      <c r="D673" s="8">
        <v>-0.72564008456612294</v>
      </c>
      <c r="E673" s="7">
        <v>0</v>
      </c>
      <c r="F673" s="8">
        <v>0</v>
      </c>
      <c r="G673" s="7">
        <v>-1.4990516053215155E-2</v>
      </c>
      <c r="H673" s="8">
        <v>-1.6236379226863738E-2</v>
      </c>
      <c r="I673" s="8">
        <v>0</v>
      </c>
      <c r="J673" s="33">
        <v>0</v>
      </c>
      <c r="K673" s="33">
        <v>2.0521745021313972E-2</v>
      </c>
      <c r="P673">
        <v>0</v>
      </c>
      <c r="Q673">
        <v>0</v>
      </c>
      <c r="R673">
        <v>0.36378155948865937</v>
      </c>
    </row>
    <row r="674" spans="1:19">
      <c r="A674" s="7"/>
      <c r="B674" s="8"/>
      <c r="C674" s="8"/>
      <c r="D674" s="8"/>
      <c r="E674" s="7"/>
      <c r="F674" s="7"/>
      <c r="G674" s="7"/>
      <c r="H674" s="7"/>
      <c r="I674" s="7"/>
      <c r="J674" s="7"/>
      <c r="K674" s="7"/>
    </row>
    <row r="675" spans="1:19">
      <c r="A675" s="7"/>
      <c r="B675" s="8">
        <v>-0.40019020491700363</v>
      </c>
      <c r="C675" s="8">
        <v>-1.0840062473010013</v>
      </c>
      <c r="D675" s="8">
        <v>-1.6840506224230944E-2</v>
      </c>
      <c r="E675" s="7">
        <v>-1.4990516053215155E-2</v>
      </c>
      <c r="F675" s="8">
        <v>0</v>
      </c>
      <c r="G675" s="8">
        <v>0</v>
      </c>
      <c r="H675" s="33">
        <v>0</v>
      </c>
      <c r="I675" s="7">
        <v>0</v>
      </c>
      <c r="J675" s="7">
        <v>0</v>
      </c>
      <c r="K675" s="7">
        <v>0</v>
      </c>
      <c r="M675">
        <f t="shared" ref="M675" si="501">MDETERM(B675:D677)</f>
        <v>0.19868773649886828</v>
      </c>
      <c r="N675">
        <f t="shared" ref="N675" si="502">MDETERM(E675:G677)</f>
        <v>-3.3686023826032914E-6</v>
      </c>
      <c r="P675">
        <f t="array" ref="P675:R677">SVDD(B675:D677)</f>
        <v>2.9657008797877782</v>
      </c>
      <c r="Q675">
        <v>0</v>
      </c>
      <c r="R675">
        <v>0</v>
      </c>
      <c r="S675" s="3">
        <f t="shared" ref="S675" si="503">MAX(P675,Q676,R677)/MIN(P675,Q676,R677)</f>
        <v>56.386053470483816</v>
      </c>
    </row>
    <row r="676" spans="1:19">
      <c r="A676" s="7" t="s">
        <v>184</v>
      </c>
      <c r="B676" s="8">
        <v>-2.4772611105726599</v>
      </c>
      <c r="C676" s="8">
        <v>1.0605572692523213</v>
      </c>
      <c r="D676" s="8">
        <v>3.9812674620544719E-2</v>
      </c>
      <c r="E676" s="7">
        <v>0</v>
      </c>
      <c r="F676" s="7">
        <v>-1.4990516053215155E-2</v>
      </c>
      <c r="G676" s="8">
        <v>0</v>
      </c>
      <c r="H676" s="8">
        <v>0</v>
      </c>
      <c r="I676" s="33">
        <v>0</v>
      </c>
      <c r="J676" s="7">
        <v>0</v>
      </c>
      <c r="K676" s="7">
        <v>0</v>
      </c>
      <c r="P676">
        <v>0</v>
      </c>
      <c r="Q676">
        <v>1.273761356313633</v>
      </c>
      <c r="R676">
        <v>0</v>
      </c>
    </row>
    <row r="677" spans="1:19">
      <c r="A677" s="7"/>
      <c r="B677" s="8">
        <v>-0.85843073718374274</v>
      </c>
      <c r="C677" s="8">
        <v>1.040962775001312</v>
      </c>
      <c r="D677" s="8">
        <v>-3.7610117674176324E-2</v>
      </c>
      <c r="E677" s="7">
        <v>0</v>
      </c>
      <c r="F677" s="8">
        <v>0</v>
      </c>
      <c r="G677" s="7">
        <v>-1.4990516053215155E-2</v>
      </c>
      <c r="H677" s="8">
        <v>0</v>
      </c>
      <c r="I677" s="8">
        <v>0</v>
      </c>
      <c r="J677" s="33">
        <v>0</v>
      </c>
      <c r="K677" s="33">
        <v>0</v>
      </c>
      <c r="P677">
        <v>0</v>
      </c>
      <c r="Q677">
        <v>0</v>
      </c>
      <c r="R677">
        <v>5.2596354900777402E-2</v>
      </c>
    </row>
    <row r="678" spans="1:19">
      <c r="A678" s="7"/>
      <c r="B678" s="8"/>
      <c r="C678" s="8"/>
      <c r="D678" s="8"/>
      <c r="E678" s="7"/>
      <c r="F678" s="7"/>
      <c r="G678" s="7"/>
      <c r="H678" s="7"/>
      <c r="I678" s="7"/>
      <c r="J678" s="7"/>
      <c r="K678" s="7"/>
    </row>
    <row r="679" spans="1:19">
      <c r="A679" s="7"/>
      <c r="B679" s="8">
        <v>-0.40019020491700363</v>
      </c>
      <c r="C679" s="8">
        <v>-1.0840062473010013</v>
      </c>
      <c r="D679" s="8">
        <v>-1.6840506224230944E-2</v>
      </c>
      <c r="E679" s="7">
        <v>-1.4990516053215155E-2</v>
      </c>
      <c r="F679" s="8">
        <v>0</v>
      </c>
      <c r="G679" s="8">
        <v>0</v>
      </c>
      <c r="H679" s="33">
        <v>-1.6236379226863738E-2</v>
      </c>
      <c r="I679" s="7">
        <v>2.2872089329671663E-2</v>
      </c>
      <c r="J679" s="7">
        <v>0</v>
      </c>
      <c r="K679" s="7">
        <v>0</v>
      </c>
      <c r="M679">
        <f t="shared" ref="M679" si="504">MDETERM(B679:D681)</f>
        <v>2.3700193625278945</v>
      </c>
      <c r="N679">
        <f t="shared" ref="N679" si="505">MDETERM(E679:G681)</f>
        <v>-3.3686023826032914E-6</v>
      </c>
      <c r="P679">
        <f t="array" ref="P679:R681">SVDD(B679:D681)</f>
        <v>3.3309228431412232</v>
      </c>
      <c r="Q679">
        <v>0</v>
      </c>
      <c r="R679">
        <v>0</v>
      </c>
      <c r="S679" s="3">
        <f t="shared" ref="S679" si="506">MAX(P679,Q680,R681)/MIN(P679,Q680,R681)</f>
        <v>5.9659507309582951</v>
      </c>
    </row>
    <row r="680" spans="1:19">
      <c r="A680" s="7" t="s">
        <v>185</v>
      </c>
      <c r="B680" s="8">
        <v>-2.4772611105726599</v>
      </c>
      <c r="C680" s="8">
        <v>1.0605572692523213</v>
      </c>
      <c r="D680" s="8">
        <v>3.9812674620544719E-2</v>
      </c>
      <c r="E680" s="7">
        <v>0</v>
      </c>
      <c r="F680" s="7">
        <v>-1.4990516053215155E-2</v>
      </c>
      <c r="G680" s="8">
        <v>0</v>
      </c>
      <c r="H680" s="8">
        <v>-1.6236379226863738E-2</v>
      </c>
      <c r="I680" s="33">
        <v>0</v>
      </c>
      <c r="J680" s="7">
        <v>1.5970575730977998E-2</v>
      </c>
      <c r="K680" s="7">
        <v>0</v>
      </c>
      <c r="P680">
        <v>0</v>
      </c>
      <c r="Q680">
        <v>1.274390163906169</v>
      </c>
      <c r="R680">
        <v>0</v>
      </c>
    </row>
    <row r="681" spans="1:19">
      <c r="A681" s="7"/>
      <c r="B681" s="8">
        <v>-1.4675604394566215</v>
      </c>
      <c r="C681" s="8">
        <v>1.3235781323919831</v>
      </c>
      <c r="D681" s="8">
        <v>-0.72564008456612294</v>
      </c>
      <c r="E681" s="7">
        <v>0</v>
      </c>
      <c r="F681" s="8">
        <v>0</v>
      </c>
      <c r="G681" s="7">
        <v>-1.4990516053215155E-2</v>
      </c>
      <c r="H681" s="8">
        <v>-1.6236379226863738E-2</v>
      </c>
      <c r="I681" s="8">
        <v>0</v>
      </c>
      <c r="J681" s="33">
        <v>0</v>
      </c>
      <c r="K681" s="33">
        <v>2.0521745021313972E-2</v>
      </c>
      <c r="P681">
        <v>0</v>
      </c>
      <c r="Q681">
        <v>0</v>
      </c>
      <c r="R681">
        <v>0.55832221775760216</v>
      </c>
    </row>
    <row r="682" spans="1:19">
      <c r="A682" s="7"/>
      <c r="B682" s="8"/>
      <c r="C682" s="8"/>
      <c r="D682" s="8"/>
      <c r="E682" s="7"/>
      <c r="F682" s="7"/>
      <c r="G682" s="7"/>
      <c r="H682" s="7"/>
      <c r="I682" s="7"/>
      <c r="J682" s="7"/>
      <c r="K682" s="7"/>
    </row>
    <row r="683" spans="1:19">
      <c r="A683" s="7"/>
      <c r="B683" s="8">
        <v>-0.40019020491700363</v>
      </c>
      <c r="C683" s="8">
        <v>-1.0840062473010013</v>
      </c>
      <c r="D683" s="8">
        <v>-1.6840506224230944E-2</v>
      </c>
      <c r="E683" s="7">
        <v>-1.4990516053215155E-2</v>
      </c>
      <c r="F683" s="8">
        <v>0</v>
      </c>
      <c r="G683" s="8">
        <v>0</v>
      </c>
      <c r="H683" s="33">
        <v>0</v>
      </c>
      <c r="I683" s="7">
        <v>0</v>
      </c>
      <c r="J683" s="7">
        <v>0</v>
      </c>
      <c r="K683" s="7">
        <v>0</v>
      </c>
      <c r="M683">
        <f t="shared" ref="M683" si="507">MDETERM(B683:D685)</f>
        <v>0.89118368812874948</v>
      </c>
      <c r="N683">
        <f t="shared" ref="N683" si="508">MDETERM(E683:G685)</f>
        <v>-3.3686023826032914E-6</v>
      </c>
      <c r="P683">
        <f t="array" ref="P683:R685">SVDD(B683:D685)</f>
        <v>2.5192734950938114</v>
      </c>
      <c r="Q683">
        <v>0</v>
      </c>
      <c r="R683">
        <v>0</v>
      </c>
      <c r="S683" s="3">
        <f t="shared" ref="S683" si="509">MAX(P683,Q684,R685)/MIN(P683,Q684,R685)</f>
        <v>7.5782362388487288</v>
      </c>
    </row>
    <row r="684" spans="1:19">
      <c r="A684" s="7" t="s">
        <v>186</v>
      </c>
      <c r="B684" s="8">
        <v>-0.85843073718374274</v>
      </c>
      <c r="C684" s="8">
        <v>1.040962775001312</v>
      </c>
      <c r="D684" s="8">
        <v>-3.7610117674176324E-2</v>
      </c>
      <c r="E684" s="7">
        <v>0</v>
      </c>
      <c r="F684" s="7">
        <v>-1.4990516053215155E-2</v>
      </c>
      <c r="G684" s="8">
        <v>0</v>
      </c>
      <c r="H684" s="8">
        <v>0</v>
      </c>
      <c r="I684" s="33">
        <v>0</v>
      </c>
      <c r="J684" s="7">
        <v>0</v>
      </c>
      <c r="K684" s="7">
        <v>0</v>
      </c>
      <c r="P684">
        <v>0</v>
      </c>
      <c r="Q684">
        <v>1.0641056109940419</v>
      </c>
      <c r="R684">
        <v>0</v>
      </c>
    </row>
    <row r="685" spans="1:19">
      <c r="A685" s="7"/>
      <c r="B685" s="8">
        <v>-1.4675604394566215</v>
      </c>
      <c r="C685" s="8">
        <v>1.3235781323919831</v>
      </c>
      <c r="D685" s="8">
        <v>-0.72564008456612294</v>
      </c>
      <c r="E685" s="7">
        <v>0</v>
      </c>
      <c r="F685" s="8">
        <v>0</v>
      </c>
      <c r="G685" s="7">
        <v>-1.4990516053215155E-2</v>
      </c>
      <c r="H685" s="8">
        <v>0</v>
      </c>
      <c r="I685" s="8">
        <v>0</v>
      </c>
      <c r="J685" s="33">
        <v>0</v>
      </c>
      <c r="K685" s="33">
        <v>0</v>
      </c>
      <c r="P685">
        <v>0</v>
      </c>
      <c r="Q685">
        <v>0</v>
      </c>
      <c r="R685">
        <v>0.33243533398696667</v>
      </c>
    </row>
    <row r="686" spans="1:19">
      <c r="A686" s="7"/>
      <c r="B686" s="8"/>
      <c r="C686" s="8"/>
      <c r="D686" s="8"/>
      <c r="E686" s="7"/>
      <c r="F686" s="7"/>
      <c r="G686" s="7"/>
      <c r="H686" s="7"/>
      <c r="I686" s="7"/>
      <c r="J686" s="7"/>
      <c r="K686" s="7"/>
    </row>
    <row r="687" spans="1:19">
      <c r="A687" s="7"/>
      <c r="B687" s="8">
        <v>-2.8449497700634536</v>
      </c>
      <c r="C687" s="8">
        <v>-0.22852225552422287</v>
      </c>
      <c r="D687" s="8">
        <v>-6.9737163040410666E-2</v>
      </c>
      <c r="E687" s="7">
        <v>-1.4990516053215155E-2</v>
      </c>
      <c r="F687" s="8">
        <v>0</v>
      </c>
      <c r="G687" s="8">
        <v>0</v>
      </c>
      <c r="H687" s="33">
        <v>0</v>
      </c>
      <c r="I687" s="7">
        <v>0</v>
      </c>
      <c r="J687" s="7">
        <v>0</v>
      </c>
      <c r="K687" s="7">
        <v>0</v>
      </c>
      <c r="M687">
        <f t="shared" ref="M687" si="510">MDETERM(B687:D689)</f>
        <v>0.376828696211161</v>
      </c>
      <c r="N687">
        <f t="shared" ref="N687" si="511">MDETERM(E687:G689)</f>
        <v>-3.3686023826032914E-6</v>
      </c>
      <c r="P687">
        <f t="array" ref="P687:R689">SVDD(B687:D689)</f>
        <v>3.9480281808906286</v>
      </c>
      <c r="Q687">
        <v>0</v>
      </c>
      <c r="R687">
        <v>0</v>
      </c>
      <c r="S687" s="3">
        <f t="shared" ref="S687" si="512">MAX(P687,Q688,R689)/MIN(P687,Q688,R689)</f>
        <v>53.026975700344195</v>
      </c>
    </row>
    <row r="688" spans="1:19">
      <c r="A688" s="7" t="s">
        <v>187</v>
      </c>
      <c r="B688" s="8">
        <v>-2.4772611105726599</v>
      </c>
      <c r="C688" s="8">
        <v>1.0605572692523213</v>
      </c>
      <c r="D688" s="8">
        <v>3.9812674620544719E-2</v>
      </c>
      <c r="E688" s="7">
        <v>0</v>
      </c>
      <c r="F688" s="7">
        <v>-1.4990516053215155E-2</v>
      </c>
      <c r="G688" s="8">
        <v>0</v>
      </c>
      <c r="H688" s="8">
        <v>0</v>
      </c>
      <c r="I688" s="33">
        <v>0</v>
      </c>
      <c r="J688" s="7">
        <v>0</v>
      </c>
      <c r="K688" s="7">
        <v>0</v>
      </c>
      <c r="P688">
        <v>0</v>
      </c>
      <c r="Q688">
        <v>1.2819773093336515</v>
      </c>
      <c r="R688">
        <v>0</v>
      </c>
    </row>
    <row r="689" spans="1:19">
      <c r="A689" s="7"/>
      <c r="B689" s="8">
        <v>-0.85843073718374274</v>
      </c>
      <c r="C689" s="8">
        <v>1.040962775001312</v>
      </c>
      <c r="D689" s="8">
        <v>-3.7610117674176324E-2</v>
      </c>
      <c r="E689" s="7">
        <v>0</v>
      </c>
      <c r="F689" s="8">
        <v>0</v>
      </c>
      <c r="G689" s="7">
        <v>-1.4990516053215155E-2</v>
      </c>
      <c r="H689" s="8">
        <v>0</v>
      </c>
      <c r="I689" s="8">
        <v>0</v>
      </c>
      <c r="J689" s="33">
        <v>0</v>
      </c>
      <c r="K689" s="33">
        <v>0</v>
      </c>
      <c r="P689">
        <v>0</v>
      </c>
      <c r="Q689">
        <v>0</v>
      </c>
      <c r="R689">
        <v>7.445320289810535E-2</v>
      </c>
    </row>
    <row r="690" spans="1:19">
      <c r="A690" s="7"/>
      <c r="B690" s="8"/>
      <c r="C690" s="8"/>
      <c r="D690" s="8"/>
      <c r="E690" s="7"/>
      <c r="F690" s="7"/>
      <c r="G690" s="7"/>
      <c r="H690" s="7"/>
      <c r="I690" s="7"/>
      <c r="J690" s="7"/>
      <c r="K690" s="7"/>
    </row>
    <row r="691" spans="1:19">
      <c r="A691" s="7"/>
      <c r="B691" s="8">
        <v>-2.8449497700634536</v>
      </c>
      <c r="C691" s="8">
        <v>-0.22852225552422287</v>
      </c>
      <c r="D691" s="8">
        <v>-6.9737163040410666E-2</v>
      </c>
      <c r="E691" s="7">
        <v>-1.4990516053215155E-2</v>
      </c>
      <c r="F691" s="8">
        <v>0</v>
      </c>
      <c r="G691" s="8">
        <v>0</v>
      </c>
      <c r="H691" s="33">
        <v>-1.6236379226863738E-2</v>
      </c>
      <c r="I691" s="7">
        <v>2.2385887789414392E-2</v>
      </c>
      <c r="J691" s="7">
        <v>0</v>
      </c>
      <c r="K691" s="7">
        <v>0</v>
      </c>
      <c r="M691">
        <f t="shared" ref="M691" si="513">MDETERM(B691:D693)</f>
        <v>2.8835997956298036</v>
      </c>
      <c r="N691">
        <f t="shared" ref="N691" si="514">MDETERM(E691:G693)</f>
        <v>-3.3686023826032914E-6</v>
      </c>
      <c r="P691">
        <f t="array" ref="P691:R693">SVDD(B691:D693)</f>
        <v>4.1894577685528418</v>
      </c>
      <c r="Q691">
        <v>0</v>
      </c>
      <c r="R691">
        <v>0</v>
      </c>
      <c r="S691" s="3">
        <f t="shared" ref="S691" si="515">MAX(P691,Q692,R693)/MIN(P691,Q692,R693)</f>
        <v>8.7470632700269135</v>
      </c>
    </row>
    <row r="692" spans="1:19">
      <c r="A692" s="7" t="s">
        <v>188</v>
      </c>
      <c r="B692" s="8">
        <v>-2.4772611105726599</v>
      </c>
      <c r="C692" s="8">
        <v>1.0605572692523213</v>
      </c>
      <c r="D692" s="8">
        <v>3.9812674620544719E-2</v>
      </c>
      <c r="E692" s="7">
        <v>0</v>
      </c>
      <c r="F692" s="7">
        <v>-1.4990516053215155E-2</v>
      </c>
      <c r="G692" s="8">
        <v>0</v>
      </c>
      <c r="H692" s="8">
        <v>-1.6236379226863738E-2</v>
      </c>
      <c r="I692" s="33">
        <v>0</v>
      </c>
      <c r="J692" s="7">
        <v>1.5970575730977998E-2</v>
      </c>
      <c r="K692" s="7">
        <v>0</v>
      </c>
      <c r="P692">
        <v>0</v>
      </c>
      <c r="Q692">
        <v>1.4370822331022506</v>
      </c>
      <c r="R692">
        <v>0</v>
      </c>
    </row>
    <row r="693" spans="1:19">
      <c r="A693" s="7"/>
      <c r="B693" s="8">
        <v>-1.4675604394566215</v>
      </c>
      <c r="C693" s="8">
        <v>1.3235781323919831</v>
      </c>
      <c r="D693" s="8">
        <v>-0.72564008456612294</v>
      </c>
      <c r="E693" s="7">
        <v>0</v>
      </c>
      <c r="F693" s="8">
        <v>0</v>
      </c>
      <c r="G693" s="7">
        <v>-1.4990516053215155E-2</v>
      </c>
      <c r="H693" s="8">
        <v>-1.6236379226863738E-2</v>
      </c>
      <c r="I693" s="8">
        <v>0</v>
      </c>
      <c r="J693" s="33">
        <v>0</v>
      </c>
      <c r="K693" s="33">
        <v>2.0521745021313972E-2</v>
      </c>
      <c r="P693">
        <v>0</v>
      </c>
      <c r="Q693">
        <v>0</v>
      </c>
      <c r="R693">
        <v>0.47895592374513041</v>
      </c>
    </row>
    <row r="694" spans="1:19">
      <c r="A694" s="7"/>
      <c r="B694" s="8"/>
      <c r="C694" s="8"/>
      <c r="D694" s="8"/>
      <c r="E694" s="7"/>
      <c r="F694" s="7"/>
      <c r="G694" s="7"/>
      <c r="H694" s="7"/>
      <c r="I694" s="7"/>
      <c r="J694" s="7"/>
      <c r="K694" s="7"/>
    </row>
    <row r="695" spans="1:19">
      <c r="A695" s="7"/>
      <c r="B695" s="8">
        <v>-2.8449497700634536</v>
      </c>
      <c r="C695" s="8">
        <v>-0.22852225552422287</v>
      </c>
      <c r="D695" s="8">
        <v>-6.9737163040410666E-2</v>
      </c>
      <c r="E695" s="7">
        <v>-1.4990516053215155E-2</v>
      </c>
      <c r="F695" s="8">
        <v>0</v>
      </c>
      <c r="G695" s="8">
        <v>0</v>
      </c>
      <c r="H695" s="33">
        <v>0</v>
      </c>
      <c r="I695" s="7">
        <v>0</v>
      </c>
      <c r="J695" s="7">
        <v>0</v>
      </c>
      <c r="K695" s="7">
        <v>0</v>
      </c>
      <c r="M695">
        <f t="shared" ref="M695" si="516">MDETERM(B695:D697)</f>
        <v>2.1097876238997864</v>
      </c>
      <c r="N695">
        <f t="shared" ref="N695" si="517">MDETERM(E695:G697)</f>
        <v>-3.3686023826032914E-6</v>
      </c>
      <c r="P695">
        <f t="array" ref="P695:R697">SVDD(B695:D697)</f>
        <v>3.4260219730339339</v>
      </c>
      <c r="Q695">
        <v>0</v>
      </c>
      <c r="R695">
        <v>0</v>
      </c>
      <c r="S695" s="3">
        <f t="shared" ref="S695" si="518">MAX(P695,Q696,R697)/MIN(P695,Q696,R697)</f>
        <v>8.8256455143170687</v>
      </c>
    </row>
    <row r="696" spans="1:19">
      <c r="A696" s="7" t="s">
        <v>189</v>
      </c>
      <c r="B696" s="8">
        <v>-0.85843073718374274</v>
      </c>
      <c r="C696" s="8">
        <v>1.040962775001312</v>
      </c>
      <c r="D696" s="8">
        <v>-3.7610117674176324E-2</v>
      </c>
      <c r="E696" s="7">
        <v>0</v>
      </c>
      <c r="F696" s="7">
        <v>-1.4990516053215155E-2</v>
      </c>
      <c r="G696" s="8">
        <v>0</v>
      </c>
      <c r="H696" s="8">
        <v>0</v>
      </c>
      <c r="I696" s="33">
        <v>0</v>
      </c>
      <c r="J696" s="7">
        <v>0</v>
      </c>
      <c r="K696" s="7">
        <v>0</v>
      </c>
      <c r="P696">
        <v>0</v>
      </c>
      <c r="Q696">
        <v>1.5863716215802615</v>
      </c>
      <c r="R696">
        <v>0</v>
      </c>
    </row>
    <row r="697" spans="1:19">
      <c r="A697" s="7"/>
      <c r="B697" s="8">
        <v>-1.4675604394566215</v>
      </c>
      <c r="C697" s="8">
        <v>1.3235781323919831</v>
      </c>
      <c r="D697" s="8">
        <v>-0.72564008456612294</v>
      </c>
      <c r="E697" s="7">
        <v>0</v>
      </c>
      <c r="F697" s="8">
        <v>0</v>
      </c>
      <c r="G697" s="7">
        <v>-1.4990516053215155E-2</v>
      </c>
      <c r="H697" s="8">
        <v>0</v>
      </c>
      <c r="I697" s="8">
        <v>0</v>
      </c>
      <c r="J697" s="33">
        <v>0</v>
      </c>
      <c r="K697" s="33">
        <v>0</v>
      </c>
      <c r="P697">
        <v>0</v>
      </c>
      <c r="Q697">
        <v>0</v>
      </c>
      <c r="R697">
        <v>0.38818939277316311</v>
      </c>
    </row>
    <row r="698" spans="1:19">
      <c r="A698" s="7"/>
      <c r="B698" s="8"/>
      <c r="C698" s="8"/>
      <c r="D698" s="8"/>
      <c r="E698" s="7"/>
      <c r="F698" s="7"/>
      <c r="G698" s="7"/>
      <c r="H698" s="7"/>
      <c r="I698" s="7"/>
      <c r="J698" s="7"/>
      <c r="K698" s="7"/>
    </row>
    <row r="699" spans="1:19">
      <c r="A699" s="7"/>
      <c r="B699" s="8">
        <v>-2.4772611105726599</v>
      </c>
      <c r="C699" s="8">
        <v>1.0605572692523213</v>
      </c>
      <c r="D699" s="8">
        <v>3.9812674620544719E-2</v>
      </c>
      <c r="E699" s="7">
        <v>-1.4990516053215155E-2</v>
      </c>
      <c r="F699" s="8">
        <v>0</v>
      </c>
      <c r="G699" s="8">
        <v>0</v>
      </c>
      <c r="H699" s="33">
        <v>0</v>
      </c>
      <c r="I699" s="7">
        <v>0</v>
      </c>
      <c r="J699" s="7">
        <v>0</v>
      </c>
      <c r="K699" s="7">
        <v>0</v>
      </c>
      <c r="M699">
        <f t="shared" ref="M699" si="519">MDETERM(B699:D701)</f>
        <v>1.1614064528411261</v>
      </c>
      <c r="N699">
        <f t="shared" ref="N699" si="520">MDETERM(E699:G701)</f>
        <v>-3.3686023826032914E-6</v>
      </c>
      <c r="P699">
        <f t="array" ref="P699:R701">SVDD(B699:D701)</f>
        <v>3.5591852842515079</v>
      </c>
      <c r="Q699">
        <v>0</v>
      </c>
      <c r="R699">
        <v>0</v>
      </c>
      <c r="S699" s="3">
        <f t="shared" ref="S699" si="521">MAX(P699,Q700,R701)/MIN(P699,Q700,R701)</f>
        <v>9.1035115127969473</v>
      </c>
    </row>
    <row r="700" spans="1:19">
      <c r="A700" s="7" t="s">
        <v>190</v>
      </c>
      <c r="B700" s="8">
        <v>-0.85843073718374274</v>
      </c>
      <c r="C700" s="8">
        <v>1.040962775001312</v>
      </c>
      <c r="D700" s="8">
        <v>-3.7610117674176324E-2</v>
      </c>
      <c r="E700" s="7">
        <v>0</v>
      </c>
      <c r="F700" s="7">
        <v>-1.4990516053215155E-2</v>
      </c>
      <c r="G700" s="8">
        <v>0</v>
      </c>
      <c r="H700" s="8">
        <v>0</v>
      </c>
      <c r="I700" s="33">
        <v>0</v>
      </c>
      <c r="J700" s="7">
        <v>0</v>
      </c>
      <c r="K700" s="7">
        <v>0</v>
      </c>
      <c r="P700">
        <v>0</v>
      </c>
      <c r="Q700">
        <v>0.83462614726003892</v>
      </c>
      <c r="R700">
        <v>0</v>
      </c>
    </row>
    <row r="701" spans="1:19">
      <c r="A701" s="7"/>
      <c r="B701" s="8">
        <v>-1.4675604394566215</v>
      </c>
      <c r="C701" s="8">
        <v>1.3235781323919831</v>
      </c>
      <c r="D701" s="8">
        <v>-0.72564008456612294</v>
      </c>
      <c r="E701" s="7">
        <v>0</v>
      </c>
      <c r="F701" s="8">
        <v>0</v>
      </c>
      <c r="G701" s="7">
        <v>-1.4990516053215155E-2</v>
      </c>
      <c r="H701" s="8">
        <v>0</v>
      </c>
      <c r="I701" s="8">
        <v>0</v>
      </c>
      <c r="J701" s="33">
        <v>0</v>
      </c>
      <c r="K701" s="33">
        <v>0</v>
      </c>
      <c r="P701">
        <v>0</v>
      </c>
      <c r="Q701">
        <v>0</v>
      </c>
      <c r="R701">
        <v>0.39096839491533636</v>
      </c>
    </row>
    <row r="702" spans="1:19">
      <c r="A702" s="7"/>
      <c r="B702" s="8"/>
      <c r="C702" s="8"/>
      <c r="D702" s="8"/>
      <c r="E702" s="7"/>
      <c r="F702" s="7"/>
      <c r="G702" s="7"/>
      <c r="H702" s="7"/>
      <c r="I702" s="7"/>
      <c r="J702" s="7"/>
      <c r="K702" s="7"/>
    </row>
    <row r="703" spans="1:19">
      <c r="A703" s="7"/>
      <c r="B703" s="8">
        <v>1.0351585166444348</v>
      </c>
      <c r="C703" s="8">
        <v>-2.1037449841221099</v>
      </c>
      <c r="D703" s="8">
        <v>-0.82913701269133588</v>
      </c>
      <c r="E703" s="7">
        <v>-1.4990516053215155E-2</v>
      </c>
      <c r="F703" s="8">
        <v>0</v>
      </c>
      <c r="G703" s="8">
        <v>0</v>
      </c>
      <c r="H703" s="33">
        <v>0</v>
      </c>
      <c r="I703" s="7">
        <v>0</v>
      </c>
      <c r="J703" s="7">
        <v>0</v>
      </c>
      <c r="K703" s="7">
        <v>0</v>
      </c>
      <c r="M703">
        <f t="shared" ref="M703" si="522">MDETERM(B703:D705)</f>
        <v>-3.7236860350750867</v>
      </c>
      <c r="N703">
        <f t="shared" ref="N703" si="523">MDETERM(E703:G705)</f>
        <v>-3.3686023826032914E-6</v>
      </c>
      <c r="P703">
        <f t="array" ref="P703:R705">SVDD(B703:D705)</f>
        <v>4.1488931378959277</v>
      </c>
      <c r="Q703">
        <v>0</v>
      </c>
      <c r="R703">
        <v>0</v>
      </c>
      <c r="S703" s="3">
        <f t="shared" ref="S703" si="524">MAX(P703,Q704,R705)/MIN(P703,Q704,R705)</f>
        <v>6.7459428276848676</v>
      </c>
    </row>
    <row r="704" spans="1:19">
      <c r="A704" s="7" t="s">
        <v>191</v>
      </c>
      <c r="B704" s="8">
        <v>-0.21871711292247331</v>
      </c>
      <c r="C704" s="8">
        <v>-2.1363371502498802</v>
      </c>
      <c r="D704" s="8">
        <v>-8.9790398854103559E-2</v>
      </c>
      <c r="E704" s="7">
        <v>0</v>
      </c>
      <c r="F704" s="7">
        <v>-1.4990516053215155E-2</v>
      </c>
      <c r="G704" s="8">
        <v>0</v>
      </c>
      <c r="H704" s="8">
        <v>0</v>
      </c>
      <c r="I704" s="33">
        <v>0</v>
      </c>
      <c r="J704" s="7">
        <v>0</v>
      </c>
      <c r="K704" s="7">
        <v>0</v>
      </c>
      <c r="P704">
        <v>0</v>
      </c>
      <c r="Q704">
        <v>1.459322284326841</v>
      </c>
      <c r="R704">
        <v>0</v>
      </c>
    </row>
    <row r="705" spans="1:19">
      <c r="A705" s="7"/>
      <c r="B705" s="8">
        <v>2.0770709056556562</v>
      </c>
      <c r="C705" s="8">
        <v>-2.1445635165533226</v>
      </c>
      <c r="D705" s="8">
        <v>-5.6653180844775664E-2</v>
      </c>
      <c r="E705" s="7">
        <v>0</v>
      </c>
      <c r="F705" s="8">
        <v>0</v>
      </c>
      <c r="G705" s="7">
        <v>-1.4990516053215155E-2</v>
      </c>
      <c r="H705" s="8">
        <v>0</v>
      </c>
      <c r="I705" s="8">
        <v>0</v>
      </c>
      <c r="J705" s="33">
        <v>0</v>
      </c>
      <c r="K705" s="33">
        <v>0</v>
      </c>
      <c r="P705">
        <v>0</v>
      </c>
      <c r="Q705">
        <v>0</v>
      </c>
      <c r="R705">
        <v>0.61502050104385209</v>
      </c>
    </row>
    <row r="706" spans="1:19">
      <c r="A706" s="7"/>
      <c r="B706" s="8"/>
      <c r="C706" s="8"/>
      <c r="D706" s="8"/>
      <c r="E706" s="7"/>
      <c r="F706" s="7"/>
      <c r="G706" s="7"/>
      <c r="H706" s="7"/>
      <c r="I706" s="7"/>
      <c r="J706" s="7"/>
      <c r="K706" s="7"/>
    </row>
    <row r="707" spans="1:19">
      <c r="A707" s="7"/>
      <c r="B707" s="8">
        <v>1.0351585166444348</v>
      </c>
      <c r="C707" s="8">
        <v>-2.1037449841221099</v>
      </c>
      <c r="D707" s="8">
        <v>-0.82913701269133588</v>
      </c>
      <c r="E707" s="7">
        <v>-1.4990516053215155E-2</v>
      </c>
      <c r="F707" s="8">
        <v>0</v>
      </c>
      <c r="G707" s="8">
        <v>0</v>
      </c>
      <c r="H707" s="33">
        <v>0</v>
      </c>
      <c r="I707" s="7">
        <v>0</v>
      </c>
      <c r="J707" s="7">
        <v>0</v>
      </c>
      <c r="K707" s="7">
        <v>0</v>
      </c>
      <c r="M707">
        <f t="shared" ref="M707" si="525">MDETERM(B707:D709)</f>
        <v>0.52092181672998883</v>
      </c>
      <c r="N707">
        <f t="shared" ref="N707" si="526">MDETERM(E707:G709)</f>
        <v>-3.3686023826032914E-6</v>
      </c>
      <c r="P707">
        <f t="array" ref="P707:R709">SVDD(B707:D709)</f>
        <v>3.3549812262886487</v>
      </c>
      <c r="Q707">
        <v>0</v>
      </c>
      <c r="R707">
        <v>0</v>
      </c>
      <c r="S707" s="3">
        <f t="shared" ref="S707" si="527">MAX(P707,Q708,R709)/MIN(P707,Q708,R709)</f>
        <v>25.009188868397612</v>
      </c>
    </row>
    <row r="708" spans="1:19">
      <c r="A708" s="7" t="s">
        <v>192</v>
      </c>
      <c r="B708" s="8">
        <v>-0.21871711292247331</v>
      </c>
      <c r="C708" s="8">
        <v>-2.1363371502498802</v>
      </c>
      <c r="D708" s="8">
        <v>-8.9790398854103559E-2</v>
      </c>
      <c r="E708" s="7">
        <v>0</v>
      </c>
      <c r="F708" s="7">
        <v>-1.4990516053215155E-2</v>
      </c>
      <c r="G708" s="8">
        <v>0</v>
      </c>
      <c r="H708" s="8">
        <v>0</v>
      </c>
      <c r="I708" s="33">
        <v>0</v>
      </c>
      <c r="J708" s="7">
        <v>0</v>
      </c>
      <c r="K708" s="7">
        <v>0</v>
      </c>
      <c r="P708">
        <v>0</v>
      </c>
      <c r="Q708">
        <v>1.1574226160872636</v>
      </c>
      <c r="R708">
        <v>0</v>
      </c>
    </row>
    <row r="709" spans="1:19">
      <c r="A709" s="7"/>
      <c r="B709" s="8">
        <v>-0.36768865949079377</v>
      </c>
      <c r="C709" s="8">
        <v>-1.2890795247765441</v>
      </c>
      <c r="D709" s="8">
        <v>-0.10954983766095538</v>
      </c>
      <c r="E709" s="7">
        <v>0</v>
      </c>
      <c r="F709" s="8">
        <v>0</v>
      </c>
      <c r="G709" s="7">
        <v>-1.4990516053215155E-2</v>
      </c>
      <c r="H709" s="8">
        <v>0</v>
      </c>
      <c r="I709" s="8">
        <v>0</v>
      </c>
      <c r="J709" s="33">
        <v>0</v>
      </c>
      <c r="K709" s="33">
        <v>0</v>
      </c>
      <c r="P709">
        <v>0</v>
      </c>
      <c r="Q709">
        <v>0</v>
      </c>
      <c r="R709">
        <v>0.13414994160518764</v>
      </c>
    </row>
    <row r="710" spans="1:19">
      <c r="A710" s="7"/>
      <c r="B710" s="8"/>
      <c r="C710" s="8"/>
      <c r="D710" s="8"/>
      <c r="E710" s="7"/>
      <c r="F710" s="7"/>
      <c r="G710" s="7"/>
      <c r="H710" s="7"/>
      <c r="I710" s="7"/>
      <c r="J710" s="7"/>
      <c r="K710" s="7"/>
    </row>
    <row r="711" spans="1:19">
      <c r="A711" s="7"/>
      <c r="B711" s="8">
        <v>1.0351585166444348</v>
      </c>
      <c r="C711" s="8">
        <v>-2.1037449841221099</v>
      </c>
      <c r="D711" s="8">
        <v>-0.82913701269133588</v>
      </c>
      <c r="E711" s="7">
        <v>-1.4990516053215155E-2</v>
      </c>
      <c r="F711" s="8">
        <v>0</v>
      </c>
      <c r="G711" s="8">
        <v>0</v>
      </c>
      <c r="H711" s="33">
        <v>0</v>
      </c>
      <c r="I711" s="7">
        <v>0</v>
      </c>
      <c r="J711" s="7">
        <v>0</v>
      </c>
      <c r="K711" s="7">
        <v>0</v>
      </c>
      <c r="M711">
        <f t="shared" ref="M711" si="528">MDETERM(B711:D713)</f>
        <v>-4.1046095569423091</v>
      </c>
      <c r="N711">
        <f t="shared" ref="N711" si="529">MDETERM(E711:G713)</f>
        <v>-3.3686023826032914E-6</v>
      </c>
      <c r="P711">
        <f t="array" ref="P711:R713">SVDD(B711:D713)</f>
        <v>3.6893874976045287</v>
      </c>
      <c r="Q711">
        <v>0</v>
      </c>
      <c r="R711">
        <v>0</v>
      </c>
      <c r="S711" s="3">
        <f t="shared" ref="S711" si="530">MAX(P711,Q712,R713)/MIN(P711,Q712,R713)</f>
        <v>6.7625217711569316</v>
      </c>
    </row>
    <row r="712" spans="1:19">
      <c r="A712" s="7" t="s">
        <v>193</v>
      </c>
      <c r="B712" s="8">
        <v>-0.21871711292247331</v>
      </c>
      <c r="C712" s="8">
        <v>-2.1363371502498802</v>
      </c>
      <c r="D712" s="8">
        <v>-8.9790398854103559E-2</v>
      </c>
      <c r="E712" s="7">
        <v>0</v>
      </c>
      <c r="F712" s="7">
        <v>-1.4990516053215155E-2</v>
      </c>
      <c r="G712" s="8">
        <v>0</v>
      </c>
      <c r="H712" s="8">
        <v>0</v>
      </c>
      <c r="I712" s="33">
        <v>0</v>
      </c>
      <c r="J712" s="7">
        <v>0</v>
      </c>
      <c r="K712" s="7">
        <v>0</v>
      </c>
      <c r="P712">
        <v>0</v>
      </c>
      <c r="Q712">
        <v>2.0392571084136129</v>
      </c>
      <c r="R712">
        <v>0</v>
      </c>
    </row>
    <row r="713" spans="1:19">
      <c r="A713" s="7"/>
      <c r="B713" s="8">
        <v>2.4772611105726599</v>
      </c>
      <c r="C713" s="8">
        <v>-1.0605572692523213</v>
      </c>
      <c r="D713" s="8">
        <v>-3.9812674620544719E-2</v>
      </c>
      <c r="E713" s="7">
        <v>0</v>
      </c>
      <c r="F713" s="8">
        <v>0</v>
      </c>
      <c r="G713" s="7">
        <v>-1.4990516053215155E-2</v>
      </c>
      <c r="H713" s="8">
        <v>0</v>
      </c>
      <c r="I713" s="8">
        <v>0</v>
      </c>
      <c r="J713" s="33">
        <v>0</v>
      </c>
      <c r="K713" s="33">
        <v>0</v>
      </c>
      <c r="P713">
        <v>0</v>
      </c>
      <c r="Q713">
        <v>0</v>
      </c>
      <c r="R713">
        <v>0.54556386248400179</v>
      </c>
    </row>
    <row r="714" spans="1:19">
      <c r="A714" s="7"/>
      <c r="B714" s="8"/>
      <c r="C714" s="8"/>
      <c r="D714" s="8"/>
      <c r="E714" s="7"/>
      <c r="F714" s="7"/>
      <c r="G714" s="7"/>
      <c r="H714" s="7"/>
      <c r="I714" s="7"/>
      <c r="J714" s="7"/>
      <c r="K714" s="7"/>
    </row>
    <row r="715" spans="1:19">
      <c r="A715" s="7"/>
      <c r="B715" s="8">
        <v>1.0351585166444348</v>
      </c>
      <c r="C715" s="8">
        <v>-2.1037449841221099</v>
      </c>
      <c r="D715" s="8">
        <v>-0.82913701269133588</v>
      </c>
      <c r="E715" s="7">
        <v>-1.4990516053215155E-2</v>
      </c>
      <c r="F715" s="8">
        <v>0</v>
      </c>
      <c r="G715" s="8">
        <v>0</v>
      </c>
      <c r="H715" s="33">
        <v>0</v>
      </c>
      <c r="I715" s="7">
        <v>0</v>
      </c>
      <c r="J715" s="7">
        <v>0</v>
      </c>
      <c r="K715" s="7">
        <v>0</v>
      </c>
      <c r="M715">
        <f t="shared" ref="M715" si="531">MDETERM(B715:D717)</f>
        <v>-2.3602037588841798</v>
      </c>
      <c r="N715">
        <f t="shared" ref="N715" si="532">MDETERM(E715:G717)</f>
        <v>-3.3686023826032914E-6</v>
      </c>
      <c r="P715">
        <f t="array" ref="P715:R717">SVDD(B715:D717)</f>
        <v>3.1631959039485196</v>
      </c>
      <c r="Q715">
        <v>0</v>
      </c>
      <c r="R715">
        <v>0</v>
      </c>
      <c r="S715" s="3">
        <f t="shared" ref="S715" si="533">MAX(P715,Q716,R717)/MIN(P715,Q716,R717)</f>
        <v>7.648214420981799</v>
      </c>
    </row>
    <row r="716" spans="1:19">
      <c r="A716" s="7" t="s">
        <v>194</v>
      </c>
      <c r="B716" s="8">
        <v>-0.21871711292247331</v>
      </c>
      <c r="C716" s="8">
        <v>-2.1363371502498802</v>
      </c>
      <c r="D716" s="8">
        <v>-8.9790398854103559E-2</v>
      </c>
      <c r="E716" s="7">
        <v>0</v>
      </c>
      <c r="F716" s="7">
        <v>-1.4990516053215155E-2</v>
      </c>
      <c r="G716" s="8">
        <v>0</v>
      </c>
      <c r="H716" s="8">
        <v>0</v>
      </c>
      <c r="I716" s="33">
        <v>0</v>
      </c>
      <c r="J716" s="7">
        <v>0</v>
      </c>
      <c r="K716" s="7">
        <v>0</v>
      </c>
      <c r="P716">
        <v>0</v>
      </c>
      <c r="Q716">
        <v>1.8040865700857025</v>
      </c>
      <c r="R716">
        <v>0</v>
      </c>
    </row>
    <row r="717" spans="1:19">
      <c r="A717" s="7"/>
      <c r="B717" s="8">
        <v>1.6188303733889171</v>
      </c>
      <c r="C717" s="8">
        <v>-1.9594494251009342E-2</v>
      </c>
      <c r="D717" s="8">
        <v>-7.7422792294721043E-2</v>
      </c>
      <c r="E717" s="7">
        <v>0</v>
      </c>
      <c r="F717" s="8">
        <v>0</v>
      </c>
      <c r="G717" s="7">
        <v>-1.4990516053215155E-2</v>
      </c>
      <c r="H717" s="8">
        <v>0</v>
      </c>
      <c r="I717" s="8">
        <v>0</v>
      </c>
      <c r="J717" s="33">
        <v>0</v>
      </c>
      <c r="K717" s="33">
        <v>0</v>
      </c>
      <c r="P717">
        <v>0</v>
      </c>
      <c r="Q717">
        <v>0</v>
      </c>
      <c r="R717">
        <v>0.41358619539624009</v>
      </c>
    </row>
    <row r="718" spans="1:19">
      <c r="A718" s="7"/>
      <c r="B718" s="8"/>
      <c r="C718" s="8"/>
      <c r="D718" s="8"/>
      <c r="E718" s="7"/>
      <c r="F718" s="7"/>
      <c r="G718" s="7"/>
      <c r="H718" s="7"/>
      <c r="I718" s="7"/>
      <c r="J718" s="7"/>
      <c r="K718" s="7"/>
    </row>
    <row r="719" spans="1:19">
      <c r="A719" s="7"/>
      <c r="B719" s="8">
        <v>1.0351585166444348</v>
      </c>
      <c r="C719" s="8">
        <v>-2.1037449841221099</v>
      </c>
      <c r="D719" s="8">
        <v>-0.82913701269133588</v>
      </c>
      <c r="E719" s="7">
        <v>-1.4990516053215155E-2</v>
      </c>
      <c r="F719" s="8">
        <v>0</v>
      </c>
      <c r="G719" s="8">
        <v>0</v>
      </c>
      <c r="H719" s="33">
        <v>0</v>
      </c>
      <c r="I719" s="7">
        <v>0</v>
      </c>
      <c r="J719" s="7">
        <v>0</v>
      </c>
      <c r="K719" s="7">
        <v>0</v>
      </c>
      <c r="M719">
        <f t="shared" ref="M719" si="534">MDETERM(B719:D721)</f>
        <v>0.51933697717165062</v>
      </c>
      <c r="N719">
        <f t="shared" ref="N719" si="535">MDETERM(E719:G721)</f>
        <v>-3.3686023826032914E-6</v>
      </c>
      <c r="P719">
        <f t="array" ref="P719:R721">SVDD(B719:D721)</f>
        <v>3.136126001209397</v>
      </c>
      <c r="Q719">
        <v>0</v>
      </c>
      <c r="R719">
        <v>0</v>
      </c>
      <c r="S719" s="3">
        <f t="shared" ref="S719" si="536">MAX(P719,Q720,R721)/MIN(P719,Q720,R721)</f>
        <v>30.732928259329775</v>
      </c>
    </row>
    <row r="720" spans="1:19">
      <c r="A720" s="7" t="s">
        <v>195</v>
      </c>
      <c r="B720" s="8">
        <v>-0.21871711292247331</v>
      </c>
      <c r="C720" s="8">
        <v>-2.1363371502498802</v>
      </c>
      <c r="D720" s="8">
        <v>-8.9790398854103559E-2</v>
      </c>
      <c r="E720" s="7">
        <v>0</v>
      </c>
      <c r="F720" s="7">
        <v>-1.4990516053215155E-2</v>
      </c>
      <c r="G720" s="8">
        <v>0</v>
      </c>
      <c r="H720" s="8">
        <v>0</v>
      </c>
      <c r="I720" s="33">
        <v>0</v>
      </c>
      <c r="J720" s="7">
        <v>0</v>
      </c>
      <c r="K720" s="7">
        <v>0</v>
      </c>
      <c r="P720">
        <v>0</v>
      </c>
      <c r="Q720">
        <v>1.6228044189418709</v>
      </c>
      <c r="R720">
        <v>0</v>
      </c>
    </row>
    <row r="721" spans="1:19">
      <c r="A721" s="7"/>
      <c r="B721" s="8">
        <v>1.0097006711160386</v>
      </c>
      <c r="C721" s="8">
        <v>0.26302086313966178</v>
      </c>
      <c r="D721" s="8">
        <v>-0.76545275918666766</v>
      </c>
      <c r="E721" s="7">
        <v>0</v>
      </c>
      <c r="F721" s="8">
        <v>0</v>
      </c>
      <c r="G721" s="7">
        <v>-1.4990516053215155E-2</v>
      </c>
      <c r="H721" s="8">
        <v>0</v>
      </c>
      <c r="I721" s="8">
        <v>0</v>
      </c>
      <c r="J721" s="33">
        <v>0</v>
      </c>
      <c r="K721" s="33">
        <v>0</v>
      </c>
      <c r="P721">
        <v>0</v>
      </c>
      <c r="Q721">
        <v>0</v>
      </c>
      <c r="R721">
        <v>0.10204449035074765</v>
      </c>
    </row>
    <row r="722" spans="1:19">
      <c r="A722" s="7"/>
      <c r="B722" s="8"/>
      <c r="C722" s="8"/>
      <c r="D722" s="8"/>
      <c r="E722" s="7"/>
      <c r="F722" s="7"/>
      <c r="G722" s="7"/>
      <c r="H722" s="7"/>
      <c r="I722" s="7"/>
      <c r="J722" s="7"/>
      <c r="K722" s="7"/>
    </row>
    <row r="723" spans="1:19">
      <c r="A723" s="7"/>
      <c r="B723" s="8">
        <v>1.0351585166444348</v>
      </c>
      <c r="C723" s="8">
        <v>-2.1037449841221099</v>
      </c>
      <c r="D723" s="8">
        <v>-0.82913701269133588</v>
      </c>
      <c r="E723" s="7">
        <v>-1.4990516053215155E-2</v>
      </c>
      <c r="F723" s="8">
        <v>0</v>
      </c>
      <c r="G723" s="8">
        <v>0</v>
      </c>
      <c r="H723" s="33">
        <v>-1.5970575730977998E-2</v>
      </c>
      <c r="I723" s="7">
        <v>2.1796664656245589E-2</v>
      </c>
      <c r="J723" s="7">
        <v>0</v>
      </c>
      <c r="K723" s="7">
        <v>0</v>
      </c>
      <c r="M723">
        <f t="shared" ref="M723" si="537">MDETERM(B723:D725)</f>
        <v>2.5189070742544724</v>
      </c>
      <c r="N723">
        <f t="shared" ref="N723" si="538">MDETERM(E723:G725)</f>
        <v>-3.3686023826032914E-6</v>
      </c>
      <c r="P723">
        <f t="array" ref="P723:R725">SVDD(B723:D725)</f>
        <v>3.8877273585887941</v>
      </c>
      <c r="Q723">
        <v>0</v>
      </c>
      <c r="R723">
        <v>0</v>
      </c>
      <c r="S723" s="3">
        <f t="shared" ref="S723" si="539">MAX(P723,Q724,R725)/MIN(P723,Q724,R725)</f>
        <v>7.3967963927114955</v>
      </c>
    </row>
    <row r="724" spans="1:19">
      <c r="A724" s="7" t="s">
        <v>196</v>
      </c>
      <c r="B724" s="8">
        <v>2.0770709056556562</v>
      </c>
      <c r="C724" s="8">
        <v>-2.1445635165533226</v>
      </c>
      <c r="D724" s="8">
        <v>-5.6653180844775664E-2</v>
      </c>
      <c r="E724" s="7">
        <v>0</v>
      </c>
      <c r="F724" s="7">
        <v>-1.4990516053215155E-2</v>
      </c>
      <c r="G724" s="8">
        <v>0</v>
      </c>
      <c r="H724" s="8">
        <v>-1.5970575730977998E-2</v>
      </c>
      <c r="I724" s="33">
        <v>0</v>
      </c>
      <c r="J724" s="7">
        <v>2.2872089329671663E-2</v>
      </c>
      <c r="K724" s="7">
        <v>0</v>
      </c>
      <c r="P724">
        <v>0</v>
      </c>
      <c r="Q724">
        <v>1.2327193376522698</v>
      </c>
      <c r="R724">
        <v>0</v>
      </c>
    </row>
    <row r="725" spans="1:19">
      <c r="A725" s="7"/>
      <c r="B725" s="8">
        <v>-0.36768865949079377</v>
      </c>
      <c r="C725" s="8">
        <v>-1.2890795247765441</v>
      </c>
      <c r="D725" s="8">
        <v>-0.10954983766095538</v>
      </c>
      <c r="E725" s="7">
        <v>0</v>
      </c>
      <c r="F725" s="8">
        <v>0</v>
      </c>
      <c r="G725" s="7">
        <v>-1.4990516053215155E-2</v>
      </c>
      <c r="H725" s="8">
        <v>-1.5970575730977998E-2</v>
      </c>
      <c r="I725" s="8">
        <v>0</v>
      </c>
      <c r="J725" s="33">
        <v>0</v>
      </c>
      <c r="K725" s="33">
        <v>2.2385887789414392E-2</v>
      </c>
      <c r="P725">
        <v>0</v>
      </c>
      <c r="Q725">
        <v>0</v>
      </c>
      <c r="R725">
        <v>0.52559610298582826</v>
      </c>
    </row>
    <row r="726" spans="1:19">
      <c r="A726" s="7"/>
      <c r="B726" s="8"/>
      <c r="C726" s="8"/>
      <c r="D726" s="8"/>
      <c r="E726" s="7"/>
      <c r="F726" s="7"/>
      <c r="G726" s="7"/>
      <c r="H726" s="7"/>
      <c r="I726" s="7"/>
      <c r="J726" s="7"/>
      <c r="K726" s="7"/>
    </row>
    <row r="727" spans="1:19">
      <c r="A727" s="7"/>
      <c r="B727" s="8">
        <v>1.0351585166444348</v>
      </c>
      <c r="C727" s="8">
        <v>-2.1037449841221099</v>
      </c>
      <c r="D727" s="8">
        <v>-0.82913701269133588</v>
      </c>
      <c r="E727" s="7">
        <v>-1.4990516053215155E-2</v>
      </c>
      <c r="F727" s="8">
        <v>0</v>
      </c>
      <c r="G727" s="8">
        <v>0</v>
      </c>
      <c r="H727" s="33">
        <v>-1.5970575730977998E-2</v>
      </c>
      <c r="I727" s="7">
        <v>2.1796664656245589E-2</v>
      </c>
      <c r="J727" s="7">
        <v>0</v>
      </c>
      <c r="K727" s="7">
        <v>0</v>
      </c>
      <c r="M727">
        <f t="shared" ref="M727" si="540">MDETERM(B727:D729)</f>
        <v>-2.4309737315091065</v>
      </c>
      <c r="N727">
        <f t="shared" ref="N727" si="541">MDETERM(E727:G729)</f>
        <v>-3.3686023826032914E-6</v>
      </c>
      <c r="P727">
        <f t="array" ref="P727:R729">SVDD(B727:D729)</f>
        <v>4.5102779027945443</v>
      </c>
      <c r="Q727">
        <v>0</v>
      </c>
      <c r="R727">
        <v>0</v>
      </c>
      <c r="S727" s="3">
        <f t="shared" ref="S727" si="542">MAX(P727,Q728,R729)/MIN(P727,Q728,R729)</f>
        <v>11.431778758175978</v>
      </c>
    </row>
    <row r="728" spans="1:19">
      <c r="A728" s="7" t="s">
        <v>197</v>
      </c>
      <c r="B728" s="8">
        <v>2.0770709056556562</v>
      </c>
      <c r="C728" s="8">
        <v>-2.1445635165533226</v>
      </c>
      <c r="D728" s="8">
        <v>-5.6653180844775664E-2</v>
      </c>
      <c r="E728" s="7">
        <v>0</v>
      </c>
      <c r="F728" s="7">
        <v>-1.4990516053215155E-2</v>
      </c>
      <c r="G728" s="8">
        <v>0</v>
      </c>
      <c r="H728" s="8">
        <v>-1.5970575730977998E-2</v>
      </c>
      <c r="I728" s="33">
        <v>0</v>
      </c>
      <c r="J728" s="7">
        <v>2.2872089329671663E-2</v>
      </c>
      <c r="K728" s="7">
        <v>0</v>
      </c>
      <c r="P728">
        <v>0</v>
      </c>
      <c r="Q728">
        <v>1.3661156700722137</v>
      </c>
      <c r="R728">
        <v>0</v>
      </c>
    </row>
    <row r="729" spans="1:19">
      <c r="A729" s="7"/>
      <c r="B729" s="8">
        <v>2.4772611105726599</v>
      </c>
      <c r="C729" s="8">
        <v>-1.0605572692523213</v>
      </c>
      <c r="D729" s="8">
        <v>-3.9812674620544719E-2</v>
      </c>
      <c r="E729" s="7">
        <v>0</v>
      </c>
      <c r="F729" s="8">
        <v>0</v>
      </c>
      <c r="G729" s="7">
        <v>-1.4990516053215155E-2</v>
      </c>
      <c r="H729" s="8">
        <v>-1.5970575730977998E-2</v>
      </c>
      <c r="I729" s="8">
        <v>0</v>
      </c>
      <c r="J729" s="33">
        <v>0</v>
      </c>
      <c r="K729" s="33">
        <v>1.6236379226863738E-2</v>
      </c>
      <c r="P729">
        <v>0</v>
      </c>
      <c r="Q729">
        <v>0</v>
      </c>
      <c r="R729">
        <v>0.39453859265504115</v>
      </c>
    </row>
    <row r="730" spans="1:19">
      <c r="A730" s="7"/>
      <c r="B730" s="8"/>
      <c r="C730" s="8"/>
      <c r="D730" s="8"/>
      <c r="E730" s="7"/>
      <c r="F730" s="7"/>
      <c r="G730" s="7"/>
      <c r="H730" s="7"/>
      <c r="I730" s="7"/>
      <c r="J730" s="7"/>
      <c r="K730" s="7"/>
    </row>
    <row r="731" spans="1:19">
      <c r="A731" s="7"/>
      <c r="B731" s="8">
        <v>1.0351585166444348</v>
      </c>
      <c r="C731" s="8">
        <v>-2.1037449841221099</v>
      </c>
      <c r="D731" s="8">
        <v>-0.82913701269133588</v>
      </c>
      <c r="E731" s="7">
        <v>-1.4990516053215155E-2</v>
      </c>
      <c r="F731" s="8">
        <v>0</v>
      </c>
      <c r="G731" s="8">
        <v>0</v>
      </c>
      <c r="H731" s="33">
        <v>0</v>
      </c>
      <c r="I731" s="7">
        <v>0</v>
      </c>
      <c r="J731" s="7">
        <v>0</v>
      </c>
      <c r="K731" s="7">
        <v>0</v>
      </c>
      <c r="M731">
        <f t="shared" ref="M731" si="543">MDETERM(B731:D733)</f>
        <v>-2.8194006933750488</v>
      </c>
      <c r="N731">
        <f t="shared" ref="N731" si="544">MDETERM(E731:G733)</f>
        <v>-3.3686023826032914E-6</v>
      </c>
      <c r="P731">
        <f t="array" ref="P731:R733">SVDD(B731:D733)</f>
        <v>3.9373205842418306</v>
      </c>
      <c r="Q731">
        <v>0</v>
      </c>
      <c r="R731">
        <v>0</v>
      </c>
      <c r="S731" s="3">
        <f t="shared" ref="S731" si="545">MAX(P731,Q732,R733)/MIN(P731,Q732,R733)</f>
        <v>7.7074988340721093</v>
      </c>
    </row>
    <row r="732" spans="1:19">
      <c r="A732" s="7" t="s">
        <v>198</v>
      </c>
      <c r="B732" s="8">
        <v>2.0770709056556562</v>
      </c>
      <c r="C732" s="8">
        <v>-2.1445635165533226</v>
      </c>
      <c r="D732" s="8">
        <v>-5.6653180844775664E-2</v>
      </c>
      <c r="E732" s="7">
        <v>0</v>
      </c>
      <c r="F732" s="7">
        <v>-1.4990516053215155E-2</v>
      </c>
      <c r="G732" s="8">
        <v>0</v>
      </c>
      <c r="H732" s="8">
        <v>0</v>
      </c>
      <c r="I732" s="33">
        <v>0</v>
      </c>
      <c r="J732" s="7">
        <v>0</v>
      </c>
      <c r="K732" s="7">
        <v>0</v>
      </c>
      <c r="P732">
        <v>0</v>
      </c>
      <c r="Q732">
        <v>1.4017440304581956</v>
      </c>
      <c r="R732">
        <v>0</v>
      </c>
    </row>
    <row r="733" spans="1:19">
      <c r="A733" s="7"/>
      <c r="B733" s="8">
        <v>1.6188303733889171</v>
      </c>
      <c r="C733" s="8">
        <v>-1.9594494251009342E-2</v>
      </c>
      <c r="D733" s="8">
        <v>-7.7422792294721043E-2</v>
      </c>
      <c r="E733" s="7">
        <v>0</v>
      </c>
      <c r="F733" s="8">
        <v>0</v>
      </c>
      <c r="G733" s="7">
        <v>-1.4990516053215155E-2</v>
      </c>
      <c r="H733" s="8">
        <v>0</v>
      </c>
      <c r="I733" s="8">
        <v>0</v>
      </c>
      <c r="J733" s="33">
        <v>0</v>
      </c>
      <c r="K733" s="33">
        <v>0</v>
      </c>
      <c r="P733">
        <v>0</v>
      </c>
      <c r="Q733">
        <v>0</v>
      </c>
      <c r="R733">
        <v>0.51084283877362879</v>
      </c>
    </row>
    <row r="734" spans="1:19">
      <c r="A734" s="7"/>
      <c r="B734" s="8"/>
      <c r="C734" s="8"/>
      <c r="D734" s="8"/>
      <c r="E734" s="7"/>
      <c r="F734" s="7"/>
      <c r="G734" s="7"/>
      <c r="H734" s="7"/>
      <c r="I734" s="7"/>
      <c r="J734" s="7"/>
      <c r="K734" s="7"/>
    </row>
    <row r="735" spans="1:19">
      <c r="A735" s="7"/>
      <c r="B735" s="8">
        <v>1.0351585166444348</v>
      </c>
      <c r="C735" s="8">
        <v>-2.1037449841221099</v>
      </c>
      <c r="D735" s="8">
        <v>-0.82913701269133588</v>
      </c>
      <c r="E735" s="7">
        <v>-1.4990516053215155E-2</v>
      </c>
      <c r="F735" s="8">
        <v>0</v>
      </c>
      <c r="G735" s="8">
        <v>0</v>
      </c>
      <c r="H735" s="33">
        <v>-1.5970575730977998E-2</v>
      </c>
      <c r="I735" s="7">
        <v>2.1796664656245589E-2</v>
      </c>
      <c r="J735" s="7">
        <v>0</v>
      </c>
      <c r="K735" s="7">
        <v>0</v>
      </c>
      <c r="M735">
        <f t="shared" ref="M735" si="546">MDETERM(B735:D737)</f>
        <v>-3.7580560292135536</v>
      </c>
      <c r="N735">
        <f t="shared" ref="N735" si="547">MDETERM(E735:G737)</f>
        <v>-3.3686023826032914E-6</v>
      </c>
      <c r="P735">
        <f t="array" ref="P735:R737">SVDD(B735:D737)</f>
        <v>3.8320249276687934</v>
      </c>
      <c r="Q735">
        <v>0</v>
      </c>
      <c r="R735">
        <v>0</v>
      </c>
      <c r="S735" s="3">
        <f t="shared" ref="S735" si="548">MAX(P735,Q736,R737)/MIN(P735,Q736,R737)</f>
        <v>4.638002539904412</v>
      </c>
    </row>
    <row r="736" spans="1:19">
      <c r="A736" s="7" t="s">
        <v>199</v>
      </c>
      <c r="B736" s="8">
        <v>2.0770709056556562</v>
      </c>
      <c r="C736" s="8">
        <v>-2.1445635165533226</v>
      </c>
      <c r="D736" s="8">
        <v>-5.6653180844775664E-2</v>
      </c>
      <c r="E736" s="7">
        <v>0</v>
      </c>
      <c r="F736" s="7">
        <v>-1.4990516053215155E-2</v>
      </c>
      <c r="G736" s="8">
        <v>0</v>
      </c>
      <c r="H736" s="8">
        <v>-1.5970575730977998E-2</v>
      </c>
      <c r="I736" s="33">
        <v>0</v>
      </c>
      <c r="J736" s="7">
        <v>2.2872089329671663E-2</v>
      </c>
      <c r="K736" s="7">
        <v>0</v>
      </c>
      <c r="P736">
        <v>0</v>
      </c>
      <c r="Q736">
        <v>1.1869640944953379</v>
      </c>
      <c r="R736">
        <v>0</v>
      </c>
    </row>
    <row r="737" spans="1:19">
      <c r="A737" s="7"/>
      <c r="B737" s="8">
        <v>1.0097006711160386</v>
      </c>
      <c r="C737" s="8">
        <v>0.26302086313966178</v>
      </c>
      <c r="D737" s="8">
        <v>-0.76545275918666766</v>
      </c>
      <c r="E737" s="7">
        <v>0</v>
      </c>
      <c r="F737" s="8">
        <v>0</v>
      </c>
      <c r="G737" s="7">
        <v>-1.4990516053215155E-2</v>
      </c>
      <c r="H737" s="8">
        <v>-1.5970575730977998E-2</v>
      </c>
      <c r="I737" s="8">
        <v>0</v>
      </c>
      <c r="J737" s="33">
        <v>0</v>
      </c>
      <c r="K737" s="33">
        <v>2.0521745021313972E-2</v>
      </c>
      <c r="P737">
        <v>0</v>
      </c>
      <c r="Q737">
        <v>0</v>
      </c>
      <c r="R737">
        <v>0.82622311969405915</v>
      </c>
    </row>
    <row r="738" spans="1:19">
      <c r="A738" s="7"/>
      <c r="B738" s="8"/>
      <c r="C738" s="8"/>
      <c r="D738" s="8"/>
      <c r="E738" s="7"/>
      <c r="F738" s="7"/>
      <c r="G738" s="7"/>
      <c r="H738" s="7"/>
      <c r="I738" s="7"/>
      <c r="J738" s="7"/>
      <c r="K738" s="7"/>
    </row>
    <row r="739" spans="1:19">
      <c r="A739" s="7"/>
      <c r="B739" s="8">
        <v>1.0351585166444348</v>
      </c>
      <c r="C739" s="8">
        <v>-2.1037449841221099</v>
      </c>
      <c r="D739" s="8">
        <v>-0.82913701269133588</v>
      </c>
      <c r="E739" s="7">
        <v>-1.4990516053215155E-2</v>
      </c>
      <c r="F739" s="8">
        <v>0</v>
      </c>
      <c r="G739" s="8">
        <v>0</v>
      </c>
      <c r="H739" s="33">
        <v>-1.5970575730977998E-2</v>
      </c>
      <c r="I739" s="7">
        <v>2.1796664656245589E-2</v>
      </c>
      <c r="J739" s="7">
        <v>0</v>
      </c>
      <c r="K739" s="7">
        <v>0</v>
      </c>
      <c r="M739">
        <f t="shared" ref="M739" si="549">MDETERM(B739:D741)</f>
        <v>-2.4365058471453382</v>
      </c>
      <c r="N739">
        <f t="shared" ref="N739" si="550">MDETERM(E739:G741)</f>
        <v>-3.3686023826032914E-6</v>
      </c>
      <c r="P739">
        <f t="array" ref="P739:R741">SVDD(B739:D741)</f>
        <v>3.459532885344919</v>
      </c>
      <c r="Q739">
        <v>0</v>
      </c>
      <c r="R739">
        <v>0</v>
      </c>
      <c r="S739" s="3">
        <f t="shared" ref="S739" si="551">MAX(P739,Q740,R741)/MIN(P739,Q740,R741)</f>
        <v>8.6904484429411184</v>
      </c>
    </row>
    <row r="740" spans="1:19">
      <c r="A740" s="7" t="s">
        <v>200</v>
      </c>
      <c r="B740" s="8">
        <v>-0.36768865949079377</v>
      </c>
      <c r="C740" s="8">
        <v>-1.2890795247765441</v>
      </c>
      <c r="D740" s="8">
        <v>-0.10954983766095538</v>
      </c>
      <c r="E740" s="7">
        <v>0</v>
      </c>
      <c r="F740" s="7">
        <v>-1.4990516053215155E-2</v>
      </c>
      <c r="G740" s="8">
        <v>0</v>
      </c>
      <c r="H740" s="8">
        <v>-1.5970575730977998E-2</v>
      </c>
      <c r="I740" s="33">
        <v>0</v>
      </c>
      <c r="J740" s="7">
        <v>2.2385887789414392E-2</v>
      </c>
      <c r="K740" s="7">
        <v>0</v>
      </c>
      <c r="P740">
        <v>0</v>
      </c>
      <c r="Q740">
        <v>1.7691909896404598</v>
      </c>
      <c r="R740">
        <v>0</v>
      </c>
    </row>
    <row r="741" spans="1:19">
      <c r="A741" s="7"/>
      <c r="B741" s="8">
        <v>2.4772611105726599</v>
      </c>
      <c r="C741" s="8">
        <v>-1.0605572692523213</v>
      </c>
      <c r="D741" s="8">
        <v>-3.9812674620544719E-2</v>
      </c>
      <c r="E741" s="7">
        <v>0</v>
      </c>
      <c r="F741" s="8">
        <v>0</v>
      </c>
      <c r="G741" s="7">
        <v>-1.4990516053215155E-2</v>
      </c>
      <c r="H741" s="8">
        <v>-1.5970575730977998E-2</v>
      </c>
      <c r="I741" s="8">
        <v>0</v>
      </c>
      <c r="J741" s="33">
        <v>0</v>
      </c>
      <c r="K741" s="33">
        <v>1.6236379226863738E-2</v>
      </c>
      <c r="P741">
        <v>0</v>
      </c>
      <c r="Q741">
        <v>0</v>
      </c>
      <c r="R741">
        <v>0.39808450715278682</v>
      </c>
    </row>
    <row r="742" spans="1:19">
      <c r="A742" s="7"/>
      <c r="B742" s="8"/>
      <c r="C742" s="8"/>
      <c r="D742" s="8"/>
      <c r="E742" s="7"/>
      <c r="F742" s="7"/>
      <c r="G742" s="7"/>
      <c r="H742" s="7"/>
      <c r="I742" s="7"/>
      <c r="J742" s="7"/>
      <c r="K742" s="7"/>
    </row>
    <row r="743" spans="1:19">
      <c r="A743" s="7"/>
      <c r="B743" s="8">
        <v>1.0351585166444348</v>
      </c>
      <c r="C743" s="8">
        <v>-2.1037449841221099</v>
      </c>
      <c r="D743" s="8">
        <v>-0.82913701269133588</v>
      </c>
      <c r="E743" s="7">
        <v>-1.4990516053215155E-2</v>
      </c>
      <c r="F743" s="8">
        <v>0</v>
      </c>
      <c r="G743" s="8">
        <v>0</v>
      </c>
      <c r="H743" s="33">
        <v>0</v>
      </c>
      <c r="I743" s="7">
        <v>0</v>
      </c>
      <c r="J743" s="7">
        <v>0</v>
      </c>
      <c r="K743" s="7">
        <v>0</v>
      </c>
      <c r="M743">
        <f t="shared" ref="M743" si="552">MDETERM(B743:D745)</f>
        <v>-1.2021546853002527</v>
      </c>
      <c r="N743">
        <f t="shared" ref="N743" si="553">MDETERM(E743:G745)</f>
        <v>-3.3686023826032914E-6</v>
      </c>
      <c r="P743">
        <f t="array" ref="P743:R745">SVDD(B743:D745)</f>
        <v>2.7689981089008926</v>
      </c>
      <c r="Q743">
        <v>0</v>
      </c>
      <c r="R743">
        <v>0</v>
      </c>
      <c r="S743" s="3">
        <f t="shared" ref="S743" si="554">MAX(P743,Q744,R745)/MIN(P743,Q744,R745)</f>
        <v>10.838976396829279</v>
      </c>
    </row>
    <row r="744" spans="1:19">
      <c r="A744" s="7" t="s">
        <v>201</v>
      </c>
      <c r="B744" s="8">
        <v>-0.36768865949079377</v>
      </c>
      <c r="C744" s="8">
        <v>-1.2890795247765441</v>
      </c>
      <c r="D744" s="8">
        <v>-0.10954983766095538</v>
      </c>
      <c r="E744" s="7">
        <v>0</v>
      </c>
      <c r="F744" s="7">
        <v>-1.4990516053215155E-2</v>
      </c>
      <c r="G744" s="8">
        <v>0</v>
      </c>
      <c r="H744" s="8">
        <v>0</v>
      </c>
      <c r="I744" s="33">
        <v>0</v>
      </c>
      <c r="J744" s="7">
        <v>0</v>
      </c>
      <c r="K744" s="7">
        <v>0</v>
      </c>
      <c r="P744">
        <v>0</v>
      </c>
      <c r="Q744">
        <v>1.6994300982142647</v>
      </c>
      <c r="R744">
        <v>0</v>
      </c>
    </row>
    <row r="745" spans="1:19">
      <c r="A745" s="7"/>
      <c r="B745" s="8">
        <v>1.6188303733889171</v>
      </c>
      <c r="C745" s="8">
        <v>-1.9594494251009342E-2</v>
      </c>
      <c r="D745" s="8">
        <v>-7.7422792294721043E-2</v>
      </c>
      <c r="E745" s="7">
        <v>0</v>
      </c>
      <c r="F745" s="8">
        <v>0</v>
      </c>
      <c r="G745" s="7">
        <v>-1.4990516053215155E-2</v>
      </c>
      <c r="H745" s="8">
        <v>0</v>
      </c>
      <c r="I745" s="8">
        <v>0</v>
      </c>
      <c r="J745" s="33">
        <v>0</v>
      </c>
      <c r="K745" s="33">
        <v>0</v>
      </c>
      <c r="P745">
        <v>0</v>
      </c>
      <c r="Q745">
        <v>0</v>
      </c>
      <c r="R745">
        <v>0.25546675327302182</v>
      </c>
    </row>
    <row r="746" spans="1:19">
      <c r="A746" s="7"/>
      <c r="B746" s="8"/>
      <c r="C746" s="8"/>
      <c r="D746" s="8"/>
      <c r="E746" s="7"/>
      <c r="F746" s="7"/>
      <c r="G746" s="7"/>
      <c r="H746" s="7"/>
      <c r="I746" s="7"/>
      <c r="J746" s="7"/>
      <c r="K746" s="7"/>
    </row>
    <row r="747" spans="1:19">
      <c r="A747" s="7"/>
      <c r="B747" s="8">
        <v>1.0351585166444348</v>
      </c>
      <c r="C747" s="8">
        <v>-2.1037449841221099</v>
      </c>
      <c r="D747" s="8">
        <v>-0.82913701269133588</v>
      </c>
      <c r="E747" s="7">
        <v>-1.4990516053215155E-2</v>
      </c>
      <c r="F747" s="8">
        <v>0</v>
      </c>
      <c r="G747" s="8">
        <v>0</v>
      </c>
      <c r="H747" s="33">
        <v>-1.5970575730977998E-2</v>
      </c>
      <c r="I747" s="7">
        <v>2.1796664656245589E-2</v>
      </c>
      <c r="J747" s="7">
        <v>0</v>
      </c>
      <c r="K747" s="7">
        <v>0</v>
      </c>
      <c r="M747">
        <f t="shared" ref="M747" si="555">MDETERM(B747:D749)</f>
        <v>0.87703821672085769</v>
      </c>
      <c r="N747">
        <f t="shared" ref="N747" si="556">MDETERM(E747:G749)</f>
        <v>-3.3686023826032914E-6</v>
      </c>
      <c r="P747">
        <f t="array" ref="P747:R749">SVDD(B747:D749)</f>
        <v>2.7146624302807973</v>
      </c>
      <c r="Q747">
        <v>0</v>
      </c>
      <c r="R747">
        <v>0</v>
      </c>
      <c r="S747" s="3">
        <f t="shared" ref="S747" si="557">MAX(P747,Q748,R749)/MIN(P747,Q748,R749)</f>
        <v>12.611025430513319</v>
      </c>
    </row>
    <row r="748" spans="1:19">
      <c r="A748" s="7" t="s">
        <v>202</v>
      </c>
      <c r="B748" s="8">
        <v>-0.36768865949079377</v>
      </c>
      <c r="C748" s="8">
        <v>-1.2890795247765441</v>
      </c>
      <c r="D748" s="8">
        <v>-0.10954983766095538</v>
      </c>
      <c r="E748" s="7">
        <v>0</v>
      </c>
      <c r="F748" s="7">
        <v>-1.4990516053215155E-2</v>
      </c>
      <c r="G748" s="8">
        <v>0</v>
      </c>
      <c r="H748" s="8">
        <v>-1.5970575730977998E-2</v>
      </c>
      <c r="I748" s="33">
        <v>0</v>
      </c>
      <c r="J748" s="7">
        <v>2.2385887789414392E-2</v>
      </c>
      <c r="K748" s="7">
        <v>0</v>
      </c>
      <c r="P748">
        <v>0</v>
      </c>
      <c r="Q748">
        <v>1.5008498786518518</v>
      </c>
      <c r="R748">
        <v>0</v>
      </c>
    </row>
    <row r="749" spans="1:19">
      <c r="A749" s="7"/>
      <c r="B749" s="8">
        <v>1.0097006711160386</v>
      </c>
      <c r="C749" s="8">
        <v>0.26302086313966178</v>
      </c>
      <c r="D749" s="8">
        <v>-0.76545275918666766</v>
      </c>
      <c r="E749" s="7">
        <v>0</v>
      </c>
      <c r="F749" s="8">
        <v>0</v>
      </c>
      <c r="G749" s="7">
        <v>-1.4990516053215155E-2</v>
      </c>
      <c r="H749" s="8">
        <v>-1.5970575730977998E-2</v>
      </c>
      <c r="I749" s="8">
        <v>0</v>
      </c>
      <c r="J749" s="33">
        <v>0</v>
      </c>
      <c r="K749" s="33">
        <v>2.0521745021313972E-2</v>
      </c>
      <c r="P749">
        <v>0</v>
      </c>
      <c r="Q749">
        <v>0</v>
      </c>
      <c r="R749">
        <v>0.21526103846499814</v>
      </c>
    </row>
    <row r="750" spans="1:19">
      <c r="A750" s="7"/>
      <c r="B750" s="8"/>
      <c r="C750" s="8"/>
      <c r="D750" s="8"/>
      <c r="E750" s="7"/>
      <c r="F750" s="7"/>
      <c r="G750" s="7"/>
      <c r="H750" s="7"/>
      <c r="I750" s="7"/>
      <c r="J750" s="7"/>
      <c r="K750" s="7"/>
    </row>
    <row r="751" spans="1:19">
      <c r="A751" s="7"/>
      <c r="B751" s="8">
        <v>1.0351585166444348</v>
      </c>
      <c r="C751" s="8">
        <v>-2.1037449841221099</v>
      </c>
      <c r="D751" s="8">
        <v>-0.82913701269133588</v>
      </c>
      <c r="E751" s="7">
        <v>-1.4990516053215155E-2</v>
      </c>
      <c r="F751" s="8">
        <v>0</v>
      </c>
      <c r="G751" s="8">
        <v>0</v>
      </c>
      <c r="H751" s="33">
        <v>0</v>
      </c>
      <c r="I751" s="7">
        <v>0</v>
      </c>
      <c r="J751" s="7">
        <v>0</v>
      </c>
      <c r="K751" s="7">
        <v>0</v>
      </c>
      <c r="M751">
        <f t="shared" ref="M751" si="558">MDETERM(B751:D753)</f>
        <v>-1.5669811141590626</v>
      </c>
      <c r="N751">
        <f t="shared" ref="N751" si="559">MDETERM(E751:G753)</f>
        <v>-3.3686023826032914E-6</v>
      </c>
      <c r="P751">
        <f t="array" ref="P751:R753">SVDD(B751:D753)</f>
        <v>3.641740921112417</v>
      </c>
      <c r="Q751">
        <v>0</v>
      </c>
      <c r="R751">
        <v>0</v>
      </c>
      <c r="S751" s="3">
        <f t="shared" ref="S751" si="560">MAX(P751,Q752,R753)/MIN(P751,Q752,R753)</f>
        <v>14.023075414159493</v>
      </c>
    </row>
    <row r="752" spans="1:19">
      <c r="A752" s="7" t="s">
        <v>203</v>
      </c>
      <c r="B752" s="8">
        <v>2.4772611105726599</v>
      </c>
      <c r="C752" s="8">
        <v>-1.0605572692523213</v>
      </c>
      <c r="D752" s="8">
        <v>-3.9812674620544719E-2</v>
      </c>
      <c r="E752" s="7">
        <v>0</v>
      </c>
      <c r="F752" s="7">
        <v>-1.4990516053215155E-2</v>
      </c>
      <c r="G752" s="8">
        <v>0</v>
      </c>
      <c r="H752" s="8">
        <v>0</v>
      </c>
      <c r="I752" s="33">
        <v>0</v>
      </c>
      <c r="J752" s="7">
        <v>0</v>
      </c>
      <c r="K752" s="7">
        <v>0</v>
      </c>
      <c r="P752">
        <v>0</v>
      </c>
      <c r="Q752">
        <v>1.6568719264135214</v>
      </c>
      <c r="R752">
        <v>0</v>
      </c>
    </row>
    <row r="753" spans="1:19">
      <c r="A753" s="7"/>
      <c r="B753" s="8">
        <v>1.6188303733889171</v>
      </c>
      <c r="C753" s="8">
        <v>-1.9594494251009342E-2</v>
      </c>
      <c r="D753" s="8">
        <v>-7.7422792294721043E-2</v>
      </c>
      <c r="E753" s="7">
        <v>0</v>
      </c>
      <c r="F753" s="8">
        <v>0</v>
      </c>
      <c r="G753" s="7">
        <v>-1.4990516053215155E-2</v>
      </c>
      <c r="H753" s="8">
        <v>0</v>
      </c>
      <c r="I753" s="8">
        <v>0</v>
      </c>
      <c r="J753" s="33">
        <v>0</v>
      </c>
      <c r="K753" s="33">
        <v>0</v>
      </c>
      <c r="P753">
        <v>0</v>
      </c>
      <c r="Q753">
        <v>0</v>
      </c>
      <c r="R753">
        <v>0.25969630865960036</v>
      </c>
    </row>
    <row r="754" spans="1:19">
      <c r="A754" s="7"/>
      <c r="B754" s="8"/>
      <c r="C754" s="8"/>
      <c r="D754" s="8"/>
      <c r="E754" s="7"/>
      <c r="F754" s="7"/>
      <c r="G754" s="7"/>
      <c r="H754" s="7"/>
      <c r="I754" s="7"/>
      <c r="J754" s="7"/>
      <c r="K754" s="7"/>
    </row>
    <row r="755" spans="1:19">
      <c r="A755" s="7"/>
      <c r="B755" s="8">
        <v>1.0351585166444348</v>
      </c>
      <c r="C755" s="8">
        <v>-2.1037449841221099</v>
      </c>
      <c r="D755" s="8">
        <v>-0.82913701269133588</v>
      </c>
      <c r="E755" s="7">
        <v>-1.4990516053215155E-2</v>
      </c>
      <c r="F755" s="8">
        <v>0</v>
      </c>
      <c r="G755" s="8">
        <v>0</v>
      </c>
      <c r="H755" s="33">
        <v>-1.5970575730977998E-2</v>
      </c>
      <c r="I755" s="7">
        <v>2.1796664656245589E-2</v>
      </c>
      <c r="J755" s="7">
        <v>0</v>
      </c>
      <c r="K755" s="7">
        <v>0</v>
      </c>
      <c r="M755">
        <f t="shared" ref="M755" si="561">MDETERM(B755:D757)</f>
        <v>-4.4815398197242855</v>
      </c>
      <c r="N755">
        <f t="shared" ref="N755" si="562">MDETERM(E755:G757)</f>
        <v>-3.3686023826032914E-6</v>
      </c>
      <c r="P755">
        <f t="array" ref="P755:R757">SVDD(B755:D757)</f>
        <v>3.4854891246578172</v>
      </c>
      <c r="Q755">
        <v>0</v>
      </c>
      <c r="R755">
        <v>0</v>
      </c>
      <c r="S755" s="3">
        <f t="shared" ref="S755" si="563">MAX(P755,Q756,R757)/MIN(P755,Q756,R757)</f>
        <v>4.0515953972785423</v>
      </c>
    </row>
    <row r="756" spans="1:19">
      <c r="A756" s="7" t="s">
        <v>204</v>
      </c>
      <c r="B756" s="8">
        <v>2.4772611105726599</v>
      </c>
      <c r="C756" s="8">
        <v>-1.0605572692523213</v>
      </c>
      <c r="D756" s="8">
        <v>-3.9812674620544719E-2</v>
      </c>
      <c r="E756" s="7">
        <v>0</v>
      </c>
      <c r="F756" s="7">
        <v>-1.4990516053215155E-2</v>
      </c>
      <c r="G756" s="8">
        <v>0</v>
      </c>
      <c r="H756" s="8">
        <v>-1.5970575730977998E-2</v>
      </c>
      <c r="I756" s="33">
        <v>0</v>
      </c>
      <c r="J756" s="7">
        <v>1.6236379226863738E-2</v>
      </c>
      <c r="K756" s="7">
        <v>0</v>
      </c>
      <c r="P756">
        <v>0</v>
      </c>
      <c r="Q756">
        <v>1.4946030517931475</v>
      </c>
      <c r="R756">
        <v>0</v>
      </c>
    </row>
    <row r="757" spans="1:19">
      <c r="A757" s="7"/>
      <c r="B757" s="8">
        <v>1.0097006711160386</v>
      </c>
      <c r="C757" s="8">
        <v>0.26302086313966178</v>
      </c>
      <c r="D757" s="8">
        <v>-0.76545275918666766</v>
      </c>
      <c r="E757" s="7">
        <v>0</v>
      </c>
      <c r="F757" s="8">
        <v>0</v>
      </c>
      <c r="G757" s="7">
        <v>-1.4990516053215155E-2</v>
      </c>
      <c r="H757" s="8">
        <v>-1.5970575730977998E-2</v>
      </c>
      <c r="I757" s="8">
        <v>0</v>
      </c>
      <c r="J757" s="33">
        <v>0</v>
      </c>
      <c r="K757" s="33">
        <v>2.0521745021313972E-2</v>
      </c>
      <c r="P757">
        <v>0</v>
      </c>
      <c r="Q757">
        <v>0</v>
      </c>
      <c r="R757">
        <v>0.86027571435169004</v>
      </c>
    </row>
    <row r="758" spans="1:19">
      <c r="A758" s="7"/>
      <c r="B758" s="8"/>
      <c r="C758" s="8"/>
      <c r="D758" s="8"/>
      <c r="E758" s="7"/>
      <c r="F758" s="7"/>
      <c r="G758" s="7"/>
      <c r="H758" s="7"/>
      <c r="I758" s="7"/>
      <c r="J758" s="7"/>
      <c r="K758" s="7"/>
    </row>
    <row r="759" spans="1:19">
      <c r="A759" s="7"/>
      <c r="B759" s="8">
        <v>1.0351585166444348</v>
      </c>
      <c r="C759" s="8">
        <v>-2.1037449841221099</v>
      </c>
      <c r="D759" s="8">
        <v>-0.82913701269133588</v>
      </c>
      <c r="E759" s="7">
        <v>-1.4990516053215155E-2</v>
      </c>
      <c r="F759" s="8">
        <v>0</v>
      </c>
      <c r="G759" s="8">
        <v>0</v>
      </c>
      <c r="H759" s="33">
        <v>0</v>
      </c>
      <c r="I759" s="7">
        <v>0</v>
      </c>
      <c r="J759" s="7">
        <v>0</v>
      </c>
      <c r="K759" s="7">
        <v>0</v>
      </c>
      <c r="M759">
        <f t="shared" ref="M759" si="564">MDETERM(B759:D761)</f>
        <v>-2.7752063150436523</v>
      </c>
      <c r="N759">
        <f t="shared" ref="N759" si="565">MDETERM(E759:G761)</f>
        <v>-3.3686023826032914E-6</v>
      </c>
      <c r="P759">
        <f t="array" ref="P759:R761">SVDD(B759:D761)</f>
        <v>2.7272208733088839</v>
      </c>
      <c r="Q759">
        <v>0</v>
      </c>
      <c r="R759">
        <v>0</v>
      </c>
      <c r="S759" s="3">
        <f t="shared" ref="S759" si="566">MAX(P759,Q760,R761)/MIN(P759,Q760,R761)</f>
        <v>4.3704074811251417</v>
      </c>
    </row>
    <row r="760" spans="1:19">
      <c r="A760" s="7" t="s">
        <v>205</v>
      </c>
      <c r="B760" s="8">
        <v>1.6188303733889171</v>
      </c>
      <c r="C760" s="8">
        <v>-1.9594494251009342E-2</v>
      </c>
      <c r="D760" s="8">
        <v>-7.7422792294721043E-2</v>
      </c>
      <c r="E760" s="7">
        <v>0</v>
      </c>
      <c r="F760" s="7">
        <v>-1.4990516053215155E-2</v>
      </c>
      <c r="G760" s="8">
        <v>0</v>
      </c>
      <c r="H760" s="8">
        <v>0</v>
      </c>
      <c r="I760" s="33">
        <v>0</v>
      </c>
      <c r="J760" s="7">
        <v>0</v>
      </c>
      <c r="K760" s="7">
        <v>0</v>
      </c>
      <c r="P760">
        <v>0</v>
      </c>
      <c r="Q760">
        <v>1.6307094262174668</v>
      </c>
      <c r="R760">
        <v>0</v>
      </c>
    </row>
    <row r="761" spans="1:19">
      <c r="A761" s="7"/>
      <c r="B761" s="8">
        <v>1.0097006711160386</v>
      </c>
      <c r="C761" s="8">
        <v>0.26302086313966178</v>
      </c>
      <c r="D761" s="8">
        <v>-0.76545275918666766</v>
      </c>
      <c r="E761" s="7">
        <v>0</v>
      </c>
      <c r="F761" s="8">
        <v>0</v>
      </c>
      <c r="G761" s="7">
        <v>-1.4990516053215155E-2</v>
      </c>
      <c r="H761" s="8">
        <v>0</v>
      </c>
      <c r="I761" s="8">
        <v>0</v>
      </c>
      <c r="J761" s="33">
        <v>0</v>
      </c>
      <c r="K761" s="33">
        <v>0</v>
      </c>
      <c r="P761">
        <v>0</v>
      </c>
      <c r="Q761">
        <v>0</v>
      </c>
      <c r="R761">
        <v>0.62401981624989644</v>
      </c>
    </row>
    <row r="762" spans="1:19">
      <c r="A762" s="7"/>
      <c r="B762" s="8"/>
      <c r="C762" s="8"/>
      <c r="D762" s="8"/>
      <c r="E762" s="7"/>
      <c r="F762" s="7"/>
      <c r="G762" s="7"/>
      <c r="H762" s="7"/>
      <c r="I762" s="7"/>
      <c r="J762" s="7"/>
      <c r="K762" s="7"/>
    </row>
    <row r="763" spans="1:19">
      <c r="A763" s="7"/>
      <c r="B763" s="8">
        <v>-0.21871711292247331</v>
      </c>
      <c r="C763" s="8">
        <v>-2.1363371502498802</v>
      </c>
      <c r="D763" s="8">
        <v>-8.9790398854103559E-2</v>
      </c>
      <c r="E763" s="7">
        <v>-1.4990516053215155E-2</v>
      </c>
      <c r="F763" s="8">
        <v>0</v>
      </c>
      <c r="G763" s="8">
        <v>0</v>
      </c>
      <c r="H763" s="33">
        <v>0</v>
      </c>
      <c r="I763" s="7">
        <v>0</v>
      </c>
      <c r="J763" s="7">
        <v>0</v>
      </c>
      <c r="K763" s="7">
        <v>0</v>
      </c>
      <c r="M763">
        <f t="shared" ref="M763" si="567">MDETERM(B763:D765)</f>
        <v>-0.25480397621201389</v>
      </c>
      <c r="N763">
        <f t="shared" ref="N763" si="568">MDETERM(E763:G765)</f>
        <v>-3.3686023826032914E-6</v>
      </c>
      <c r="P763">
        <f t="array" ref="P763:R765">SVDD(B763:D765)</f>
        <v>3.5219832458219291</v>
      </c>
      <c r="Q763">
        <v>0</v>
      </c>
      <c r="R763">
        <v>0</v>
      </c>
      <c r="S763" s="3">
        <f t="shared" ref="S763" si="569">MAX(P763,Q764,R765)/MIN(P763,Q764,R765)</f>
        <v>83.460835017935977</v>
      </c>
    </row>
    <row r="764" spans="1:19">
      <c r="A764" s="7" t="s">
        <v>206</v>
      </c>
      <c r="B764" s="8">
        <v>2.0770709056556562</v>
      </c>
      <c r="C764" s="8">
        <v>-2.1445635165533226</v>
      </c>
      <c r="D764" s="8">
        <v>-5.6653180844775664E-2</v>
      </c>
      <c r="E764" s="7">
        <v>0</v>
      </c>
      <c r="F764" s="7">
        <v>-1.4990516053215155E-2</v>
      </c>
      <c r="G764" s="8">
        <v>0</v>
      </c>
      <c r="H764" s="8">
        <v>0</v>
      </c>
      <c r="I764" s="33">
        <v>0</v>
      </c>
      <c r="J764" s="7">
        <v>0</v>
      </c>
      <c r="K764" s="7">
        <v>0</v>
      </c>
      <c r="P764">
        <v>0</v>
      </c>
      <c r="Q764">
        <v>1.7144086725780303</v>
      </c>
      <c r="R764">
        <v>0</v>
      </c>
    </row>
    <row r="765" spans="1:19">
      <c r="A765" s="7"/>
      <c r="B765" s="8">
        <v>-0.36768865949079377</v>
      </c>
      <c r="C765" s="8">
        <v>-1.2890795247765441</v>
      </c>
      <c r="D765" s="8">
        <v>-0.10954983766095538</v>
      </c>
      <c r="E765" s="7">
        <v>0</v>
      </c>
      <c r="F765" s="8">
        <v>0</v>
      </c>
      <c r="G765" s="7">
        <v>-1.4990516053215155E-2</v>
      </c>
      <c r="H765" s="8">
        <v>0</v>
      </c>
      <c r="I765" s="8">
        <v>0</v>
      </c>
      <c r="J765" s="33">
        <v>0</v>
      </c>
      <c r="K765" s="33">
        <v>0</v>
      </c>
      <c r="P765">
        <v>0</v>
      </c>
      <c r="Q765">
        <v>0</v>
      </c>
      <c r="R765">
        <v>4.2199233269892937E-2</v>
      </c>
    </row>
    <row r="766" spans="1:19">
      <c r="A766" s="7"/>
      <c r="B766" s="8"/>
      <c r="C766" s="8"/>
      <c r="D766" s="8"/>
      <c r="E766" s="7"/>
      <c r="F766" s="7"/>
      <c r="G766" s="7"/>
      <c r="H766" s="7"/>
      <c r="I766" s="7"/>
      <c r="J766" s="7"/>
      <c r="K766" s="7"/>
    </row>
    <row r="767" spans="1:19">
      <c r="A767" s="7"/>
      <c r="B767" s="8">
        <v>-0.21871711292247331</v>
      </c>
      <c r="C767" s="8">
        <v>-2.1363371502498802</v>
      </c>
      <c r="D767" s="8">
        <v>-8.9790398854103559E-2</v>
      </c>
      <c r="E767" s="7">
        <v>-1.4990516053215155E-2</v>
      </c>
      <c r="F767" s="8">
        <v>0</v>
      </c>
      <c r="G767" s="8">
        <v>0</v>
      </c>
      <c r="H767" s="33">
        <v>0</v>
      </c>
      <c r="I767" s="7">
        <v>0</v>
      </c>
      <c r="J767" s="7">
        <v>0</v>
      </c>
      <c r="K767" s="7">
        <v>0</v>
      </c>
      <c r="M767">
        <f t="shared" ref="M767" si="570">MDETERM(B767:D769)</f>
        <v>-0.16160032887446907</v>
      </c>
      <c r="N767">
        <f t="shared" ref="N767" si="571">MDETERM(E767:G769)</f>
        <v>-3.3686023826032914E-6</v>
      </c>
      <c r="P767">
        <f t="array" ref="P767:R769">SVDD(B767:D769)</f>
        <v>4.1252366715348998</v>
      </c>
      <c r="Q767">
        <v>0</v>
      </c>
      <c r="R767">
        <v>0</v>
      </c>
      <c r="S767" s="3">
        <f t="shared" ref="S767" si="572">MAX(P767,Q768,R769)/MIN(P767,Q768,R769)</f>
        <v>204.78346391597921</v>
      </c>
    </row>
    <row r="768" spans="1:19">
      <c r="A768" s="7" t="s">
        <v>207</v>
      </c>
      <c r="B768" s="8">
        <v>2.0770709056556562</v>
      </c>
      <c r="C768" s="8">
        <v>-2.1445635165533226</v>
      </c>
      <c r="D768" s="8">
        <v>-5.6653180844775664E-2</v>
      </c>
      <c r="E768" s="7">
        <v>0</v>
      </c>
      <c r="F768" s="7">
        <v>-1.4990516053215155E-2</v>
      </c>
      <c r="G768" s="8">
        <v>0</v>
      </c>
      <c r="H768" s="8">
        <v>0</v>
      </c>
      <c r="I768" s="33">
        <v>0</v>
      </c>
      <c r="J768" s="7">
        <v>0</v>
      </c>
      <c r="K768" s="7">
        <v>0</v>
      </c>
      <c r="P768">
        <v>0</v>
      </c>
      <c r="Q768">
        <v>1.9446407651057727</v>
      </c>
      <c r="R768">
        <v>0</v>
      </c>
    </row>
    <row r="769" spans="1:19">
      <c r="A769" s="7"/>
      <c r="B769" s="8">
        <v>2.4772611105726599</v>
      </c>
      <c r="C769" s="8">
        <v>-1.0605572692523213</v>
      </c>
      <c r="D769" s="8">
        <v>-3.9812674620544719E-2</v>
      </c>
      <c r="E769" s="7">
        <v>0</v>
      </c>
      <c r="F769" s="8">
        <v>0</v>
      </c>
      <c r="G769" s="7">
        <v>-1.4990516053215155E-2</v>
      </c>
      <c r="H769" s="8">
        <v>0</v>
      </c>
      <c r="I769" s="8">
        <v>0</v>
      </c>
      <c r="J769" s="33">
        <v>0</v>
      </c>
      <c r="K769" s="33">
        <v>0</v>
      </c>
      <c r="P769">
        <v>0</v>
      </c>
      <c r="Q769">
        <v>0</v>
      </c>
      <c r="R769">
        <v>2.0144383695098775E-2</v>
      </c>
    </row>
    <row r="770" spans="1:19">
      <c r="A770" s="7"/>
      <c r="B770" s="8"/>
      <c r="C770" s="8"/>
      <c r="D770" s="8"/>
      <c r="E770" s="7"/>
      <c r="F770" s="7"/>
      <c r="G770" s="7"/>
      <c r="H770" s="7"/>
      <c r="I770" s="7"/>
      <c r="J770" s="7"/>
      <c r="K770" s="7"/>
    </row>
    <row r="771" spans="1:19">
      <c r="A771" s="7"/>
      <c r="B771" s="8">
        <v>-0.21871711292247331</v>
      </c>
      <c r="C771" s="8">
        <v>-2.1363371502498802</v>
      </c>
      <c r="D771" s="8">
        <v>-8.9790398854103559E-2</v>
      </c>
      <c r="E771" s="7">
        <v>-1.4990516053215155E-2</v>
      </c>
      <c r="F771" s="8">
        <v>0</v>
      </c>
      <c r="G771" s="8">
        <v>0</v>
      </c>
      <c r="H771" s="33">
        <v>0</v>
      </c>
      <c r="I771" s="7">
        <v>0</v>
      </c>
      <c r="J771" s="7">
        <v>0</v>
      </c>
      <c r="K771" s="7">
        <v>0</v>
      </c>
      <c r="M771">
        <f t="shared" ref="M771" si="573">MDETERM(B771:D773)</f>
        <v>-0.49176460178271997</v>
      </c>
      <c r="N771">
        <f t="shared" ref="N771" si="574">MDETERM(E771:G773)</f>
        <v>-3.3686023826032914E-6</v>
      </c>
      <c r="P771">
        <f t="array" ref="P771:R773">SVDD(B771:D773)</f>
        <v>3.4999162168287778</v>
      </c>
      <c r="Q771">
        <v>0</v>
      </c>
      <c r="R771">
        <v>0</v>
      </c>
      <c r="S771" s="3">
        <f t="shared" ref="S771" si="575">MAX(P771,Q772,R773)/MIN(P771,Q772,R773)</f>
        <v>49.247927504726903</v>
      </c>
    </row>
    <row r="772" spans="1:19">
      <c r="A772" s="7" t="s">
        <v>208</v>
      </c>
      <c r="B772" s="8">
        <v>2.0770709056556562</v>
      </c>
      <c r="C772" s="8">
        <v>-2.1445635165533226</v>
      </c>
      <c r="D772" s="8">
        <v>-5.6653180844775664E-2</v>
      </c>
      <c r="E772" s="7">
        <v>0</v>
      </c>
      <c r="F772" s="7">
        <v>-1.4990516053215155E-2</v>
      </c>
      <c r="G772" s="8">
        <v>0</v>
      </c>
      <c r="H772" s="8">
        <v>0</v>
      </c>
      <c r="I772" s="33">
        <v>0</v>
      </c>
      <c r="J772" s="7">
        <v>0</v>
      </c>
      <c r="K772" s="7">
        <v>0</v>
      </c>
      <c r="P772">
        <v>0</v>
      </c>
      <c r="Q772">
        <v>1.9771058760415288</v>
      </c>
      <c r="R772">
        <v>0</v>
      </c>
    </row>
    <row r="773" spans="1:19">
      <c r="A773" s="7"/>
      <c r="B773" s="8">
        <v>1.6188303733889171</v>
      </c>
      <c r="C773" s="8">
        <v>-1.9594494251009342E-2</v>
      </c>
      <c r="D773" s="8">
        <v>-7.7422792294721043E-2</v>
      </c>
      <c r="E773" s="7">
        <v>0</v>
      </c>
      <c r="F773" s="8">
        <v>0</v>
      </c>
      <c r="G773" s="7">
        <v>-1.4990516053215155E-2</v>
      </c>
      <c r="H773" s="8">
        <v>0</v>
      </c>
      <c r="I773" s="8">
        <v>0</v>
      </c>
      <c r="J773" s="33">
        <v>0</v>
      </c>
      <c r="K773" s="33">
        <v>0</v>
      </c>
      <c r="P773">
        <v>0</v>
      </c>
      <c r="Q773">
        <v>0</v>
      </c>
      <c r="R773">
        <v>7.1067279257443869E-2</v>
      </c>
    </row>
    <row r="774" spans="1:19">
      <c r="A774" s="7"/>
      <c r="B774" s="8"/>
      <c r="C774" s="8"/>
      <c r="D774" s="8"/>
      <c r="E774" s="7"/>
      <c r="F774" s="7"/>
      <c r="G774" s="7"/>
      <c r="H774" s="7"/>
      <c r="I774" s="7"/>
      <c r="J774" s="7"/>
      <c r="K774" s="7"/>
    </row>
    <row r="775" spans="1:19">
      <c r="A775" s="7"/>
      <c r="B775" s="8">
        <v>-0.21871711292247331</v>
      </c>
      <c r="C775" s="8">
        <v>-2.1363371502498802</v>
      </c>
      <c r="D775" s="8">
        <v>-8.9790398854103559E-2</v>
      </c>
      <c r="E775" s="7">
        <v>-1.4990516053215155E-2</v>
      </c>
      <c r="F775" s="8">
        <v>0</v>
      </c>
      <c r="G775" s="8">
        <v>0</v>
      </c>
      <c r="H775" s="33">
        <v>0</v>
      </c>
      <c r="I775" s="7">
        <v>0</v>
      </c>
      <c r="J775" s="7">
        <v>0</v>
      </c>
      <c r="K775" s="7">
        <v>0</v>
      </c>
      <c r="M775">
        <f t="shared" ref="M775" si="576">MDETERM(B775:D777)</f>
        <v>-3.8801369883568149</v>
      </c>
      <c r="N775">
        <f t="shared" ref="N775" si="577">MDETERM(E775:G777)</f>
        <v>-3.3686023826032914E-6</v>
      </c>
      <c r="P775">
        <f t="array" ref="P775:R777">SVDD(B775:D777)</f>
        <v>3.3948059572691527</v>
      </c>
      <c r="Q775">
        <v>0</v>
      </c>
      <c r="R775">
        <v>0</v>
      </c>
      <c r="S775" s="3">
        <f t="shared" ref="S775" si="578">MAX(P775,Q776,R777)/MIN(P775,Q776,R777)</f>
        <v>5.3867085530333512</v>
      </c>
    </row>
    <row r="776" spans="1:19">
      <c r="A776" s="7" t="s">
        <v>209</v>
      </c>
      <c r="B776" s="8">
        <v>2.0770709056556562</v>
      </c>
      <c r="C776" s="8">
        <v>-2.1445635165533226</v>
      </c>
      <c r="D776" s="8">
        <v>-5.6653180844775664E-2</v>
      </c>
      <c r="E776" s="7">
        <v>0</v>
      </c>
      <c r="F776" s="7">
        <v>-1.4990516053215155E-2</v>
      </c>
      <c r="G776" s="8">
        <v>0</v>
      </c>
      <c r="H776" s="8">
        <v>0</v>
      </c>
      <c r="I776" s="33">
        <v>0</v>
      </c>
      <c r="J776" s="7">
        <v>0</v>
      </c>
      <c r="K776" s="7">
        <v>0</v>
      </c>
      <c r="P776">
        <v>0</v>
      </c>
      <c r="Q776">
        <v>1.8135963211885682</v>
      </c>
      <c r="R776">
        <v>0</v>
      </c>
    </row>
    <row r="777" spans="1:19">
      <c r="A777" s="7"/>
      <c r="B777" s="8">
        <v>1.0097006711160386</v>
      </c>
      <c r="C777" s="8">
        <v>0.26302086313966178</v>
      </c>
      <c r="D777" s="8">
        <v>-0.76545275918666766</v>
      </c>
      <c r="E777" s="7">
        <v>0</v>
      </c>
      <c r="F777" s="8">
        <v>0</v>
      </c>
      <c r="G777" s="7">
        <v>-1.4990516053215155E-2</v>
      </c>
      <c r="H777" s="8">
        <v>0</v>
      </c>
      <c r="I777" s="8">
        <v>0</v>
      </c>
      <c r="J777" s="33">
        <v>0</v>
      </c>
      <c r="K777" s="33">
        <v>0</v>
      </c>
      <c r="P777">
        <v>0</v>
      </c>
      <c r="Q777">
        <v>0</v>
      </c>
      <c r="R777">
        <v>0.63021897766447332</v>
      </c>
    </row>
    <row r="778" spans="1:19">
      <c r="A778" s="7"/>
      <c r="B778" s="8"/>
      <c r="C778" s="8"/>
      <c r="D778" s="8"/>
      <c r="E778" s="7"/>
      <c r="F778" s="7"/>
      <c r="G778" s="7"/>
      <c r="H778" s="7"/>
      <c r="I778" s="7"/>
      <c r="J778" s="7"/>
      <c r="K778" s="7"/>
    </row>
    <row r="779" spans="1:19">
      <c r="A779" s="7"/>
      <c r="B779" s="8">
        <v>-0.21871711292247331</v>
      </c>
      <c r="C779" s="8">
        <v>-2.1363371502498802</v>
      </c>
      <c r="D779" s="8">
        <v>-8.9790398854103559E-2</v>
      </c>
      <c r="E779" s="7">
        <v>-1.4990516053215155E-2</v>
      </c>
      <c r="F779" s="8">
        <v>0</v>
      </c>
      <c r="G779" s="8">
        <v>0</v>
      </c>
      <c r="H779" s="33">
        <v>0</v>
      </c>
      <c r="I779" s="7">
        <v>0</v>
      </c>
      <c r="J779" s="7">
        <v>0</v>
      </c>
      <c r="K779" s="7">
        <v>0</v>
      </c>
      <c r="M779">
        <f t="shared" ref="M779" si="579">MDETERM(B779:D781)</f>
        <v>0.30347670618943517</v>
      </c>
      <c r="N779">
        <f t="shared" ref="N779" si="580">MDETERM(E779:G781)</f>
        <v>-3.3686023826032914E-6</v>
      </c>
      <c r="P779">
        <f t="array" ref="P779:R781">SVDD(B779:D781)</f>
        <v>2.9343597301016002</v>
      </c>
      <c r="Q779">
        <v>0</v>
      </c>
      <c r="R779">
        <v>0</v>
      </c>
      <c r="S779" s="3">
        <f t="shared" ref="S779" si="581">MAX(P779,Q780,R781)/MIN(P779,Q780,R781)</f>
        <v>63.944981854448542</v>
      </c>
    </row>
    <row r="780" spans="1:19">
      <c r="A780" s="7" t="s">
        <v>210</v>
      </c>
      <c r="B780" s="8">
        <v>-0.36768865949079377</v>
      </c>
      <c r="C780" s="8">
        <v>-1.2890795247765441</v>
      </c>
      <c r="D780" s="8">
        <v>-0.10954983766095538</v>
      </c>
      <c r="E780" s="7">
        <v>0</v>
      </c>
      <c r="F780" s="7">
        <v>-1.4990516053215155E-2</v>
      </c>
      <c r="G780" s="8">
        <v>0</v>
      </c>
      <c r="H780" s="8">
        <v>0</v>
      </c>
      <c r="I780" s="33">
        <v>0</v>
      </c>
      <c r="J780" s="7">
        <v>0</v>
      </c>
      <c r="K780" s="7">
        <v>0</v>
      </c>
      <c r="P780">
        <v>0</v>
      </c>
      <c r="Q780">
        <v>2.2537467959334609</v>
      </c>
      <c r="R780">
        <v>0</v>
      </c>
    </row>
    <row r="781" spans="1:19">
      <c r="A781" s="7"/>
      <c r="B781" s="8">
        <v>2.4772611105726599</v>
      </c>
      <c r="C781" s="8">
        <v>-1.0605572692523213</v>
      </c>
      <c r="D781" s="8">
        <v>-3.9812674620544719E-2</v>
      </c>
      <c r="E781" s="7">
        <v>0</v>
      </c>
      <c r="F781" s="8">
        <v>0</v>
      </c>
      <c r="G781" s="7">
        <v>-1.4990516053215155E-2</v>
      </c>
      <c r="H781" s="8">
        <v>0</v>
      </c>
      <c r="I781" s="8">
        <v>0</v>
      </c>
      <c r="J781" s="33">
        <v>0</v>
      </c>
      <c r="K781" s="33">
        <v>0</v>
      </c>
      <c r="P781">
        <v>0</v>
      </c>
      <c r="Q781">
        <v>0</v>
      </c>
      <c r="R781">
        <v>4.588881949768607E-2</v>
      </c>
    </row>
    <row r="782" spans="1:19">
      <c r="A782" s="7"/>
      <c r="B782" s="8"/>
      <c r="C782" s="8"/>
      <c r="D782" s="8"/>
      <c r="E782" s="7"/>
      <c r="F782" s="7"/>
      <c r="G782" s="7"/>
      <c r="H782" s="7"/>
      <c r="I782" s="7"/>
      <c r="J782" s="7"/>
      <c r="K782" s="7"/>
    </row>
    <row r="783" spans="1:19">
      <c r="A783" s="7"/>
      <c r="B783" s="8">
        <v>-0.21871711292247331</v>
      </c>
      <c r="C783" s="8">
        <v>-2.1363371502498802</v>
      </c>
      <c r="D783" s="8">
        <v>-8.9790398854103559E-2</v>
      </c>
      <c r="E783" s="7">
        <v>-1.4990516053215155E-2</v>
      </c>
      <c r="F783" s="8">
        <v>0</v>
      </c>
      <c r="G783" s="8">
        <v>0</v>
      </c>
      <c r="H783" s="33">
        <v>0</v>
      </c>
      <c r="I783" s="7">
        <v>0</v>
      </c>
      <c r="J783" s="7">
        <v>0</v>
      </c>
      <c r="K783" s="7">
        <v>0</v>
      </c>
      <c r="M783">
        <f t="shared" ref="M783" si="582">MDETERM(B783:D785)</f>
        <v>0.23029874272982093</v>
      </c>
      <c r="N783">
        <f t="shared" ref="N783" si="583">MDETERM(E783:G785)</f>
        <v>-3.3686023826032914E-6</v>
      </c>
      <c r="P783">
        <f t="array" ref="P783:R785">SVDD(B783:D785)</f>
        <v>2.5431384826606735</v>
      </c>
      <c r="Q783">
        <v>0</v>
      </c>
      <c r="R783">
        <v>0</v>
      </c>
      <c r="S783" s="3">
        <f t="shared" ref="S783" si="584">MAX(P783,Q784,R785)/MIN(P783,Q784,R785)</f>
        <v>45.152375765832033</v>
      </c>
    </row>
    <row r="784" spans="1:19">
      <c r="A784" s="7" t="s">
        <v>211</v>
      </c>
      <c r="B784" s="8">
        <v>-0.36768865949079377</v>
      </c>
      <c r="C784" s="8">
        <v>-1.2890795247765441</v>
      </c>
      <c r="D784" s="8">
        <v>-0.10954983766095538</v>
      </c>
      <c r="E784" s="7">
        <v>0</v>
      </c>
      <c r="F784" s="7">
        <v>-1.4990516053215155E-2</v>
      </c>
      <c r="G784" s="8">
        <v>0</v>
      </c>
      <c r="H784" s="8">
        <v>0</v>
      </c>
      <c r="I784" s="33">
        <v>0</v>
      </c>
      <c r="J784" s="7">
        <v>0</v>
      </c>
      <c r="K784" s="7">
        <v>0</v>
      </c>
      <c r="P784">
        <v>0</v>
      </c>
      <c r="Q784">
        <v>1.6078004803802042</v>
      </c>
      <c r="R784">
        <v>0</v>
      </c>
    </row>
    <row r="785" spans="1:19">
      <c r="A785" s="7"/>
      <c r="B785" s="8">
        <v>1.6188303733889171</v>
      </c>
      <c r="C785" s="8">
        <v>-1.9594494251009342E-2</v>
      </c>
      <c r="D785" s="8">
        <v>-7.7422792294721043E-2</v>
      </c>
      <c r="E785" s="7">
        <v>0</v>
      </c>
      <c r="F785" s="8">
        <v>0</v>
      </c>
      <c r="G785" s="7">
        <v>-1.4990516053215155E-2</v>
      </c>
      <c r="H785" s="8">
        <v>0</v>
      </c>
      <c r="I785" s="8">
        <v>0</v>
      </c>
      <c r="J785" s="33">
        <v>0</v>
      </c>
      <c r="K785" s="33">
        <v>0</v>
      </c>
      <c r="P785">
        <v>0</v>
      </c>
      <c r="Q785">
        <v>0</v>
      </c>
      <c r="R785">
        <v>5.6323470017387925E-2</v>
      </c>
    </row>
    <row r="786" spans="1:19">
      <c r="A786" s="7"/>
      <c r="B786" s="8"/>
      <c r="C786" s="8"/>
      <c r="D786" s="8"/>
      <c r="E786" s="7"/>
      <c r="F786" s="7"/>
      <c r="G786" s="7"/>
      <c r="H786" s="7"/>
      <c r="I786" s="7"/>
      <c r="J786" s="7"/>
      <c r="K786" s="7"/>
    </row>
    <row r="787" spans="1:19">
      <c r="A787" s="7"/>
      <c r="B787" s="8">
        <v>-0.21871711292247331</v>
      </c>
      <c r="C787" s="8">
        <v>-2.1363371502498802</v>
      </c>
      <c r="D787" s="8">
        <v>-8.9790398854103559E-2</v>
      </c>
      <c r="E787" s="7">
        <v>-1.4990516053215155E-2</v>
      </c>
      <c r="F787" s="8">
        <v>0</v>
      </c>
      <c r="G787" s="8">
        <v>0</v>
      </c>
      <c r="H787" s="33">
        <v>0</v>
      </c>
      <c r="I787" s="7">
        <v>0</v>
      </c>
      <c r="J787" s="7">
        <v>0</v>
      </c>
      <c r="K787" s="7">
        <v>0</v>
      </c>
      <c r="M787">
        <f t="shared" ref="M787" si="585">MDETERM(B787:D789)</f>
        <v>0.50727125342099499</v>
      </c>
      <c r="N787">
        <f t="shared" ref="N787" si="586">MDETERM(E787:G789)</f>
        <v>-3.3686023826032914E-6</v>
      </c>
      <c r="P787">
        <f t="array" ref="P787:R789">SVDD(B787:D789)</f>
        <v>2.5625172269353693</v>
      </c>
      <c r="Q787">
        <v>0</v>
      </c>
      <c r="R787">
        <v>0</v>
      </c>
      <c r="S787" s="3">
        <f t="shared" ref="S787" si="587">MAX(P787,Q788,R789)/MIN(P787,Q788,R789)</f>
        <v>15.911611789340494</v>
      </c>
    </row>
    <row r="788" spans="1:19">
      <c r="A788" s="7" t="s">
        <v>212</v>
      </c>
      <c r="B788" s="8">
        <v>-0.36768865949079377</v>
      </c>
      <c r="C788" s="8">
        <v>-1.2890795247765441</v>
      </c>
      <c r="D788" s="8">
        <v>-0.10954983766095538</v>
      </c>
      <c r="E788" s="7">
        <v>0</v>
      </c>
      <c r="F788" s="7">
        <v>-1.4990516053215155E-2</v>
      </c>
      <c r="G788" s="8">
        <v>0</v>
      </c>
      <c r="H788" s="8">
        <v>0</v>
      </c>
      <c r="I788" s="33">
        <v>0</v>
      </c>
      <c r="J788" s="7">
        <v>0</v>
      </c>
      <c r="K788" s="7">
        <v>0</v>
      </c>
      <c r="P788">
        <v>0</v>
      </c>
      <c r="Q788">
        <v>1.2291951526341842</v>
      </c>
      <c r="R788">
        <v>0</v>
      </c>
    </row>
    <row r="789" spans="1:19">
      <c r="A789" s="7"/>
      <c r="B789" s="8">
        <v>1.0097006711160386</v>
      </c>
      <c r="C789" s="8">
        <v>0.26302086313966178</v>
      </c>
      <c r="D789" s="8">
        <v>-0.76545275918666766</v>
      </c>
      <c r="E789" s="7">
        <v>0</v>
      </c>
      <c r="F789" s="8">
        <v>0</v>
      </c>
      <c r="G789" s="7">
        <v>-1.4990516053215155E-2</v>
      </c>
      <c r="H789" s="8">
        <v>0</v>
      </c>
      <c r="I789" s="8">
        <v>0</v>
      </c>
      <c r="J789" s="33">
        <v>0</v>
      </c>
      <c r="K789" s="33">
        <v>0</v>
      </c>
      <c r="P789">
        <v>0</v>
      </c>
      <c r="Q789">
        <v>0</v>
      </c>
      <c r="R789">
        <v>0.16104699265300393</v>
      </c>
    </row>
    <row r="790" spans="1:19">
      <c r="A790" s="7"/>
      <c r="B790" s="8"/>
      <c r="C790" s="8"/>
      <c r="D790" s="8"/>
      <c r="E790" s="7"/>
      <c r="F790" s="7"/>
      <c r="G790" s="7"/>
      <c r="H790" s="7"/>
      <c r="I790" s="7"/>
      <c r="J790" s="7"/>
      <c r="K790" s="7"/>
    </row>
    <row r="791" spans="1:19">
      <c r="A791" s="7"/>
      <c r="B791" s="8">
        <v>-0.21871711292247331</v>
      </c>
      <c r="C791" s="8">
        <v>-2.1363371502498802</v>
      </c>
      <c r="D791" s="8">
        <v>-8.9790398854103559E-2</v>
      </c>
      <c r="E791" s="7">
        <v>-1.4990516053215155E-2</v>
      </c>
      <c r="F791" s="8">
        <v>0</v>
      </c>
      <c r="G791" s="8">
        <v>0</v>
      </c>
      <c r="H791" s="33">
        <v>0</v>
      </c>
      <c r="I791" s="7">
        <v>0</v>
      </c>
      <c r="J791" s="7">
        <v>0</v>
      </c>
      <c r="K791" s="7">
        <v>0</v>
      </c>
      <c r="M791">
        <f t="shared" ref="M791" si="588">MDETERM(B791:D793)</f>
        <v>-0.43964286064301011</v>
      </c>
      <c r="N791">
        <f t="shared" ref="N791" si="589">MDETERM(E791:G793)</f>
        <v>-3.3686023826032914E-6</v>
      </c>
      <c r="P791">
        <f t="array" ref="P791:R793">SVDD(B791:D793)</f>
        <v>3.1535307222798994</v>
      </c>
      <c r="Q791">
        <v>0</v>
      </c>
      <c r="R791">
        <v>0</v>
      </c>
      <c r="S791" s="3">
        <f t="shared" ref="S791" si="590">MAX(P791,Q792,R793)/MIN(P791,Q792,R793)</f>
        <v>48.308554874402986</v>
      </c>
    </row>
    <row r="792" spans="1:19">
      <c r="A792" s="7" t="s">
        <v>213</v>
      </c>
      <c r="B792" s="8">
        <v>2.4772611105726599</v>
      </c>
      <c r="C792" s="8">
        <v>-1.0605572692523213</v>
      </c>
      <c r="D792" s="8">
        <v>-3.9812674620544719E-2</v>
      </c>
      <c r="E792" s="7">
        <v>0</v>
      </c>
      <c r="F792" s="7">
        <v>-1.4990516053215155E-2</v>
      </c>
      <c r="G792" s="8">
        <v>0</v>
      </c>
      <c r="H792" s="8">
        <v>0</v>
      </c>
      <c r="I792" s="33">
        <v>0</v>
      </c>
      <c r="J792" s="7">
        <v>0</v>
      </c>
      <c r="K792" s="7">
        <v>0</v>
      </c>
      <c r="P792">
        <v>0</v>
      </c>
      <c r="Q792">
        <v>2.1356493033681625</v>
      </c>
      <c r="R792">
        <v>0</v>
      </c>
    </row>
    <row r="793" spans="1:19">
      <c r="A793" s="7"/>
      <c r="B793" s="8">
        <v>1.6188303733889171</v>
      </c>
      <c r="C793" s="8">
        <v>-1.9594494251009342E-2</v>
      </c>
      <c r="D793" s="8">
        <v>-7.7422792294721043E-2</v>
      </c>
      <c r="E793" s="7">
        <v>0</v>
      </c>
      <c r="F793" s="8">
        <v>0</v>
      </c>
      <c r="G793" s="7">
        <v>-1.4990516053215155E-2</v>
      </c>
      <c r="H793" s="8">
        <v>0</v>
      </c>
      <c r="I793" s="8">
        <v>0</v>
      </c>
      <c r="J793" s="33">
        <v>0</v>
      </c>
      <c r="K793" s="33">
        <v>0</v>
      </c>
      <c r="P793">
        <v>0</v>
      </c>
      <c r="Q793">
        <v>0</v>
      </c>
      <c r="R793">
        <v>6.5278928969801267E-2</v>
      </c>
    </row>
    <row r="794" spans="1:19">
      <c r="A794" s="7"/>
      <c r="B794" s="8"/>
      <c r="C794" s="8"/>
      <c r="D794" s="8"/>
      <c r="E794" s="7"/>
      <c r="F794" s="7"/>
      <c r="G794" s="7"/>
      <c r="H794" s="7"/>
      <c r="I794" s="7"/>
      <c r="J794" s="7"/>
      <c r="K794" s="7"/>
    </row>
    <row r="795" spans="1:19">
      <c r="A795" s="7"/>
      <c r="B795" s="8">
        <v>-0.21871711292247331</v>
      </c>
      <c r="C795" s="8">
        <v>-2.1363371502498802</v>
      </c>
      <c r="D795" s="8">
        <v>-8.9790398854103559E-2</v>
      </c>
      <c r="E795" s="7">
        <v>-1.4990516053215155E-2</v>
      </c>
      <c r="F795" s="8">
        <v>0</v>
      </c>
      <c r="G795" s="8">
        <v>0</v>
      </c>
      <c r="H795" s="33">
        <v>0</v>
      </c>
      <c r="I795" s="7">
        <v>0</v>
      </c>
      <c r="J795" s="7">
        <v>0</v>
      </c>
      <c r="K795" s="7">
        <v>0</v>
      </c>
      <c r="M795">
        <f t="shared" ref="M795" si="591">MDETERM(B795:D797)</f>
        <v>-4.2996031996665085</v>
      </c>
      <c r="N795">
        <f t="shared" ref="N795" si="592">MDETERM(E795:G797)</f>
        <v>-3.3686023826032914E-6</v>
      </c>
      <c r="P795">
        <f t="array" ref="P795:R797">SVDD(B795:D797)</f>
        <v>2.9281757437962925</v>
      </c>
      <c r="Q795">
        <v>0</v>
      </c>
      <c r="R795">
        <v>0</v>
      </c>
      <c r="S795" s="3">
        <f t="shared" ref="S795" si="593">MAX(P795,Q796,R797)/MIN(P795,Q796,R797)</f>
        <v>4.2325598033353158</v>
      </c>
    </row>
    <row r="796" spans="1:19">
      <c r="A796" s="7" t="s">
        <v>214</v>
      </c>
      <c r="B796" s="8">
        <v>2.4772611105726599</v>
      </c>
      <c r="C796" s="8">
        <v>-1.0605572692523213</v>
      </c>
      <c r="D796" s="8">
        <v>-3.9812674620544719E-2</v>
      </c>
      <c r="E796" s="7">
        <v>0</v>
      </c>
      <c r="F796" s="7">
        <v>-1.4990516053215155E-2</v>
      </c>
      <c r="G796" s="8">
        <v>0</v>
      </c>
      <c r="H796" s="8">
        <v>0</v>
      </c>
      <c r="I796" s="33">
        <v>0</v>
      </c>
      <c r="J796" s="7">
        <v>0</v>
      </c>
      <c r="K796" s="7">
        <v>0</v>
      </c>
      <c r="P796">
        <v>0</v>
      </c>
      <c r="Q796">
        <v>2.1224487048832086</v>
      </c>
      <c r="R796">
        <v>0</v>
      </c>
    </row>
    <row r="797" spans="1:19">
      <c r="A797" s="7"/>
      <c r="B797" s="8">
        <v>1.0097006711160386</v>
      </c>
      <c r="C797" s="8">
        <v>0.26302086313966178</v>
      </c>
      <c r="D797" s="8">
        <v>-0.76545275918666766</v>
      </c>
      <c r="E797" s="7">
        <v>0</v>
      </c>
      <c r="F797" s="8">
        <v>0</v>
      </c>
      <c r="G797" s="7">
        <v>-1.4990516053215155E-2</v>
      </c>
      <c r="H797" s="8">
        <v>0</v>
      </c>
      <c r="I797" s="8">
        <v>0</v>
      </c>
      <c r="J797" s="33">
        <v>0</v>
      </c>
      <c r="K797" s="33">
        <v>0</v>
      </c>
      <c r="P797">
        <v>0</v>
      </c>
      <c r="Q797">
        <v>0</v>
      </c>
      <c r="R797">
        <v>0.69182146971410763</v>
      </c>
    </row>
    <row r="798" spans="1:19">
      <c r="A798" s="7"/>
      <c r="B798" s="8"/>
      <c r="C798" s="8"/>
      <c r="D798" s="8"/>
      <c r="E798" s="7"/>
      <c r="F798" s="7"/>
      <c r="G798" s="7"/>
      <c r="H798" s="7"/>
      <c r="I798" s="7"/>
      <c r="J798" s="7"/>
      <c r="K798" s="7"/>
    </row>
    <row r="799" spans="1:19">
      <c r="A799" s="7"/>
      <c r="B799" s="8">
        <v>-0.21871711292247331</v>
      </c>
      <c r="C799" s="8">
        <v>-2.1363371502498802</v>
      </c>
      <c r="D799" s="8">
        <v>-8.9790398854103559E-2</v>
      </c>
      <c r="E799" s="7">
        <v>-1.4990516053215155E-2</v>
      </c>
      <c r="F799" s="8">
        <v>0</v>
      </c>
      <c r="G799" s="8">
        <v>0</v>
      </c>
      <c r="H799" s="33">
        <v>0</v>
      </c>
      <c r="I799" s="7">
        <v>0</v>
      </c>
      <c r="J799" s="7">
        <v>0</v>
      </c>
      <c r="K799" s="7">
        <v>0</v>
      </c>
      <c r="M799">
        <f t="shared" ref="M799" si="594">MDETERM(B799:D801)</f>
        <v>-2.527953580942905</v>
      </c>
      <c r="N799">
        <f t="shared" ref="N799" si="595">MDETERM(E799:G801)</f>
        <v>-3.3686023826032914E-6</v>
      </c>
      <c r="P799">
        <f t="array" ref="P799:R801">SVDD(B799:D801)</f>
        <v>2.2470462117852015</v>
      </c>
      <c r="Q799">
        <v>0</v>
      </c>
      <c r="R799">
        <v>0</v>
      </c>
      <c r="S799" s="3">
        <f t="shared" ref="S799" si="596">MAX(P799,Q800,R801)/MIN(P799,Q800,R801)</f>
        <v>3.743001491301829</v>
      </c>
    </row>
    <row r="800" spans="1:19">
      <c r="A800" s="7" t="s">
        <v>215</v>
      </c>
      <c r="B800" s="8">
        <v>1.6188303733889171</v>
      </c>
      <c r="C800" s="8">
        <v>-1.9594494251009342E-2</v>
      </c>
      <c r="D800" s="8">
        <v>-7.7422792294721043E-2</v>
      </c>
      <c r="E800" s="7">
        <v>0</v>
      </c>
      <c r="F800" s="7">
        <v>-1.4990516053215155E-2</v>
      </c>
      <c r="G800" s="8">
        <v>0</v>
      </c>
      <c r="H800" s="8">
        <v>0</v>
      </c>
      <c r="I800" s="33">
        <v>0</v>
      </c>
      <c r="J800" s="7">
        <v>0</v>
      </c>
      <c r="K800" s="7">
        <v>0</v>
      </c>
      <c r="P800">
        <v>0</v>
      </c>
      <c r="Q800">
        <v>1.8739805849151565</v>
      </c>
      <c r="R800">
        <v>0</v>
      </c>
    </row>
    <row r="801" spans="1:19">
      <c r="A801" s="7"/>
      <c r="B801" s="8">
        <v>1.0097006711160386</v>
      </c>
      <c r="C801" s="8">
        <v>0.26302086313966178</v>
      </c>
      <c r="D801" s="8">
        <v>-0.76545275918666766</v>
      </c>
      <c r="E801" s="7">
        <v>0</v>
      </c>
      <c r="F801" s="8">
        <v>0</v>
      </c>
      <c r="G801" s="7">
        <v>-1.4990516053215155E-2</v>
      </c>
      <c r="H801" s="8">
        <v>0</v>
      </c>
      <c r="I801" s="8">
        <v>0</v>
      </c>
      <c r="J801" s="33">
        <v>0</v>
      </c>
      <c r="K801" s="33">
        <v>0</v>
      </c>
      <c r="P801">
        <v>0</v>
      </c>
      <c r="Q801">
        <v>0</v>
      </c>
      <c r="R801">
        <v>0.60033270545229489</v>
      </c>
    </row>
    <row r="802" spans="1:19">
      <c r="A802" s="7"/>
      <c r="B802" s="8"/>
      <c r="C802" s="8"/>
      <c r="D802" s="8"/>
      <c r="E802" s="7"/>
      <c r="F802" s="7"/>
      <c r="G802" s="7"/>
      <c r="H802" s="7"/>
      <c r="I802" s="7"/>
      <c r="J802" s="7"/>
      <c r="K802" s="7"/>
    </row>
    <row r="803" spans="1:19">
      <c r="A803" s="7"/>
      <c r="B803" s="8">
        <v>2.0770709056556562</v>
      </c>
      <c r="C803" s="8">
        <v>-2.1445635165533226</v>
      </c>
      <c r="D803" s="8">
        <v>-5.6653180844775664E-2</v>
      </c>
      <c r="E803" s="7">
        <v>-1.4990516053215155E-2</v>
      </c>
      <c r="F803" s="8">
        <v>0</v>
      </c>
      <c r="G803" s="8">
        <v>0</v>
      </c>
      <c r="H803" s="33">
        <v>-1.5970575730977998E-2</v>
      </c>
      <c r="I803" s="7">
        <v>2.2872089329671663E-2</v>
      </c>
      <c r="J803" s="7">
        <v>0</v>
      </c>
      <c r="K803" s="7">
        <v>0</v>
      </c>
      <c r="M803">
        <f t="shared" ref="M803" si="597">MDETERM(B803:D805)</f>
        <v>0.27566179715216726</v>
      </c>
      <c r="N803">
        <f t="shared" ref="N803" si="598">MDETERM(E803:G805)</f>
        <v>-3.3686023826032914E-6</v>
      </c>
      <c r="P803">
        <f t="array" ref="P803:R805">SVDD(B803:D805)</f>
        <v>3.9738464102962552</v>
      </c>
      <c r="Q803">
        <v>0</v>
      </c>
      <c r="R803">
        <v>0</v>
      </c>
      <c r="S803" s="3">
        <f t="shared" ref="S803" si="599">MAX(P803,Q804,R805)/MIN(P803,Q804,R805)</f>
        <v>84.872649675684883</v>
      </c>
    </row>
    <row r="804" spans="1:19">
      <c r="A804" s="7" t="s">
        <v>216</v>
      </c>
      <c r="B804" s="8">
        <v>-0.36768865949079377</v>
      </c>
      <c r="C804" s="8">
        <v>-1.2890795247765441</v>
      </c>
      <c r="D804" s="8">
        <v>-0.10954983766095538</v>
      </c>
      <c r="E804" s="7">
        <v>0</v>
      </c>
      <c r="F804" s="7">
        <v>-1.4990516053215155E-2</v>
      </c>
      <c r="G804" s="8">
        <v>0</v>
      </c>
      <c r="H804" s="8">
        <v>-1.5970575730977998E-2</v>
      </c>
      <c r="I804" s="33">
        <v>0</v>
      </c>
      <c r="J804" s="7">
        <v>2.2385887789414392E-2</v>
      </c>
      <c r="K804" s="7">
        <v>0</v>
      </c>
      <c r="P804">
        <v>0</v>
      </c>
      <c r="Q804">
        <v>1.4815700456431651</v>
      </c>
      <c r="R804">
        <v>0</v>
      </c>
    </row>
    <row r="805" spans="1:19">
      <c r="A805" s="7"/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8">
        <v>0</v>
      </c>
      <c r="G805" s="7">
        <v>-1.4990516053215155E-2</v>
      </c>
      <c r="H805" s="8">
        <v>-1.5970575730977998E-2</v>
      </c>
      <c r="I805" s="8">
        <v>0</v>
      </c>
      <c r="J805" s="33">
        <v>0</v>
      </c>
      <c r="K805" s="33">
        <v>1.6236379226863738E-2</v>
      </c>
      <c r="P805">
        <v>0</v>
      </c>
      <c r="Q805">
        <v>0</v>
      </c>
      <c r="R805">
        <v>4.6821283717205779E-2</v>
      </c>
    </row>
    <row r="806" spans="1:19">
      <c r="A806" s="7"/>
      <c r="B806" s="8"/>
      <c r="C806" s="8"/>
      <c r="D806" s="8"/>
      <c r="E806" s="7"/>
      <c r="F806" s="7"/>
      <c r="G806" s="7"/>
      <c r="H806" s="7"/>
      <c r="I806" s="7"/>
      <c r="J806" s="7"/>
      <c r="K806" s="7"/>
    </row>
    <row r="807" spans="1:19">
      <c r="A807" s="7"/>
      <c r="B807" s="8">
        <v>2.0770709056556562</v>
      </c>
      <c r="C807" s="8">
        <v>-2.1445635165533226</v>
      </c>
      <c r="D807" s="8">
        <v>-5.6653180844775664E-2</v>
      </c>
      <c r="E807" s="7">
        <v>-1.4990516053215155E-2</v>
      </c>
      <c r="F807" s="8">
        <v>0</v>
      </c>
      <c r="G807" s="8">
        <v>0</v>
      </c>
      <c r="H807" s="33">
        <v>0</v>
      </c>
      <c r="I807" s="7">
        <v>0</v>
      </c>
      <c r="J807" s="7">
        <v>0</v>
      </c>
      <c r="K807" s="7">
        <v>0</v>
      </c>
      <c r="M807">
        <f t="shared" ref="M807" si="600">MDETERM(B807:D809)</f>
        <v>0.52558239955529273</v>
      </c>
      <c r="N807">
        <f t="shared" ref="N807" si="601">MDETERM(E807:G809)</f>
        <v>-3.3686023826032914E-6</v>
      </c>
      <c r="P807">
        <f t="array" ref="P807:R809">SVDD(B807:D809)</f>
        <v>3.2723335212773668</v>
      </c>
      <c r="Q807">
        <v>0</v>
      </c>
      <c r="R807">
        <v>0</v>
      </c>
      <c r="S807" s="3">
        <f t="shared" ref="S807" si="602">MAX(P807,Q808,R809)/MIN(P807,Q808,R809)</f>
        <v>33.069426713699293</v>
      </c>
    </row>
    <row r="808" spans="1:19">
      <c r="A808" s="7" t="s">
        <v>217</v>
      </c>
      <c r="B808" s="8">
        <v>-0.36768865949079377</v>
      </c>
      <c r="C808" s="8">
        <v>-1.2890795247765441</v>
      </c>
      <c r="D808" s="8">
        <v>-0.10954983766095538</v>
      </c>
      <c r="E808" s="7">
        <v>0</v>
      </c>
      <c r="F808" s="7">
        <v>-1.4990516053215155E-2</v>
      </c>
      <c r="G808" s="8">
        <v>0</v>
      </c>
      <c r="H808" s="8">
        <v>0</v>
      </c>
      <c r="I808" s="33">
        <v>0</v>
      </c>
      <c r="J808" s="7">
        <v>0</v>
      </c>
      <c r="K808" s="7">
        <v>0</v>
      </c>
      <c r="P808">
        <v>0</v>
      </c>
      <c r="Q808">
        <v>1.6231264578215259</v>
      </c>
      <c r="R808">
        <v>0</v>
      </c>
    </row>
    <row r="809" spans="1:19">
      <c r="A809" s="7"/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8">
        <v>0</v>
      </c>
      <c r="G809" s="7">
        <v>-1.4990516053215155E-2</v>
      </c>
      <c r="H809" s="8">
        <v>0</v>
      </c>
      <c r="I809" s="8">
        <v>0</v>
      </c>
      <c r="J809" s="33">
        <v>0</v>
      </c>
      <c r="K809" s="33">
        <v>0</v>
      </c>
      <c r="P809">
        <v>0</v>
      </c>
      <c r="Q809">
        <v>0</v>
      </c>
      <c r="R809">
        <v>9.8953439671265131E-2</v>
      </c>
    </row>
    <row r="810" spans="1:19">
      <c r="A810" s="7"/>
      <c r="B810" s="8"/>
      <c r="C810" s="8"/>
      <c r="D810" s="8"/>
      <c r="E810" s="7"/>
      <c r="F810" s="7"/>
      <c r="G810" s="7"/>
      <c r="H810" s="7"/>
      <c r="I810" s="7"/>
      <c r="J810" s="7"/>
      <c r="K810" s="7"/>
    </row>
    <row r="811" spans="1:19">
      <c r="A811" s="7"/>
      <c r="B811" s="8">
        <v>2.0770709056556562</v>
      </c>
      <c r="C811" s="8">
        <v>-2.1445635165533226</v>
      </c>
      <c r="D811" s="8">
        <v>-5.6653180844775664E-2</v>
      </c>
      <c r="E811" s="7">
        <v>-1.4990516053215155E-2</v>
      </c>
      <c r="F811" s="8">
        <v>0</v>
      </c>
      <c r="G811" s="8">
        <v>0</v>
      </c>
      <c r="H811" s="33">
        <v>-1.5970575730977998E-2</v>
      </c>
      <c r="I811" s="7">
        <v>2.2872089329671663E-2</v>
      </c>
      <c r="J811" s="7">
        <v>0</v>
      </c>
      <c r="K811" s="7">
        <v>0</v>
      </c>
      <c r="M811">
        <f t="shared" ref="M811" si="603">MDETERM(B811:D813)</f>
        <v>2.8818949898130111</v>
      </c>
      <c r="N811">
        <f t="shared" ref="N811" si="604">MDETERM(E811:G813)</f>
        <v>-3.3686023826032914E-6</v>
      </c>
      <c r="P811">
        <f t="array" ref="P811:R813">SVDD(B811:D813)</f>
        <v>3.1113660625776034</v>
      </c>
      <c r="Q811">
        <v>0</v>
      </c>
      <c r="R811">
        <v>0</v>
      </c>
      <c r="S811" s="3">
        <f t="shared" ref="S811" si="605">MAX(P811,Q812,R813)/MIN(P811,Q812,R813)</f>
        <v>5.155149298810846</v>
      </c>
    </row>
    <row r="812" spans="1:19">
      <c r="A812" s="7" t="s">
        <v>218</v>
      </c>
      <c r="B812" s="8">
        <v>-0.36768865949079377</v>
      </c>
      <c r="C812" s="8">
        <v>-1.2890795247765441</v>
      </c>
      <c r="D812" s="8">
        <v>-0.10954983766095538</v>
      </c>
      <c r="E812" s="7">
        <v>0</v>
      </c>
      <c r="F812" s="7">
        <v>-1.4990516053215155E-2</v>
      </c>
      <c r="G812" s="8">
        <v>0</v>
      </c>
      <c r="H812" s="8">
        <v>-1.5970575730977998E-2</v>
      </c>
      <c r="I812" s="33">
        <v>0</v>
      </c>
      <c r="J812" s="7">
        <v>2.2385887789414392E-2</v>
      </c>
      <c r="K812" s="7">
        <v>0</v>
      </c>
      <c r="P812">
        <v>0</v>
      </c>
      <c r="Q812">
        <v>1.5346776868592058</v>
      </c>
      <c r="R812">
        <v>0</v>
      </c>
    </row>
    <row r="813" spans="1:19">
      <c r="A813" s="7"/>
      <c r="B813" s="8">
        <v>1.0097006711160386</v>
      </c>
      <c r="C813" s="8">
        <v>0.26302086313966178</v>
      </c>
      <c r="D813" s="8">
        <v>-0.76545275918666766</v>
      </c>
      <c r="E813" s="7">
        <v>0</v>
      </c>
      <c r="F813" s="8">
        <v>0</v>
      </c>
      <c r="G813" s="7">
        <v>-1.4990516053215155E-2</v>
      </c>
      <c r="H813" s="8">
        <v>-1.5970575730977998E-2</v>
      </c>
      <c r="I813" s="8">
        <v>0</v>
      </c>
      <c r="J813" s="33">
        <v>0</v>
      </c>
      <c r="K813" s="33">
        <v>2.0521745021313972E-2</v>
      </c>
      <c r="P813">
        <v>0</v>
      </c>
      <c r="Q813">
        <v>0</v>
      </c>
      <c r="R813">
        <v>0.6035452869028084</v>
      </c>
    </row>
    <row r="814" spans="1:19">
      <c r="A814" s="7"/>
      <c r="B814" s="8"/>
      <c r="C814" s="8"/>
      <c r="D814" s="8"/>
      <c r="E814" s="7"/>
      <c r="F814" s="7"/>
      <c r="G814" s="7"/>
      <c r="H814" s="7"/>
      <c r="I814" s="7"/>
      <c r="J814" s="7"/>
      <c r="K814" s="7"/>
    </row>
    <row r="815" spans="1:19">
      <c r="A815" s="7"/>
      <c r="B815" s="8">
        <v>2.0770709056556562</v>
      </c>
      <c r="C815" s="8">
        <v>-2.1445635165533226</v>
      </c>
      <c r="D815" s="8">
        <v>-5.6653180844775664E-2</v>
      </c>
      <c r="E815" s="7">
        <v>-1.4990516053215155E-2</v>
      </c>
      <c r="F815" s="8">
        <v>0</v>
      </c>
      <c r="G815" s="8">
        <v>0</v>
      </c>
      <c r="H815" s="33">
        <v>0</v>
      </c>
      <c r="I815" s="7">
        <v>0</v>
      </c>
      <c r="J815" s="7">
        <v>0</v>
      </c>
      <c r="K815" s="7">
        <v>0</v>
      </c>
      <c r="M815">
        <f t="shared" ref="M815" si="606">MDETERM(B815:D817)</f>
        <v>-0.19868773649886828</v>
      </c>
      <c r="N815">
        <f t="shared" ref="N815" si="607">MDETERM(E815:G817)</f>
        <v>-3.3686023826032914E-6</v>
      </c>
      <c r="P815">
        <f t="array" ref="P815:R817">SVDD(B815:D817)</f>
        <v>4.1727942118786858</v>
      </c>
      <c r="Q815">
        <v>0</v>
      </c>
      <c r="R815">
        <v>0</v>
      </c>
      <c r="S815" s="3">
        <f t="shared" ref="S815" si="608">MAX(P815,Q816,R817)/MIN(P815,Q816,R817)</f>
        <v>103.43008876337434</v>
      </c>
    </row>
    <row r="816" spans="1:19">
      <c r="A816" s="7" t="s">
        <v>219</v>
      </c>
      <c r="B816" s="8">
        <v>2.4772611105726599</v>
      </c>
      <c r="C816" s="8">
        <v>-1.0605572692523213</v>
      </c>
      <c r="D816" s="8">
        <v>-3.9812674620544719E-2</v>
      </c>
      <c r="E816" s="7">
        <v>0</v>
      </c>
      <c r="F816" s="7">
        <v>-1.4990516053215155E-2</v>
      </c>
      <c r="G816" s="8">
        <v>0</v>
      </c>
      <c r="H816" s="8">
        <v>0</v>
      </c>
      <c r="I816" s="33">
        <v>0</v>
      </c>
      <c r="J816" s="7">
        <v>0</v>
      </c>
      <c r="K816" s="7">
        <v>0</v>
      </c>
      <c r="P816">
        <v>0</v>
      </c>
      <c r="Q816">
        <v>1.1802228672292419</v>
      </c>
      <c r="R816">
        <v>0</v>
      </c>
    </row>
    <row r="817" spans="1:19">
      <c r="A817" s="7"/>
      <c r="B817" s="8">
        <v>1.6188303733889171</v>
      </c>
      <c r="C817" s="8">
        <v>-1.9594494251009342E-2</v>
      </c>
      <c r="D817" s="8">
        <v>-7.7422792294721043E-2</v>
      </c>
      <c r="E817" s="7">
        <v>0</v>
      </c>
      <c r="F817" s="8">
        <v>0</v>
      </c>
      <c r="G817" s="7">
        <v>-1.4990516053215155E-2</v>
      </c>
      <c r="H817" s="8">
        <v>0</v>
      </c>
      <c r="I817" s="8">
        <v>0</v>
      </c>
      <c r="J817" s="33">
        <v>0</v>
      </c>
      <c r="K817" s="33">
        <v>0</v>
      </c>
      <c r="P817">
        <v>0</v>
      </c>
      <c r="Q817">
        <v>0</v>
      </c>
      <c r="R817">
        <v>4.0344103556027452E-2</v>
      </c>
    </row>
    <row r="818" spans="1:19">
      <c r="A818" s="7"/>
      <c r="B818" s="8"/>
      <c r="C818" s="8"/>
      <c r="D818" s="8"/>
      <c r="E818" s="7"/>
      <c r="F818" s="7"/>
      <c r="G818" s="7"/>
      <c r="H818" s="7"/>
      <c r="I818" s="7"/>
      <c r="J818" s="7"/>
      <c r="K818" s="7"/>
    </row>
    <row r="819" spans="1:19">
      <c r="A819" s="7"/>
      <c r="B819" s="8">
        <v>2.0770709056556562</v>
      </c>
      <c r="C819" s="8">
        <v>-2.1445635165533226</v>
      </c>
      <c r="D819" s="8">
        <v>-5.6653180844775664E-2</v>
      </c>
      <c r="E819" s="7">
        <v>-1.4990516053215155E-2</v>
      </c>
      <c r="F819" s="8">
        <v>0</v>
      </c>
      <c r="G819" s="8">
        <v>0</v>
      </c>
      <c r="H819" s="33">
        <v>-1.5970575730977998E-2</v>
      </c>
      <c r="I819" s="7">
        <v>2.2872089329671663E-2</v>
      </c>
      <c r="J819" s="7">
        <v>0</v>
      </c>
      <c r="K819" s="7">
        <v>0</v>
      </c>
      <c r="M819">
        <f t="shared" ref="M819" si="609">MDETERM(B819:D821)</f>
        <v>-2.3700193625278949</v>
      </c>
      <c r="N819">
        <f t="shared" ref="N819" si="610">MDETERM(E819:G821)</f>
        <v>-3.3686023826032914E-6</v>
      </c>
      <c r="P819">
        <f t="array" ref="P819:R821">SVDD(B819:D821)</f>
        <v>4.0071314220990235</v>
      </c>
      <c r="Q819">
        <v>0</v>
      </c>
      <c r="R819">
        <v>0</v>
      </c>
      <c r="S819" s="3">
        <f t="shared" ref="S819" si="611">MAX(P819,Q820,R821)/MIN(P819,Q820,R821)</f>
        <v>8.5031850746050246</v>
      </c>
    </row>
    <row r="820" spans="1:19">
      <c r="A820" s="7" t="s">
        <v>220</v>
      </c>
      <c r="B820" s="8">
        <v>2.4772611105726599</v>
      </c>
      <c r="C820" s="8">
        <v>-1.0605572692523213</v>
      </c>
      <c r="D820" s="8">
        <v>-3.9812674620544719E-2</v>
      </c>
      <c r="E820" s="7">
        <v>0</v>
      </c>
      <c r="F820" s="7">
        <v>-1.4990516053215155E-2</v>
      </c>
      <c r="G820" s="8">
        <v>0</v>
      </c>
      <c r="H820" s="8">
        <v>-1.5970575730977998E-2</v>
      </c>
      <c r="I820" s="33">
        <v>0</v>
      </c>
      <c r="J820" s="7">
        <v>1.6236379226863738E-2</v>
      </c>
      <c r="K820" s="7">
        <v>0</v>
      </c>
      <c r="P820">
        <v>0</v>
      </c>
      <c r="Q820">
        <v>1.2550653895279651</v>
      </c>
      <c r="R820">
        <v>0</v>
      </c>
    </row>
    <row r="821" spans="1:19">
      <c r="A821" s="7"/>
      <c r="B821" s="8">
        <v>1.0097006711160386</v>
      </c>
      <c r="C821" s="8">
        <v>0.26302086313966178</v>
      </c>
      <c r="D821" s="8">
        <v>-0.76545275918666766</v>
      </c>
      <c r="E821" s="7">
        <v>0</v>
      </c>
      <c r="F821" s="8">
        <v>0</v>
      </c>
      <c r="G821" s="7">
        <v>-1.4990516053215155E-2</v>
      </c>
      <c r="H821" s="8">
        <v>-1.5970575730977998E-2</v>
      </c>
      <c r="I821" s="8">
        <v>0</v>
      </c>
      <c r="J821" s="33">
        <v>0</v>
      </c>
      <c r="K821" s="33">
        <v>2.0521745021313972E-2</v>
      </c>
      <c r="P821">
        <v>0</v>
      </c>
      <c r="Q821">
        <v>0</v>
      </c>
      <c r="R821">
        <v>0.47125064160562868</v>
      </c>
    </row>
    <row r="822" spans="1:19">
      <c r="A822" s="7"/>
      <c r="B822" s="8"/>
      <c r="C822" s="8"/>
      <c r="D822" s="8"/>
      <c r="E822" s="7"/>
      <c r="F822" s="7"/>
      <c r="G822" s="7"/>
      <c r="H822" s="7"/>
      <c r="I822" s="7"/>
      <c r="J822" s="7"/>
      <c r="K822" s="7"/>
    </row>
    <row r="823" spans="1:19">
      <c r="A823" s="7"/>
      <c r="B823" s="8">
        <v>2.0770709056556562</v>
      </c>
      <c r="C823" s="8">
        <v>-2.1445635165533226</v>
      </c>
      <c r="D823" s="8">
        <v>-5.6653180844775664E-2</v>
      </c>
      <c r="E823" s="7">
        <v>-1.4990516053215155E-2</v>
      </c>
      <c r="F823" s="8">
        <v>0</v>
      </c>
      <c r="G823" s="8">
        <v>0</v>
      </c>
      <c r="H823" s="33">
        <v>0</v>
      </c>
      <c r="I823" s="7">
        <v>0</v>
      </c>
      <c r="J823" s="7">
        <v>0</v>
      </c>
      <c r="K823" s="7">
        <v>0</v>
      </c>
      <c r="M823">
        <f t="shared" ref="M823" si="612">MDETERM(B823:D825)</f>
        <v>-2.4415543907414028</v>
      </c>
      <c r="N823">
        <f t="shared" ref="N823" si="613">MDETERM(E823:G825)</f>
        <v>-3.3686023826032914E-6</v>
      </c>
      <c r="P823">
        <f t="array" ref="P823:R825">SVDD(B823:D825)</f>
        <v>3.3018207639188994</v>
      </c>
      <c r="Q823">
        <v>0</v>
      </c>
      <c r="R823">
        <v>0</v>
      </c>
      <c r="S823" s="3">
        <f t="shared" ref="S823" si="614">MAX(P823,Q824,R825)/MIN(P823,Q824,R825)</f>
        <v>6.3921465350608555</v>
      </c>
    </row>
    <row r="824" spans="1:19">
      <c r="A824" s="7" t="s">
        <v>221</v>
      </c>
      <c r="B824" s="8">
        <v>1.6188303733889171</v>
      </c>
      <c r="C824" s="8">
        <v>-1.9594494251009342E-2</v>
      </c>
      <c r="D824" s="8">
        <v>-7.7422792294721043E-2</v>
      </c>
      <c r="E824" s="7">
        <v>0</v>
      </c>
      <c r="F824" s="7">
        <v>-1.4990516053215155E-2</v>
      </c>
      <c r="G824" s="8">
        <v>0</v>
      </c>
      <c r="H824" s="8">
        <v>0</v>
      </c>
      <c r="I824" s="33">
        <v>0</v>
      </c>
      <c r="J824" s="7">
        <v>0</v>
      </c>
      <c r="K824" s="7">
        <v>0</v>
      </c>
      <c r="P824">
        <v>0</v>
      </c>
      <c r="Q824">
        <v>1.4315487338870729</v>
      </c>
      <c r="R824">
        <v>0</v>
      </c>
    </row>
    <row r="825" spans="1:19">
      <c r="A825" s="7"/>
      <c r="B825" s="8">
        <v>1.0097006711160386</v>
      </c>
      <c r="C825" s="8">
        <v>0.26302086313966178</v>
      </c>
      <c r="D825" s="8">
        <v>-0.76545275918666766</v>
      </c>
      <c r="E825" s="7">
        <v>0</v>
      </c>
      <c r="F825" s="8">
        <v>0</v>
      </c>
      <c r="G825" s="7">
        <v>-1.4990516053215155E-2</v>
      </c>
      <c r="H825" s="8">
        <v>0</v>
      </c>
      <c r="I825" s="8">
        <v>0</v>
      </c>
      <c r="J825" s="33">
        <v>0</v>
      </c>
      <c r="K825" s="33">
        <v>0</v>
      </c>
      <c r="P825">
        <v>0</v>
      </c>
      <c r="Q825">
        <v>0</v>
      </c>
      <c r="R825">
        <v>0.51654334671591895</v>
      </c>
    </row>
    <row r="826" spans="1:19">
      <c r="A826" s="7"/>
      <c r="B826" s="8"/>
      <c r="C826" s="8"/>
      <c r="D826" s="8"/>
      <c r="E826" s="7"/>
      <c r="F826" s="7"/>
      <c r="G826" s="7"/>
      <c r="H826" s="7"/>
      <c r="I826" s="7"/>
      <c r="J826" s="7"/>
      <c r="K826" s="7"/>
    </row>
    <row r="827" spans="1:19">
      <c r="A827" s="7"/>
      <c r="B827" s="8">
        <v>-0.36768865949079377</v>
      </c>
      <c r="C827" s="8">
        <v>-1.2890795247765441</v>
      </c>
      <c r="D827" s="8">
        <v>-0.10954983766095538</v>
      </c>
      <c r="E827" s="7">
        <v>-1.4990516053215155E-2</v>
      </c>
      <c r="F827" s="8">
        <v>0</v>
      </c>
      <c r="G827" s="8">
        <v>0</v>
      </c>
      <c r="H827" s="33">
        <v>0</v>
      </c>
      <c r="I827" s="7">
        <v>0</v>
      </c>
      <c r="J827" s="7">
        <v>0</v>
      </c>
      <c r="K827" s="7">
        <v>0</v>
      </c>
      <c r="M827">
        <f t="shared" ref="M827" si="615">MDETERM(B827:D829)</f>
        <v>-0.37682869621116094</v>
      </c>
      <c r="N827">
        <f t="shared" ref="N827" si="616">MDETERM(E827:G829)</f>
        <v>-3.3686023826032914E-6</v>
      </c>
      <c r="P827">
        <f t="array" ref="P827:R829">SVDD(B827:D829)</f>
        <v>3.0983206515463517</v>
      </c>
      <c r="Q827">
        <v>0</v>
      </c>
      <c r="R827">
        <v>0</v>
      </c>
      <c r="S827" s="3">
        <f t="shared" ref="S827" si="617">MAX(P827,Q828,R829)/MIN(P827,Q828,R829)</f>
        <v>36.849822091727596</v>
      </c>
    </row>
    <row r="828" spans="1:19">
      <c r="A828" s="7" t="s">
        <v>222</v>
      </c>
      <c r="B828" s="8">
        <v>2.4772611105726599</v>
      </c>
      <c r="C828" s="8">
        <v>-1.0605572692523213</v>
      </c>
      <c r="D828" s="8">
        <v>-3.9812674620544719E-2</v>
      </c>
      <c r="E828" s="7">
        <v>0</v>
      </c>
      <c r="F828" s="7">
        <v>-1.4990516053215155E-2</v>
      </c>
      <c r="G828" s="8">
        <v>0</v>
      </c>
      <c r="H828" s="8">
        <v>0</v>
      </c>
      <c r="I828" s="33">
        <v>0</v>
      </c>
      <c r="J828" s="7">
        <v>0</v>
      </c>
      <c r="K828" s="7">
        <v>0</v>
      </c>
      <c r="P828">
        <v>0</v>
      </c>
      <c r="Q828">
        <v>1.4465273173871775</v>
      </c>
      <c r="R828">
        <v>0</v>
      </c>
    </row>
    <row r="829" spans="1:19">
      <c r="A829" s="7"/>
      <c r="B829" s="8">
        <v>1.6188303733889171</v>
      </c>
      <c r="C829" s="8">
        <v>-1.9594494251009342E-2</v>
      </c>
      <c r="D829" s="8">
        <v>-7.7422792294721043E-2</v>
      </c>
      <c r="E829" s="7">
        <v>0</v>
      </c>
      <c r="F829" s="8">
        <v>0</v>
      </c>
      <c r="G829" s="7">
        <v>-1.4990516053215155E-2</v>
      </c>
      <c r="H829" s="8">
        <v>0</v>
      </c>
      <c r="I829" s="8">
        <v>0</v>
      </c>
      <c r="J829" s="33">
        <v>0</v>
      </c>
      <c r="K829" s="33">
        <v>0</v>
      </c>
      <c r="P829">
        <v>0</v>
      </c>
      <c r="Q829">
        <v>0</v>
      </c>
      <c r="R829">
        <v>8.4079663772430882E-2</v>
      </c>
    </row>
    <row r="830" spans="1:19">
      <c r="A830" s="7"/>
      <c r="B830" s="8"/>
      <c r="C830" s="8"/>
      <c r="D830" s="8"/>
      <c r="E830" s="7"/>
      <c r="F830" s="7"/>
      <c r="G830" s="7"/>
      <c r="H830" s="7"/>
      <c r="I830" s="7"/>
      <c r="J830" s="7"/>
      <c r="K830" s="7"/>
    </row>
    <row r="831" spans="1:19">
      <c r="A831" s="7"/>
      <c r="B831" s="8">
        <v>-0.36768865949079377</v>
      </c>
      <c r="C831" s="8">
        <v>-1.2890795247765441</v>
      </c>
      <c r="D831" s="8">
        <v>-0.10954983766095538</v>
      </c>
      <c r="E831" s="7">
        <v>-1.4990516053215155E-2</v>
      </c>
      <c r="F831" s="8">
        <v>0</v>
      </c>
      <c r="G831" s="8">
        <v>0</v>
      </c>
      <c r="H831" s="33">
        <v>-1.5970575730977998E-2</v>
      </c>
      <c r="I831" s="7">
        <v>2.2385887789414392E-2</v>
      </c>
      <c r="J831" s="7">
        <v>0</v>
      </c>
      <c r="K831" s="7">
        <v>0</v>
      </c>
      <c r="M831">
        <f t="shared" ref="M831" si="618">MDETERM(B831:D833)</f>
        <v>-2.8835997956298032</v>
      </c>
      <c r="N831">
        <f t="shared" ref="N831" si="619">MDETERM(E831:G833)</f>
        <v>-3.3686023826032914E-6</v>
      </c>
      <c r="P831">
        <f t="array" ref="P831:R833">SVDD(B831:D833)</f>
        <v>2.8401547386876218</v>
      </c>
      <c r="Q831">
        <v>0</v>
      </c>
      <c r="R831">
        <v>0</v>
      </c>
      <c r="S831" s="3">
        <f t="shared" ref="S831" si="620">MAX(P831,Q832,R833)/MIN(P831,Q832,R833)</f>
        <v>4.1630934361703984</v>
      </c>
    </row>
    <row r="832" spans="1:19">
      <c r="A832" s="7" t="s">
        <v>223</v>
      </c>
      <c r="B832" s="8">
        <v>2.4772611105726599</v>
      </c>
      <c r="C832" s="8">
        <v>-1.0605572692523213</v>
      </c>
      <c r="D832" s="8">
        <v>-3.9812674620544719E-2</v>
      </c>
      <c r="E832" s="7">
        <v>0</v>
      </c>
      <c r="F832" s="7">
        <v>-1.4990516053215155E-2</v>
      </c>
      <c r="G832" s="8">
        <v>0</v>
      </c>
      <c r="H832" s="8">
        <v>-1.5970575730977998E-2</v>
      </c>
      <c r="I832" s="33">
        <v>0</v>
      </c>
      <c r="J832" s="7">
        <v>1.6236379226863738E-2</v>
      </c>
      <c r="K832" s="7">
        <v>0</v>
      </c>
      <c r="P832">
        <v>0</v>
      </c>
      <c r="Q832">
        <v>1.488220011666012</v>
      </c>
      <c r="R832">
        <v>0</v>
      </c>
    </row>
    <row r="833" spans="1:19">
      <c r="A833" s="7"/>
      <c r="B833" s="8">
        <v>1.0097006711160386</v>
      </c>
      <c r="C833" s="8">
        <v>0.26302086313966178</v>
      </c>
      <c r="D833" s="8">
        <v>-0.76545275918666766</v>
      </c>
      <c r="E833" s="7">
        <v>0</v>
      </c>
      <c r="F833" s="8">
        <v>0</v>
      </c>
      <c r="G833" s="7">
        <v>-1.4990516053215155E-2</v>
      </c>
      <c r="H833" s="8">
        <v>-1.5970575730977998E-2</v>
      </c>
      <c r="I833" s="8">
        <v>0</v>
      </c>
      <c r="J833" s="33">
        <v>0</v>
      </c>
      <c r="K833" s="33">
        <v>2.0521745021313972E-2</v>
      </c>
      <c r="P833">
        <v>0</v>
      </c>
      <c r="Q833">
        <v>0</v>
      </c>
      <c r="R833">
        <v>0.68222219420092123</v>
      </c>
    </row>
    <row r="834" spans="1:19">
      <c r="A834" s="7"/>
      <c r="B834" s="8"/>
      <c r="C834" s="8"/>
      <c r="D834" s="8"/>
      <c r="E834" s="7"/>
      <c r="F834" s="7"/>
      <c r="G834" s="7"/>
      <c r="H834" s="7"/>
      <c r="I834" s="7"/>
      <c r="J834" s="7"/>
      <c r="K834" s="7"/>
    </row>
    <row r="835" spans="1:19">
      <c r="A835" s="7"/>
      <c r="B835" s="8">
        <v>-0.36768865949079377</v>
      </c>
      <c r="C835" s="8">
        <v>-1.2890795247765441</v>
      </c>
      <c r="D835" s="8">
        <v>-0.10954983766095538</v>
      </c>
      <c r="E835" s="7">
        <v>-1.4990516053215155E-2</v>
      </c>
      <c r="F835" s="8">
        <v>0</v>
      </c>
      <c r="G835" s="8">
        <v>0</v>
      </c>
      <c r="H835" s="33">
        <v>0</v>
      </c>
      <c r="I835" s="7">
        <v>0</v>
      </c>
      <c r="J835" s="7">
        <v>0</v>
      </c>
      <c r="K835" s="7">
        <v>0</v>
      </c>
      <c r="M835">
        <f t="shared" ref="M835" si="621">MDETERM(B835:D837)</f>
        <v>-1.5583899283599822</v>
      </c>
      <c r="N835">
        <f t="shared" ref="N835" si="622">MDETERM(E835:G837)</f>
        <v>-3.3686023826032914E-6</v>
      </c>
      <c r="P835">
        <f t="array" ref="P835:R837">SVDD(B835:D837)</f>
        <v>2.0474953131802383</v>
      </c>
      <c r="Q835">
        <v>0</v>
      </c>
      <c r="R835">
        <v>0</v>
      </c>
      <c r="S835" s="3">
        <f t="shared" ref="S835" si="623">MAX(P835,Q836,R837)/MIN(P835,Q836,R837)</f>
        <v>3.3413406696182579</v>
      </c>
    </row>
    <row r="836" spans="1:19">
      <c r="A836" s="7" t="s">
        <v>224</v>
      </c>
      <c r="B836" s="8">
        <v>1.6188303733889171</v>
      </c>
      <c r="C836" s="8">
        <v>-1.9594494251009342E-2</v>
      </c>
      <c r="D836" s="8">
        <v>-7.7422792294721043E-2</v>
      </c>
      <c r="E836" s="7">
        <v>0</v>
      </c>
      <c r="F836" s="7">
        <v>-1.4990516053215155E-2</v>
      </c>
      <c r="G836" s="8">
        <v>0</v>
      </c>
      <c r="H836" s="8">
        <v>0</v>
      </c>
      <c r="I836" s="33">
        <v>0</v>
      </c>
      <c r="J836" s="7">
        <v>0</v>
      </c>
      <c r="K836" s="7">
        <v>0</v>
      </c>
      <c r="P836">
        <v>0</v>
      </c>
      <c r="Q836">
        <v>1.2420842560520802</v>
      </c>
      <c r="R836">
        <v>0</v>
      </c>
    </row>
    <row r="837" spans="1:19">
      <c r="A837" s="7"/>
      <c r="B837" s="8">
        <v>1.0097006711160386</v>
      </c>
      <c r="C837" s="8">
        <v>0.26302086313966178</v>
      </c>
      <c r="D837" s="8">
        <v>-0.76545275918666766</v>
      </c>
      <c r="E837" s="7">
        <v>0</v>
      </c>
      <c r="F837" s="8">
        <v>0</v>
      </c>
      <c r="G837" s="7">
        <v>-1.4990516053215155E-2</v>
      </c>
      <c r="H837" s="8">
        <v>0</v>
      </c>
      <c r="I837" s="8">
        <v>0</v>
      </c>
      <c r="J837" s="33">
        <v>0</v>
      </c>
      <c r="K837" s="33">
        <v>0</v>
      </c>
      <c r="P837">
        <v>0</v>
      </c>
      <c r="Q837">
        <v>0</v>
      </c>
      <c r="R837">
        <v>0.61277658150737468</v>
      </c>
    </row>
    <row r="838" spans="1:19">
      <c r="A838" s="7"/>
      <c r="B838" s="8"/>
      <c r="C838" s="8"/>
      <c r="D838" s="8"/>
      <c r="E838" s="7"/>
      <c r="F838" s="7"/>
      <c r="G838" s="7"/>
      <c r="H838" s="7"/>
      <c r="I838" s="7"/>
      <c r="J838" s="7"/>
      <c r="K838" s="7"/>
    </row>
    <row r="839" spans="1:19">
      <c r="A839" s="7"/>
      <c r="B839" s="8">
        <v>2.4772611105726599</v>
      </c>
      <c r="C839" s="8">
        <v>-1.0605572692523213</v>
      </c>
      <c r="D839" s="8">
        <v>-3.9812674620544719E-2</v>
      </c>
      <c r="E839" s="7">
        <v>-1.4990516053215155E-2</v>
      </c>
      <c r="F839" s="8">
        <v>0</v>
      </c>
      <c r="G839" s="8">
        <v>0</v>
      </c>
      <c r="H839" s="33">
        <v>0</v>
      </c>
      <c r="I839" s="7">
        <v>0</v>
      </c>
      <c r="J839" s="7">
        <v>0</v>
      </c>
      <c r="K839" s="7">
        <v>0</v>
      </c>
      <c r="M839">
        <f t="shared" ref="M839" si="624">MDETERM(B839:D841)</f>
        <v>-1.1614064528411256</v>
      </c>
      <c r="N839">
        <f t="shared" ref="N839" si="625">MDETERM(E839:G841)</f>
        <v>-3.3686023826032914E-6</v>
      </c>
      <c r="P839">
        <f t="array" ref="P839:R841">SVDD(B839:D841)</f>
        <v>3.2381962058319842</v>
      </c>
      <c r="Q839">
        <v>0</v>
      </c>
      <c r="R839">
        <v>0</v>
      </c>
      <c r="S839" s="3">
        <f t="shared" ref="S839" si="626">MAX(P839,Q840,R841)/MIN(P839,Q840,R841)</f>
        <v>8.7645356999874178</v>
      </c>
    </row>
    <row r="840" spans="1:19">
      <c r="A840" s="7" t="s">
        <v>225</v>
      </c>
      <c r="B840" s="8">
        <v>1.6188303733889171</v>
      </c>
      <c r="C840" s="8">
        <v>-1.9594494251009342E-2</v>
      </c>
      <c r="D840" s="8">
        <v>-7.7422792294721043E-2</v>
      </c>
      <c r="E840" s="7">
        <v>0</v>
      </c>
      <c r="F840" s="7">
        <v>-1.4990516053215155E-2</v>
      </c>
      <c r="G840" s="8">
        <v>0</v>
      </c>
      <c r="H840" s="8">
        <v>0</v>
      </c>
      <c r="I840" s="33">
        <v>0</v>
      </c>
      <c r="J840" s="7">
        <v>0</v>
      </c>
      <c r="K840" s="7">
        <v>0</v>
      </c>
      <c r="P840">
        <v>0</v>
      </c>
      <c r="Q840">
        <v>0.97074872730992479</v>
      </c>
      <c r="R840">
        <v>0</v>
      </c>
    </row>
    <row r="841" spans="1:19">
      <c r="A841" s="7"/>
      <c r="B841" s="8">
        <v>1.0097006711160386</v>
      </c>
      <c r="C841" s="8">
        <v>0.26302086313966178</v>
      </c>
      <c r="D841" s="8">
        <v>-0.76545275918666766</v>
      </c>
      <c r="E841" s="7">
        <v>0</v>
      </c>
      <c r="F841" s="8">
        <v>0</v>
      </c>
      <c r="G841" s="7">
        <v>-1.4990516053215155E-2</v>
      </c>
      <c r="H841" s="8">
        <v>0</v>
      </c>
      <c r="I841" s="8">
        <v>0</v>
      </c>
      <c r="J841" s="33">
        <v>0</v>
      </c>
      <c r="K841" s="33">
        <v>0</v>
      </c>
      <c r="P841">
        <v>0</v>
      </c>
      <c r="Q841">
        <v>0</v>
      </c>
      <c r="R841">
        <v>0.36946580134719892</v>
      </c>
    </row>
    <row r="842" spans="1:19">
      <c r="A842" s="7"/>
      <c r="B842" s="8"/>
      <c r="C842" s="8"/>
      <c r="D842" s="8"/>
      <c r="E842" s="7"/>
      <c r="F842" s="7"/>
      <c r="G842" s="7"/>
      <c r="H842" s="7"/>
      <c r="I842" s="7"/>
      <c r="J842" s="7"/>
      <c r="K842" s="7"/>
    </row>
    <row r="843" spans="1:19">
      <c r="A843" s="7"/>
      <c r="B843" s="8">
        <v>-0.58367185674448252</v>
      </c>
      <c r="C843" s="8">
        <v>-2.0841504898711007</v>
      </c>
      <c r="D843" s="8">
        <v>-0.75171422039661484</v>
      </c>
      <c r="E843" s="7">
        <v>-1.4990516053215155E-2</v>
      </c>
      <c r="F843" s="8">
        <v>0</v>
      </c>
      <c r="G843" s="8">
        <v>0</v>
      </c>
      <c r="H843" s="33">
        <v>0</v>
      </c>
      <c r="I843" s="7">
        <v>0</v>
      </c>
      <c r="J843" s="7">
        <v>0</v>
      </c>
      <c r="K843" s="7">
        <v>0</v>
      </c>
      <c r="M843">
        <f t="shared" ref="M843" si="627">MDETERM(B843:D845)</f>
        <v>-3.6911183677832362</v>
      </c>
      <c r="N843">
        <f t="shared" ref="N843" si="628">MDETERM(E843:G845)</f>
        <v>-3.3686023826032914E-6</v>
      </c>
      <c r="P843">
        <f t="array" ref="P843:R845">SVDD(B843:D845)</f>
        <v>3.8828255485993144</v>
      </c>
      <c r="Q843">
        <v>0</v>
      </c>
      <c r="R843">
        <v>0</v>
      </c>
      <c r="S843" s="3">
        <f t="shared" ref="S843" si="629">MAX(P843,Q844,R845)/MIN(P843,Q844,R845)</f>
        <v>6.2959412294601558</v>
      </c>
    </row>
    <row r="844" spans="1:19">
      <c r="A844" s="7" t="s">
        <v>226</v>
      </c>
      <c r="B844" s="8">
        <v>-1.8375474863113905</v>
      </c>
      <c r="C844" s="8">
        <v>-2.1167426559988707</v>
      </c>
      <c r="D844" s="8">
        <v>-1.2367606559382516E-2</v>
      </c>
      <c r="E844" s="7">
        <v>0</v>
      </c>
      <c r="F844" s="7">
        <v>-1.4990516053215155E-2</v>
      </c>
      <c r="G844" s="8">
        <v>0</v>
      </c>
      <c r="H844" s="8">
        <v>0</v>
      </c>
      <c r="I844" s="33">
        <v>0</v>
      </c>
      <c r="J844" s="7">
        <v>0</v>
      </c>
      <c r="K844" s="7">
        <v>0</v>
      </c>
      <c r="P844">
        <v>0</v>
      </c>
      <c r="Q844">
        <v>1.5414267117777389</v>
      </c>
      <c r="R844">
        <v>0</v>
      </c>
    </row>
    <row r="845" spans="1:19">
      <c r="A845" s="7"/>
      <c r="B845" s="8">
        <v>0.45824053226673911</v>
      </c>
      <c r="C845" s="8">
        <v>-2.124969022302313</v>
      </c>
      <c r="D845" s="8">
        <v>2.076961144994538E-2</v>
      </c>
      <c r="E845" s="7">
        <v>0</v>
      </c>
      <c r="F845" s="8">
        <v>0</v>
      </c>
      <c r="G845" s="7">
        <v>-1.4990516053215155E-2</v>
      </c>
      <c r="H845" s="8">
        <v>0</v>
      </c>
      <c r="I845" s="8">
        <v>0</v>
      </c>
      <c r="J845" s="33">
        <v>0</v>
      </c>
      <c r="K845" s="33">
        <v>0</v>
      </c>
      <c r="P845">
        <v>0</v>
      </c>
      <c r="Q845">
        <v>0</v>
      </c>
      <c r="R845">
        <v>0.61671883632437374</v>
      </c>
    </row>
    <row r="846" spans="1:19">
      <c r="A846" s="7"/>
      <c r="B846" s="8"/>
      <c r="C846" s="8"/>
      <c r="D846" s="8"/>
      <c r="E846" s="7"/>
      <c r="F846" s="7"/>
      <c r="G846" s="7"/>
      <c r="H846" s="7"/>
      <c r="I846" s="7"/>
      <c r="J846" s="7"/>
      <c r="K846" s="7"/>
    </row>
    <row r="847" spans="1:19">
      <c r="A847" s="7"/>
      <c r="B847" s="8">
        <v>-0.58367185674448252</v>
      </c>
      <c r="C847" s="8">
        <v>-2.0841504898711007</v>
      </c>
      <c r="D847" s="8">
        <v>-0.75171422039661484</v>
      </c>
      <c r="E847" s="7">
        <v>-1.4990516053215155E-2</v>
      </c>
      <c r="F847" s="8">
        <v>0</v>
      </c>
      <c r="G847" s="8">
        <v>0</v>
      </c>
      <c r="H847" s="33">
        <v>0</v>
      </c>
      <c r="I847" s="7">
        <v>0</v>
      </c>
      <c r="J847" s="7">
        <v>0</v>
      </c>
      <c r="K847" s="7">
        <v>0</v>
      </c>
      <c r="M847">
        <f t="shared" ref="M847" si="630">MDETERM(B847:D849)</f>
        <v>1.448672147584094</v>
      </c>
      <c r="N847">
        <f t="shared" ref="N847" si="631">MDETERM(E847:G849)</f>
        <v>-3.3686023826032914E-6</v>
      </c>
      <c r="P847">
        <f t="array" ref="P847:R849">SVDD(B847:D849)</f>
        <v>4.1179113948983668</v>
      </c>
      <c r="Q847">
        <v>0</v>
      </c>
      <c r="R847">
        <v>0</v>
      </c>
      <c r="S847" s="3">
        <f t="shared" ref="S847" si="632">MAX(P847,Q848,R849)/MIN(P847,Q848,R849)</f>
        <v>14.956503161585864</v>
      </c>
    </row>
    <row r="848" spans="1:19">
      <c r="A848" s="7" t="s">
        <v>227</v>
      </c>
      <c r="B848" s="8">
        <v>-1.8375474863113905</v>
      </c>
      <c r="C848" s="8">
        <v>-2.1167426559988707</v>
      </c>
      <c r="D848" s="8">
        <v>-1.2367606559382516E-2</v>
      </c>
      <c r="E848" s="7">
        <v>0</v>
      </c>
      <c r="F848" s="7">
        <v>-1.4990516053215155E-2</v>
      </c>
      <c r="G848" s="8">
        <v>0</v>
      </c>
      <c r="H848" s="8">
        <v>0</v>
      </c>
      <c r="I848" s="33">
        <v>0</v>
      </c>
      <c r="J848" s="7">
        <v>0</v>
      </c>
      <c r="K848" s="7">
        <v>0</v>
      </c>
      <c r="P848">
        <v>0</v>
      </c>
      <c r="Q848">
        <v>1.277750860669516</v>
      </c>
      <c r="R848">
        <v>0</v>
      </c>
    </row>
    <row r="849" spans="1:19">
      <c r="A849" s="7"/>
      <c r="B849" s="8">
        <v>-1.9865190328797109</v>
      </c>
      <c r="C849" s="8">
        <v>-1.2694850305255347</v>
      </c>
      <c r="D849" s="8">
        <v>-3.2127045366234341E-2</v>
      </c>
      <c r="E849" s="7">
        <v>0</v>
      </c>
      <c r="F849" s="8">
        <v>0</v>
      </c>
      <c r="G849" s="7">
        <v>-1.4990516053215155E-2</v>
      </c>
      <c r="H849" s="8">
        <v>0</v>
      </c>
      <c r="I849" s="8">
        <v>0</v>
      </c>
      <c r="J849" s="33">
        <v>0</v>
      </c>
      <c r="K849" s="33">
        <v>0</v>
      </c>
      <c r="P849">
        <v>0</v>
      </c>
      <c r="Q849">
        <v>0</v>
      </c>
      <c r="R849">
        <v>0.27532581315362337</v>
      </c>
    </row>
    <row r="850" spans="1:19">
      <c r="A850" s="7"/>
      <c r="B850" s="8"/>
      <c r="C850" s="8"/>
      <c r="D850" s="8"/>
      <c r="E850" s="7"/>
      <c r="F850" s="7"/>
      <c r="G850" s="7"/>
      <c r="H850" s="7"/>
      <c r="I850" s="7"/>
      <c r="J850" s="7"/>
      <c r="K850" s="7"/>
    </row>
    <row r="851" spans="1:19">
      <c r="A851" s="7"/>
      <c r="B851" s="8">
        <v>-0.58367185674448252</v>
      </c>
      <c r="C851" s="8">
        <v>-2.0841504898711007</v>
      </c>
      <c r="D851" s="8">
        <v>-0.75171422039661484</v>
      </c>
      <c r="E851" s="7">
        <v>-1.4990516053215155E-2</v>
      </c>
      <c r="F851" s="8">
        <v>0</v>
      </c>
      <c r="G851" s="8">
        <v>0</v>
      </c>
      <c r="H851" s="33">
        <v>0</v>
      </c>
      <c r="I851" s="7">
        <v>0</v>
      </c>
      <c r="J851" s="7">
        <v>0</v>
      </c>
      <c r="K851" s="7">
        <v>0</v>
      </c>
      <c r="M851">
        <f t="shared" ref="M851" si="633">MDETERM(B851:D853)</f>
        <v>-2.871744051574181</v>
      </c>
      <c r="N851">
        <f t="shared" ref="N851" si="634">MDETERM(E851:G853)</f>
        <v>-3.3686023826032914E-6</v>
      </c>
      <c r="P851">
        <f t="array" ref="P851:R853">SVDD(B851:D853)</f>
        <v>3.5235650009466695</v>
      </c>
      <c r="Q851">
        <v>0</v>
      </c>
      <c r="R851">
        <v>0</v>
      </c>
      <c r="S851" s="3">
        <f t="shared" ref="S851" si="635">MAX(P851,Q852,R853)/MIN(P851,Q852,R853)</f>
        <v>6.4314927648957179</v>
      </c>
    </row>
    <row r="852" spans="1:19">
      <c r="A852" s="7" t="s">
        <v>228</v>
      </c>
      <c r="B852" s="8">
        <v>-1.8375474863113905</v>
      </c>
      <c r="C852" s="8">
        <v>-2.1167426559988707</v>
      </c>
      <c r="D852" s="8">
        <v>-1.2367606559382516E-2</v>
      </c>
      <c r="E852" s="7">
        <v>0</v>
      </c>
      <c r="F852" s="7">
        <v>-1.4990516053215155E-2</v>
      </c>
      <c r="G852" s="8">
        <v>0</v>
      </c>
      <c r="H852" s="8">
        <v>0</v>
      </c>
      <c r="I852" s="33">
        <v>0</v>
      </c>
      <c r="J852" s="7">
        <v>0</v>
      </c>
      <c r="K852" s="7">
        <v>0</v>
      </c>
      <c r="P852">
        <v>0</v>
      </c>
      <c r="Q852">
        <v>1.4876231923132439</v>
      </c>
      <c r="R852">
        <v>0</v>
      </c>
    </row>
    <row r="853" spans="1:19">
      <c r="A853" s="7"/>
      <c r="B853" s="8">
        <v>0.85843073718374274</v>
      </c>
      <c r="C853" s="8">
        <v>-1.040962775001312</v>
      </c>
      <c r="D853" s="8">
        <v>3.7610117674176324E-2</v>
      </c>
      <c r="E853" s="7">
        <v>0</v>
      </c>
      <c r="F853" s="8">
        <v>0</v>
      </c>
      <c r="G853" s="7">
        <v>-1.4990516053215155E-2</v>
      </c>
      <c r="H853" s="8">
        <v>0</v>
      </c>
      <c r="I853" s="8">
        <v>0</v>
      </c>
      <c r="J853" s="33">
        <v>0</v>
      </c>
      <c r="K853" s="33">
        <v>0</v>
      </c>
      <c r="P853">
        <v>0</v>
      </c>
      <c r="Q853">
        <v>0</v>
      </c>
      <c r="R853">
        <v>0.54786114666550534</v>
      </c>
    </row>
    <row r="854" spans="1:19">
      <c r="A854" s="7"/>
      <c r="B854" s="8"/>
      <c r="C854" s="8"/>
      <c r="D854" s="8"/>
      <c r="E854" s="7"/>
      <c r="F854" s="7"/>
      <c r="G854" s="7"/>
      <c r="H854" s="7"/>
      <c r="I854" s="7"/>
      <c r="J854" s="7"/>
      <c r="K854" s="7"/>
    </row>
    <row r="855" spans="1:19">
      <c r="A855" s="7"/>
      <c r="B855" s="8">
        <v>-0.58367185674448252</v>
      </c>
      <c r="C855" s="8">
        <v>-2.0841504898711007</v>
      </c>
      <c r="D855" s="8">
        <v>-0.75171422039661484</v>
      </c>
      <c r="E855" s="7">
        <v>-1.4990516053215155E-2</v>
      </c>
      <c r="F855" s="8">
        <v>0</v>
      </c>
      <c r="G855" s="8">
        <v>0</v>
      </c>
      <c r="H855" s="33">
        <v>0</v>
      </c>
      <c r="I855" s="7">
        <v>0</v>
      </c>
      <c r="J855" s="7">
        <v>0</v>
      </c>
      <c r="K855" s="7">
        <v>0</v>
      </c>
      <c r="M855">
        <f t="shared" ref="M855" si="636">MDETERM(B855:D857)</f>
        <v>2.3602037588841793</v>
      </c>
      <c r="N855">
        <f t="shared" ref="N855" si="637">MDETERM(E855:G857)</f>
        <v>-3.3686023826032914E-6</v>
      </c>
      <c r="P855">
        <f t="array" ref="P855:R857">SVDD(B855:D857)</f>
        <v>3.6025913242238974</v>
      </c>
      <c r="Q855">
        <v>0</v>
      </c>
      <c r="R855">
        <v>0</v>
      </c>
      <c r="S855" s="3">
        <f t="shared" ref="S855" si="638">MAX(P855,Q856,R857)/MIN(P855,Q856,R857)</f>
        <v>8.8485901024953062</v>
      </c>
    </row>
    <row r="856" spans="1:19">
      <c r="A856" s="7" t="s">
        <v>229</v>
      </c>
      <c r="B856" s="8">
        <v>-1.8375474863113905</v>
      </c>
      <c r="C856" s="8">
        <v>-2.1167426559988707</v>
      </c>
      <c r="D856" s="8">
        <v>-1.2367606559382516E-2</v>
      </c>
      <c r="E856" s="7">
        <v>0</v>
      </c>
      <c r="F856" s="7">
        <v>-1.4990516053215155E-2</v>
      </c>
      <c r="G856" s="8">
        <v>0</v>
      </c>
      <c r="H856" s="8">
        <v>0</v>
      </c>
      <c r="I856" s="33">
        <v>0</v>
      </c>
      <c r="J856" s="7">
        <v>0</v>
      </c>
      <c r="K856" s="7">
        <v>0</v>
      </c>
      <c r="P856">
        <v>0</v>
      </c>
      <c r="Q856">
        <v>1.6091390623455886</v>
      </c>
      <c r="R856">
        <v>0</v>
      </c>
    </row>
    <row r="857" spans="1:19">
      <c r="A857" s="7"/>
      <c r="B857" s="8">
        <v>-1.6188303733889171</v>
      </c>
      <c r="C857" s="8">
        <v>1.9594494251009342E-2</v>
      </c>
      <c r="D857" s="8">
        <v>7.7422792294721043E-2</v>
      </c>
      <c r="E857" s="7">
        <v>0</v>
      </c>
      <c r="F857" s="8">
        <v>0</v>
      </c>
      <c r="G857" s="7">
        <v>-1.4990516053215155E-2</v>
      </c>
      <c r="H857" s="8">
        <v>0</v>
      </c>
      <c r="I857" s="8">
        <v>0</v>
      </c>
      <c r="J857" s="33">
        <v>0</v>
      </c>
      <c r="K857" s="33">
        <v>0</v>
      </c>
      <c r="P857">
        <v>0</v>
      </c>
      <c r="Q857">
        <v>0</v>
      </c>
      <c r="R857">
        <v>0.40713732724583601</v>
      </c>
    </row>
    <row r="858" spans="1:19">
      <c r="A858" s="7"/>
      <c r="B858" s="8"/>
      <c r="C858" s="8"/>
      <c r="D858" s="8"/>
      <c r="E858" s="7"/>
      <c r="F858" s="7"/>
      <c r="G858" s="7"/>
      <c r="H858" s="7"/>
      <c r="I858" s="7"/>
      <c r="J858" s="7"/>
      <c r="K858" s="7"/>
    </row>
    <row r="859" spans="1:19">
      <c r="A859" s="7"/>
      <c r="B859" s="8">
        <v>-0.58367185674448252</v>
      </c>
      <c r="C859" s="8">
        <v>-2.0841504898711007</v>
      </c>
      <c r="D859" s="8">
        <v>-0.75171422039661484</v>
      </c>
      <c r="E859" s="7">
        <v>-1.4990516053215155E-2</v>
      </c>
      <c r="F859" s="8">
        <v>0</v>
      </c>
      <c r="G859" s="8">
        <v>0</v>
      </c>
      <c r="H859" s="33">
        <v>0</v>
      </c>
      <c r="I859" s="7">
        <v>0</v>
      </c>
      <c r="J859" s="7">
        <v>0</v>
      </c>
      <c r="K859" s="7">
        <v>0</v>
      </c>
      <c r="M859">
        <f t="shared" ref="M859" si="639">MDETERM(B859:D861)</f>
        <v>3.1267934701565778</v>
      </c>
      <c r="N859">
        <f t="shared" ref="N859" si="640">MDETERM(E859:G861)</f>
        <v>-3.3686023826032914E-6</v>
      </c>
      <c r="P859">
        <f t="array" ref="P859:R861">SVDD(B859:D861)</f>
        <v>3.4971972415503321</v>
      </c>
      <c r="Q859">
        <v>0</v>
      </c>
      <c r="R859">
        <v>0</v>
      </c>
      <c r="S859" s="3">
        <f t="shared" ref="S859" si="641">MAX(P859,Q860,R861)/MIN(P859,Q860,R861)</f>
        <v>3.9236550276169364</v>
      </c>
    </row>
    <row r="860" spans="1:19">
      <c r="A860" s="7" t="s">
        <v>230</v>
      </c>
      <c r="B860" s="8">
        <v>-1.8375474863113905</v>
      </c>
      <c r="C860" s="8">
        <v>-2.1167426559988707</v>
      </c>
      <c r="D860" s="8">
        <v>-1.2367606559382516E-2</v>
      </c>
      <c r="E860" s="7">
        <v>0</v>
      </c>
      <c r="F860" s="7">
        <v>-1.4990516053215155E-2</v>
      </c>
      <c r="G860" s="8">
        <v>0</v>
      </c>
      <c r="H860" s="8">
        <v>0</v>
      </c>
      <c r="I860" s="33">
        <v>0</v>
      </c>
      <c r="J860" s="7">
        <v>0</v>
      </c>
      <c r="K860" s="7">
        <v>0</v>
      </c>
      <c r="P860">
        <v>0</v>
      </c>
      <c r="Q860">
        <v>1.003112768907404</v>
      </c>
      <c r="R860">
        <v>0</v>
      </c>
    </row>
    <row r="861" spans="1:19">
      <c r="A861" s="7"/>
      <c r="B861" s="8">
        <v>-0.60912970227287866</v>
      </c>
      <c r="C861" s="8">
        <v>0.28261535739067112</v>
      </c>
      <c r="D861" s="8">
        <v>-0.68802996689194662</v>
      </c>
      <c r="E861" s="7">
        <v>0</v>
      </c>
      <c r="F861" s="8">
        <v>0</v>
      </c>
      <c r="G861" s="7">
        <v>-1.4990516053215155E-2</v>
      </c>
      <c r="H861" s="8">
        <v>0</v>
      </c>
      <c r="I861" s="8">
        <v>0</v>
      </c>
      <c r="J861" s="33">
        <v>0</v>
      </c>
      <c r="K861" s="33">
        <v>0</v>
      </c>
      <c r="P861">
        <v>0</v>
      </c>
      <c r="Q861">
        <v>0</v>
      </c>
      <c r="R861">
        <v>0.89131109053549573</v>
      </c>
    </row>
    <row r="862" spans="1:19">
      <c r="A862" s="7"/>
      <c r="B862" s="8"/>
      <c r="C862" s="8"/>
      <c r="D862" s="8"/>
      <c r="E862" s="7"/>
      <c r="F862" s="7"/>
      <c r="G862" s="7"/>
      <c r="H862" s="7"/>
      <c r="I862" s="7"/>
      <c r="J862" s="7"/>
      <c r="K862" s="7"/>
    </row>
    <row r="863" spans="1:19">
      <c r="A863" s="7"/>
      <c r="B863" s="8">
        <v>-0.58367185674448252</v>
      </c>
      <c r="C863" s="8">
        <v>-2.0841504898711007</v>
      </c>
      <c r="D863" s="8">
        <v>-0.75171422039661484</v>
      </c>
      <c r="E863" s="7">
        <v>-1.4990516053215155E-2</v>
      </c>
      <c r="F863" s="8">
        <v>0</v>
      </c>
      <c r="G863" s="8">
        <v>0</v>
      </c>
      <c r="H863" s="33">
        <v>0</v>
      </c>
      <c r="I863" s="7">
        <v>0</v>
      </c>
      <c r="J863" s="7">
        <v>0</v>
      </c>
      <c r="K863" s="7">
        <v>0</v>
      </c>
      <c r="M863">
        <f t="shared" ref="M863" si="642">MDETERM(B863:D865)</f>
        <v>3.6105706827739756</v>
      </c>
      <c r="N863">
        <f t="shared" ref="N863" si="643">MDETERM(E863:G865)</f>
        <v>-3.3686023826032914E-6</v>
      </c>
      <c r="P863">
        <f t="array" ref="P863:R865">SVDD(B863:D865)</f>
        <v>3.4342516004219661</v>
      </c>
      <c r="Q863">
        <v>0</v>
      </c>
      <c r="R863">
        <v>0</v>
      </c>
      <c r="S863" s="3">
        <f t="shared" ref="S863" si="644">MAX(P863,Q864,R865)/MIN(P863,Q864,R865)</f>
        <v>6.037916237878159</v>
      </c>
    </row>
    <row r="864" spans="1:19">
      <c r="A864" s="7" t="s">
        <v>231</v>
      </c>
      <c r="B864" s="8">
        <v>0.45824053226673911</v>
      </c>
      <c r="C864" s="8">
        <v>-2.124969022302313</v>
      </c>
      <c r="D864" s="8">
        <v>2.076961144994538E-2</v>
      </c>
      <c r="E864" s="7">
        <v>0</v>
      </c>
      <c r="F864" s="7">
        <v>-1.4990516053215155E-2</v>
      </c>
      <c r="G864" s="8">
        <v>0</v>
      </c>
      <c r="H864" s="8">
        <v>0</v>
      </c>
      <c r="I864" s="33">
        <v>0</v>
      </c>
      <c r="J864" s="7">
        <v>0</v>
      </c>
      <c r="K864" s="7">
        <v>0</v>
      </c>
      <c r="P864">
        <v>0</v>
      </c>
      <c r="Q864">
        <v>1.8484117335321331</v>
      </c>
      <c r="R864">
        <v>0</v>
      </c>
    </row>
    <row r="865" spans="1:19">
      <c r="A865" s="7"/>
      <c r="B865" s="8">
        <v>-1.9865190328797109</v>
      </c>
      <c r="C865" s="8">
        <v>-1.2694850305255347</v>
      </c>
      <c r="D865" s="8">
        <v>-3.2127045366234341E-2</v>
      </c>
      <c r="E865" s="7">
        <v>0</v>
      </c>
      <c r="F865" s="8">
        <v>0</v>
      </c>
      <c r="G865" s="7">
        <v>-1.4990516053215155E-2</v>
      </c>
      <c r="H865" s="8">
        <v>0</v>
      </c>
      <c r="I865" s="8">
        <v>0</v>
      </c>
      <c r="J865" s="33">
        <v>0</v>
      </c>
      <c r="K865" s="33">
        <v>0</v>
      </c>
      <c r="P865">
        <v>0</v>
      </c>
      <c r="Q865">
        <v>0</v>
      </c>
      <c r="R865">
        <v>0.5687809279097964</v>
      </c>
    </row>
    <row r="866" spans="1:19">
      <c r="A866" s="7"/>
      <c r="B866" s="8"/>
      <c r="C866" s="8"/>
      <c r="D866" s="8"/>
      <c r="E866" s="7"/>
      <c r="F866" s="7"/>
      <c r="G866" s="7"/>
      <c r="H866" s="7"/>
      <c r="I866" s="7"/>
      <c r="J866" s="7"/>
      <c r="K866" s="7"/>
    </row>
    <row r="867" spans="1:19">
      <c r="A867" s="7"/>
      <c r="B867" s="8">
        <v>-0.58367185674448252</v>
      </c>
      <c r="C867" s="8">
        <v>-2.0841504898711007</v>
      </c>
      <c r="D867" s="8">
        <v>-0.75171422039661484</v>
      </c>
      <c r="E867" s="7">
        <v>-1.4990516053215155E-2</v>
      </c>
      <c r="F867" s="8">
        <v>0</v>
      </c>
      <c r="G867" s="8">
        <v>0</v>
      </c>
      <c r="H867" s="33">
        <v>0</v>
      </c>
      <c r="I867" s="7">
        <v>0</v>
      </c>
      <c r="J867" s="7">
        <v>0</v>
      </c>
      <c r="K867" s="7">
        <v>0</v>
      </c>
      <c r="M867">
        <f t="shared" ref="M867" si="645">MDETERM(B867:D869)</f>
        <v>-0.97986641579425182</v>
      </c>
      <c r="N867">
        <f t="shared" ref="N867" si="646">MDETERM(E867:G869)</f>
        <v>-3.3686023826032914E-6</v>
      </c>
      <c r="P867">
        <f t="array" ref="P867:R869">SVDD(B867:D869)</f>
        <v>3.1950623203761879</v>
      </c>
      <c r="Q867">
        <v>0</v>
      </c>
      <c r="R867">
        <v>0</v>
      </c>
      <c r="S867" s="3">
        <f t="shared" ref="S867" si="647">MAX(P867,Q868,R869)/MIN(P867,Q868,R869)</f>
        <v>12.875006476495159</v>
      </c>
    </row>
    <row r="868" spans="1:19">
      <c r="A868" s="7" t="s">
        <v>232</v>
      </c>
      <c r="B868" s="8">
        <v>0.45824053226673911</v>
      </c>
      <c r="C868" s="8">
        <v>-2.124969022302313</v>
      </c>
      <c r="D868" s="8">
        <v>2.076961144994538E-2</v>
      </c>
      <c r="E868" s="7">
        <v>0</v>
      </c>
      <c r="F868" s="7">
        <v>-1.4990516053215155E-2</v>
      </c>
      <c r="G868" s="8">
        <v>0</v>
      </c>
      <c r="H868" s="8">
        <v>0</v>
      </c>
      <c r="I868" s="33">
        <v>0</v>
      </c>
      <c r="J868" s="7">
        <v>0</v>
      </c>
      <c r="K868" s="7">
        <v>0</v>
      </c>
      <c r="P868">
        <v>0</v>
      </c>
      <c r="Q868">
        <v>1.2358212589611564</v>
      </c>
      <c r="R868">
        <v>0</v>
      </c>
    </row>
    <row r="869" spans="1:19">
      <c r="A869" s="7"/>
      <c r="B869" s="8">
        <v>0.85843073718374274</v>
      </c>
      <c r="C869" s="8">
        <v>-1.040962775001312</v>
      </c>
      <c r="D869" s="8">
        <v>3.7610117674176324E-2</v>
      </c>
      <c r="E869" s="7">
        <v>0</v>
      </c>
      <c r="F869" s="8">
        <v>0</v>
      </c>
      <c r="G869" s="7">
        <v>-1.4990516053215155E-2</v>
      </c>
      <c r="H869" s="8">
        <v>0</v>
      </c>
      <c r="I869" s="8">
        <v>0</v>
      </c>
      <c r="J869" s="33">
        <v>0</v>
      </c>
      <c r="K869" s="33">
        <v>0</v>
      </c>
      <c r="P869">
        <v>0</v>
      </c>
      <c r="Q869">
        <v>0</v>
      </c>
      <c r="R869">
        <v>0.24816005539175073</v>
      </c>
    </row>
    <row r="870" spans="1:19">
      <c r="A870" s="7"/>
      <c r="B870" s="8"/>
      <c r="C870" s="8"/>
      <c r="D870" s="8"/>
      <c r="E870" s="7"/>
      <c r="F870" s="7"/>
      <c r="G870" s="7"/>
      <c r="H870" s="7"/>
      <c r="I870" s="7"/>
      <c r="J870" s="7"/>
      <c r="K870" s="7"/>
    </row>
    <row r="871" spans="1:19">
      <c r="A871" s="7"/>
      <c r="B871" s="8">
        <v>-0.58367185674448252</v>
      </c>
      <c r="C871" s="8">
        <v>-2.0841504898711007</v>
      </c>
      <c r="D871" s="8">
        <v>-0.75171422039661484</v>
      </c>
      <c r="E871" s="7">
        <v>-1.4990516053215155E-2</v>
      </c>
      <c r="F871" s="8">
        <v>0</v>
      </c>
      <c r="G871" s="8">
        <v>0</v>
      </c>
      <c r="H871" s="33">
        <v>0</v>
      </c>
      <c r="I871" s="7">
        <v>0</v>
      </c>
      <c r="J871" s="7">
        <v>0</v>
      </c>
      <c r="K871" s="7">
        <v>0</v>
      </c>
      <c r="M871">
        <f t="shared" ref="M871" si="648">MDETERM(B871:D873)</f>
        <v>2.8194006933750484</v>
      </c>
      <c r="N871">
        <f t="shared" ref="N871" si="649">MDETERM(E871:G873)</f>
        <v>-3.3686023826032914E-6</v>
      </c>
      <c r="P871">
        <f t="array" ref="P871:R873">SVDD(B871:D873)</f>
        <v>3.023681641462963</v>
      </c>
      <c r="Q871">
        <v>0</v>
      </c>
      <c r="R871">
        <v>0</v>
      </c>
      <c r="S871" s="3">
        <f t="shared" ref="S871" si="650">MAX(P871,Q872,R873)/MIN(P871,Q872,R873)</f>
        <v>5.7889076511012911</v>
      </c>
    </row>
    <row r="872" spans="1:19">
      <c r="A872" s="7" t="s">
        <v>233</v>
      </c>
      <c r="B872" s="8">
        <v>0.45824053226673911</v>
      </c>
      <c r="C872" s="8">
        <v>-2.124969022302313</v>
      </c>
      <c r="D872" s="8">
        <v>2.076961144994538E-2</v>
      </c>
      <c r="E872" s="7">
        <v>0</v>
      </c>
      <c r="F872" s="7">
        <v>-1.4990516053215155E-2</v>
      </c>
      <c r="G872" s="8">
        <v>0</v>
      </c>
      <c r="H872" s="8">
        <v>0</v>
      </c>
      <c r="I872" s="33">
        <v>0</v>
      </c>
      <c r="J872" s="7">
        <v>0</v>
      </c>
      <c r="K872" s="7">
        <v>0</v>
      </c>
      <c r="P872">
        <v>0</v>
      </c>
      <c r="Q872">
        <v>1.7851770603991368</v>
      </c>
      <c r="R872">
        <v>0</v>
      </c>
    </row>
    <row r="873" spans="1:19">
      <c r="A873" s="7"/>
      <c r="B873" s="8">
        <v>-1.6188303733889171</v>
      </c>
      <c r="C873" s="8">
        <v>1.9594494251009342E-2</v>
      </c>
      <c r="D873" s="8">
        <v>7.7422792294721043E-2</v>
      </c>
      <c r="E873" s="7">
        <v>0</v>
      </c>
      <c r="F873" s="8">
        <v>0</v>
      </c>
      <c r="G873" s="7">
        <v>-1.4990516053215155E-2</v>
      </c>
      <c r="H873" s="8">
        <v>0</v>
      </c>
      <c r="I873" s="8">
        <v>0</v>
      </c>
      <c r="J873" s="33">
        <v>0</v>
      </c>
      <c r="K873" s="33">
        <v>0</v>
      </c>
      <c r="P873">
        <v>0</v>
      </c>
      <c r="Q873">
        <v>0</v>
      </c>
      <c r="R873">
        <v>0.52232335074264535</v>
      </c>
    </row>
    <row r="874" spans="1:19">
      <c r="A874" s="7"/>
      <c r="B874" s="8"/>
      <c r="C874" s="8"/>
      <c r="D874" s="8"/>
      <c r="E874" s="7"/>
      <c r="F874" s="7"/>
      <c r="G874" s="7"/>
      <c r="H874" s="7"/>
      <c r="I874" s="7"/>
      <c r="J874" s="7"/>
      <c r="K874" s="7"/>
    </row>
    <row r="875" spans="1:19">
      <c r="A875" s="7"/>
      <c r="B875" s="8">
        <v>-0.58367185674448252</v>
      </c>
      <c r="C875" s="8">
        <v>-2.0841504898711007</v>
      </c>
      <c r="D875" s="8">
        <v>-0.75171422039661484</v>
      </c>
      <c r="E875" s="7">
        <v>-1.4990516053215155E-2</v>
      </c>
      <c r="F875" s="8">
        <v>0</v>
      </c>
      <c r="G875" s="8">
        <v>0</v>
      </c>
      <c r="H875" s="33">
        <v>0</v>
      </c>
      <c r="I875" s="7">
        <v>0</v>
      </c>
      <c r="J875" s="7">
        <v>0</v>
      </c>
      <c r="K875" s="7">
        <v>0</v>
      </c>
      <c r="M875">
        <f t="shared" ref="M875" si="651">MDETERM(B875:D877)</f>
        <v>-0.60500341153625625</v>
      </c>
      <c r="N875">
        <f t="shared" ref="N875" si="652">MDETERM(E875:G877)</f>
        <v>-3.3686023826032914E-6</v>
      </c>
      <c r="P875">
        <f t="array" ref="P875:R877">SVDD(B875:D877)</f>
        <v>3.0268353239664156</v>
      </c>
      <c r="Q875">
        <v>0</v>
      </c>
      <c r="R875">
        <v>0</v>
      </c>
      <c r="S875" s="3">
        <f t="shared" ref="S875" si="653">MAX(P875,Q876,R877)/MIN(P875,Q876,R877)</f>
        <v>19.829028382126939</v>
      </c>
    </row>
    <row r="876" spans="1:19">
      <c r="A876" s="7" t="s">
        <v>234</v>
      </c>
      <c r="B876" s="8">
        <v>0.45824053226673911</v>
      </c>
      <c r="C876" s="8">
        <v>-2.124969022302313</v>
      </c>
      <c r="D876" s="8">
        <v>2.076961144994538E-2</v>
      </c>
      <c r="E876" s="7">
        <v>0</v>
      </c>
      <c r="F876" s="7">
        <v>-1.4990516053215155E-2</v>
      </c>
      <c r="G876" s="8">
        <v>0</v>
      </c>
      <c r="H876" s="8">
        <v>0</v>
      </c>
      <c r="I876" s="33">
        <v>0</v>
      </c>
      <c r="J876" s="7">
        <v>0</v>
      </c>
      <c r="K876" s="7">
        <v>0</v>
      </c>
      <c r="P876">
        <v>0</v>
      </c>
      <c r="Q876">
        <v>1.309428142622227</v>
      </c>
      <c r="R876">
        <v>0</v>
      </c>
    </row>
    <row r="877" spans="1:19">
      <c r="A877" s="7"/>
      <c r="B877" s="8">
        <v>-0.60912970227287866</v>
      </c>
      <c r="C877" s="8">
        <v>0.28261535739067112</v>
      </c>
      <c r="D877" s="8">
        <v>-0.68802996689194662</v>
      </c>
      <c r="E877" s="7">
        <v>0</v>
      </c>
      <c r="F877" s="8">
        <v>0</v>
      </c>
      <c r="G877" s="7">
        <v>-1.4990516053215155E-2</v>
      </c>
      <c r="H877" s="8">
        <v>0</v>
      </c>
      <c r="I877" s="8">
        <v>0</v>
      </c>
      <c r="J877" s="33">
        <v>0</v>
      </c>
      <c r="K877" s="33">
        <v>0</v>
      </c>
      <c r="P877">
        <v>0</v>
      </c>
      <c r="Q877">
        <v>0</v>
      </c>
      <c r="R877">
        <v>0.15264667867915702</v>
      </c>
    </row>
    <row r="878" spans="1:19">
      <c r="A878" s="7"/>
      <c r="B878" s="8"/>
      <c r="C878" s="8"/>
      <c r="D878" s="8"/>
      <c r="E878" s="7"/>
      <c r="F878" s="7"/>
      <c r="G878" s="7"/>
      <c r="H878" s="7"/>
      <c r="I878" s="7"/>
      <c r="J878" s="7"/>
      <c r="K878" s="7"/>
    </row>
    <row r="879" spans="1:19">
      <c r="A879" s="7"/>
      <c r="B879" s="8">
        <v>-0.58367185674448252</v>
      </c>
      <c r="C879" s="8">
        <v>-2.0841504898711007</v>
      </c>
      <c r="D879" s="8">
        <v>-0.75171422039661484</v>
      </c>
      <c r="E879" s="7">
        <v>-1.4990516053215155E-2</v>
      </c>
      <c r="F879" s="8">
        <v>0</v>
      </c>
      <c r="G879" s="8">
        <v>0</v>
      </c>
      <c r="H879" s="33">
        <v>0</v>
      </c>
      <c r="I879" s="7">
        <v>0</v>
      </c>
      <c r="J879" s="7">
        <v>0</v>
      </c>
      <c r="K879" s="7">
        <v>0</v>
      </c>
      <c r="M879">
        <f t="shared" ref="M879" si="654">MDETERM(B879:D881)</f>
        <v>-2.4245035797929875</v>
      </c>
      <c r="N879">
        <f t="shared" ref="N879" si="655">MDETERM(E879:G881)</f>
        <v>-3.3686023826032914E-6</v>
      </c>
      <c r="P879">
        <f t="array" ref="P879:R881">SVDD(B879:D881)</f>
        <v>3.0558815092398603</v>
      </c>
      <c r="Q879">
        <v>0</v>
      </c>
      <c r="R879">
        <v>0</v>
      </c>
      <c r="S879" s="3">
        <f t="shared" ref="S879" si="656">MAX(P879,Q880,R881)/MIN(P879,Q880,R881)</f>
        <v>6.768419778847786</v>
      </c>
    </row>
    <row r="880" spans="1:19">
      <c r="A880" s="7" t="s">
        <v>235</v>
      </c>
      <c r="B880" s="8">
        <v>-1.9865190328797109</v>
      </c>
      <c r="C880" s="8">
        <v>-1.2694850305255347</v>
      </c>
      <c r="D880" s="8">
        <v>-3.2127045366234341E-2</v>
      </c>
      <c r="E880" s="7">
        <v>0</v>
      </c>
      <c r="F880" s="7">
        <v>-1.4990516053215155E-2</v>
      </c>
      <c r="G880" s="8">
        <v>0</v>
      </c>
      <c r="H880" s="8">
        <v>0</v>
      </c>
      <c r="I880" s="33">
        <v>0</v>
      </c>
      <c r="J880" s="7">
        <v>0</v>
      </c>
      <c r="K880" s="7">
        <v>0</v>
      </c>
      <c r="P880">
        <v>0</v>
      </c>
      <c r="Q880">
        <v>1.7572643333172846</v>
      </c>
      <c r="R880">
        <v>0</v>
      </c>
    </row>
    <row r="881" spans="1:19">
      <c r="A881" s="7"/>
      <c r="B881" s="8">
        <v>0.85843073718374274</v>
      </c>
      <c r="C881" s="8">
        <v>-1.040962775001312</v>
      </c>
      <c r="D881" s="8">
        <v>3.7610117674176324E-2</v>
      </c>
      <c r="E881" s="7">
        <v>0</v>
      </c>
      <c r="F881" s="8">
        <v>0</v>
      </c>
      <c r="G881" s="7">
        <v>-1.4990516053215155E-2</v>
      </c>
      <c r="H881" s="8">
        <v>0</v>
      </c>
      <c r="I881" s="8">
        <v>0</v>
      </c>
      <c r="J881" s="33">
        <v>0</v>
      </c>
      <c r="K881" s="33">
        <v>0</v>
      </c>
      <c r="P881">
        <v>0</v>
      </c>
      <c r="Q881">
        <v>0</v>
      </c>
      <c r="R881">
        <v>0.45149113221226284</v>
      </c>
    </row>
    <row r="882" spans="1:19">
      <c r="A882" s="7"/>
      <c r="B882" s="8"/>
      <c r="C882" s="8"/>
      <c r="D882" s="8"/>
      <c r="E882" s="7"/>
      <c r="F882" s="7"/>
      <c r="G882" s="7"/>
      <c r="H882" s="7"/>
      <c r="I882" s="7"/>
      <c r="J882" s="7"/>
      <c r="K882" s="7"/>
    </row>
    <row r="883" spans="1:19">
      <c r="A883" s="7"/>
      <c r="B883" s="8">
        <v>-0.58367185674448252</v>
      </c>
      <c r="C883" s="8">
        <v>-2.0841504898711007</v>
      </c>
      <c r="D883" s="8">
        <v>-0.75171422039661484</v>
      </c>
      <c r="E883" s="7">
        <v>-1.4990516053215155E-2</v>
      </c>
      <c r="F883" s="8">
        <v>0</v>
      </c>
      <c r="G883" s="8">
        <v>0</v>
      </c>
      <c r="H883" s="33">
        <v>0</v>
      </c>
      <c r="I883" s="7">
        <v>0</v>
      </c>
      <c r="J883" s="7">
        <v>0</v>
      </c>
      <c r="K883" s="7">
        <v>0</v>
      </c>
      <c r="M883">
        <f t="shared" ref="M883" si="657">MDETERM(B883:D885)</f>
        <v>1.2021546853002527</v>
      </c>
      <c r="N883">
        <f t="shared" ref="N883" si="658">MDETERM(E883:G885)</f>
        <v>-3.3686023826032914E-6</v>
      </c>
      <c r="P883">
        <f t="array" ref="P883:R885">SVDD(B883:D885)</f>
        <v>3.2180909104056896</v>
      </c>
      <c r="Q883">
        <v>0</v>
      </c>
      <c r="R883">
        <v>0</v>
      </c>
      <c r="S883" s="3">
        <f t="shared" ref="S883" si="659">MAX(P883,Q884,R885)/MIN(P883,Q884,R885)</f>
        <v>15.003266209049313</v>
      </c>
    </row>
    <row r="884" spans="1:19">
      <c r="A884" s="7" t="s">
        <v>236</v>
      </c>
      <c r="B884" s="8">
        <v>-1.9865190328797109</v>
      </c>
      <c r="C884" s="8">
        <v>-1.2694850305255347</v>
      </c>
      <c r="D884" s="8">
        <v>-3.2127045366234341E-2</v>
      </c>
      <c r="E884" s="7">
        <v>0</v>
      </c>
      <c r="F884" s="7">
        <v>-1.4990516053215155E-2</v>
      </c>
      <c r="G884" s="8">
        <v>0</v>
      </c>
      <c r="H884" s="8">
        <v>0</v>
      </c>
      <c r="I884" s="33">
        <v>0</v>
      </c>
      <c r="J884" s="7">
        <v>0</v>
      </c>
      <c r="K884" s="7">
        <v>0</v>
      </c>
      <c r="P884">
        <v>0</v>
      </c>
      <c r="Q884">
        <v>1.7416045524971555</v>
      </c>
      <c r="R884">
        <v>0</v>
      </c>
    </row>
    <row r="885" spans="1:19">
      <c r="A885" s="7"/>
      <c r="B885" s="8">
        <v>-1.6188303733889171</v>
      </c>
      <c r="C885" s="8">
        <v>1.9594494251009342E-2</v>
      </c>
      <c r="D885" s="8">
        <v>7.7422792294721043E-2</v>
      </c>
      <c r="E885" s="7">
        <v>0</v>
      </c>
      <c r="F885" s="8">
        <v>0</v>
      </c>
      <c r="G885" s="7">
        <v>-1.4990516053215155E-2</v>
      </c>
      <c r="H885" s="8">
        <v>0</v>
      </c>
      <c r="I885" s="8">
        <v>0</v>
      </c>
      <c r="J885" s="33">
        <v>0</v>
      </c>
      <c r="K885" s="33">
        <v>0</v>
      </c>
      <c r="P885">
        <v>0</v>
      </c>
      <c r="Q885">
        <v>0</v>
      </c>
      <c r="R885">
        <v>0.21449268882962819</v>
      </c>
    </row>
    <row r="886" spans="1:19">
      <c r="A886" s="7"/>
      <c r="B886" s="8"/>
      <c r="C886" s="8"/>
      <c r="D886" s="8"/>
      <c r="E886" s="7"/>
      <c r="F886" s="7"/>
      <c r="G886" s="7"/>
      <c r="H886" s="7"/>
      <c r="I886" s="7"/>
      <c r="J886" s="7"/>
      <c r="K886" s="7"/>
    </row>
    <row r="887" spans="1:19">
      <c r="A887" s="7"/>
      <c r="B887" s="8">
        <v>-0.58367185674448252</v>
      </c>
      <c r="C887" s="8">
        <v>-2.0841504898711007</v>
      </c>
      <c r="D887" s="8">
        <v>-0.75171422039661484</v>
      </c>
      <c r="E887" s="7">
        <v>-1.4990516053215155E-2</v>
      </c>
      <c r="F887" s="8">
        <v>0</v>
      </c>
      <c r="G887" s="8">
        <v>0</v>
      </c>
      <c r="H887" s="33">
        <v>0</v>
      </c>
      <c r="I887" s="7">
        <v>0</v>
      </c>
      <c r="J887" s="7">
        <v>0</v>
      </c>
      <c r="K887" s="7">
        <v>0</v>
      </c>
      <c r="M887">
        <f t="shared" ref="M887" si="660">MDETERM(B887:D889)</f>
        <v>3.2960092887047807</v>
      </c>
      <c r="N887">
        <f t="shared" ref="N887" si="661">MDETERM(E887:G889)</f>
        <v>-3.3686023826032914E-6</v>
      </c>
      <c r="P887">
        <f t="array" ref="P887:R889">SVDD(B887:D889)</f>
        <v>3.0525848191593834</v>
      </c>
      <c r="Q887">
        <v>0</v>
      </c>
      <c r="R887">
        <v>0</v>
      </c>
      <c r="S887" s="3">
        <f t="shared" ref="S887" si="662">MAX(P887,Q888,R889)/MIN(P887,Q888,R889)</f>
        <v>3.7367318839826384</v>
      </c>
    </row>
    <row r="888" spans="1:19">
      <c r="A888" s="7" t="s">
        <v>237</v>
      </c>
      <c r="B888" s="8">
        <v>-1.9865190328797109</v>
      </c>
      <c r="C888" s="8">
        <v>-1.2694850305255347</v>
      </c>
      <c r="D888" s="8">
        <v>-3.2127045366234341E-2</v>
      </c>
      <c r="E888" s="7">
        <v>0</v>
      </c>
      <c r="F888" s="7">
        <v>-1.4990516053215155E-2</v>
      </c>
      <c r="G888" s="8">
        <v>0</v>
      </c>
      <c r="H888" s="8">
        <v>0</v>
      </c>
      <c r="I888" s="33">
        <v>0</v>
      </c>
      <c r="J888" s="7">
        <v>0</v>
      </c>
      <c r="K888" s="7">
        <v>0</v>
      </c>
      <c r="P888">
        <v>0</v>
      </c>
      <c r="Q888">
        <v>1.3217365035301709</v>
      </c>
      <c r="R888">
        <v>0</v>
      </c>
    </row>
    <row r="889" spans="1:19">
      <c r="A889" s="7"/>
      <c r="B889" s="8">
        <v>-0.60912970227287866</v>
      </c>
      <c r="C889" s="8">
        <v>0.28261535739067112</v>
      </c>
      <c r="D889" s="8">
        <v>-0.68802996689194662</v>
      </c>
      <c r="E889" s="7">
        <v>0</v>
      </c>
      <c r="F889" s="8">
        <v>0</v>
      </c>
      <c r="G889" s="7">
        <v>-1.4990516053215155E-2</v>
      </c>
      <c r="H889" s="8">
        <v>0</v>
      </c>
      <c r="I889" s="8">
        <v>0</v>
      </c>
      <c r="J889" s="33">
        <v>0</v>
      </c>
      <c r="K889" s="33">
        <v>0</v>
      </c>
      <c r="P889">
        <v>0</v>
      </c>
      <c r="Q889">
        <v>0</v>
      </c>
      <c r="R889">
        <v>0.81691299079930624</v>
      </c>
    </row>
    <row r="890" spans="1:19">
      <c r="A890" s="7"/>
      <c r="B890" s="8"/>
      <c r="C890" s="8"/>
      <c r="D890" s="8"/>
      <c r="E890" s="7"/>
      <c r="F890" s="7"/>
      <c r="G890" s="7"/>
      <c r="H890" s="7"/>
      <c r="I890" s="7"/>
      <c r="J890" s="7"/>
      <c r="K890" s="7"/>
    </row>
    <row r="891" spans="1:19">
      <c r="A891" s="7"/>
      <c r="B891" s="8">
        <v>-0.58367185674448252</v>
      </c>
      <c r="C891" s="8">
        <v>-2.0841504898711007</v>
      </c>
      <c r="D891" s="8">
        <v>-0.75171422039661484</v>
      </c>
      <c r="E891" s="7">
        <v>-1.4990516053215155E-2</v>
      </c>
      <c r="F891" s="8">
        <v>0</v>
      </c>
      <c r="G891" s="8">
        <v>0</v>
      </c>
      <c r="H891" s="33">
        <v>0</v>
      </c>
      <c r="I891" s="7">
        <v>0</v>
      </c>
      <c r="J891" s="7">
        <v>0</v>
      </c>
      <c r="K891" s="7">
        <v>0</v>
      </c>
      <c r="M891">
        <f t="shared" ref="M891" si="663">MDETERM(B891:D893)</f>
        <v>1.5669811141590626</v>
      </c>
      <c r="N891">
        <f t="shared" ref="N891" si="664">MDETERM(E891:G893)</f>
        <v>-3.3686023826032914E-6</v>
      </c>
      <c r="P891">
        <f t="array" ref="P891:R893">SVDD(B891:D893)</f>
        <v>2.4356799574378889</v>
      </c>
      <c r="Q891">
        <v>0</v>
      </c>
      <c r="R891">
        <v>0</v>
      </c>
      <c r="S891" s="3">
        <f t="shared" ref="S891" si="665">MAX(P891,Q892,R893)/MIN(P891,Q892,R893)</f>
        <v>7.2355412286088452</v>
      </c>
    </row>
    <row r="892" spans="1:19">
      <c r="A892" s="7" t="s">
        <v>238</v>
      </c>
      <c r="B892" s="8">
        <v>0.85843073718374274</v>
      </c>
      <c r="C892" s="8">
        <v>-1.040962775001312</v>
      </c>
      <c r="D892" s="8">
        <v>3.7610117674176324E-2</v>
      </c>
      <c r="E892" s="7">
        <v>0</v>
      </c>
      <c r="F892" s="7">
        <v>-1.4990516053215155E-2</v>
      </c>
      <c r="G892" s="8">
        <v>0</v>
      </c>
      <c r="H892" s="8">
        <v>0</v>
      </c>
      <c r="I892" s="33">
        <v>0</v>
      </c>
      <c r="J892" s="7">
        <v>0</v>
      </c>
      <c r="K892" s="7">
        <v>0</v>
      </c>
      <c r="P892">
        <v>0</v>
      </c>
      <c r="Q892">
        <v>1.911148086045189</v>
      </c>
      <c r="R892">
        <v>0</v>
      </c>
    </row>
    <row r="893" spans="1:19">
      <c r="A893" s="7"/>
      <c r="B893" s="8">
        <v>-1.6188303733889171</v>
      </c>
      <c r="C893" s="8">
        <v>1.9594494251009342E-2</v>
      </c>
      <c r="D893" s="8">
        <v>7.7422792294721043E-2</v>
      </c>
      <c r="E893" s="7">
        <v>0</v>
      </c>
      <c r="F893" s="8">
        <v>0</v>
      </c>
      <c r="G893" s="7">
        <v>-1.4990516053215155E-2</v>
      </c>
      <c r="H893" s="8">
        <v>0</v>
      </c>
      <c r="I893" s="8">
        <v>0</v>
      </c>
      <c r="J893" s="33">
        <v>0</v>
      </c>
      <c r="K893" s="33">
        <v>0</v>
      </c>
      <c r="P893">
        <v>0</v>
      </c>
      <c r="Q893">
        <v>0</v>
      </c>
      <c r="R893">
        <v>0.33662719629146381</v>
      </c>
    </row>
    <row r="894" spans="1:19">
      <c r="A894" s="7"/>
      <c r="B894" s="8"/>
      <c r="C894" s="8"/>
      <c r="D894" s="8"/>
      <c r="E894" s="7"/>
      <c r="F894" s="7"/>
      <c r="G894" s="7"/>
      <c r="H894" s="7"/>
      <c r="I894" s="7"/>
      <c r="J894" s="7"/>
      <c r="K894" s="7"/>
    </row>
    <row r="895" spans="1:19">
      <c r="A895" s="7"/>
      <c r="B895" s="8">
        <v>-0.58367185674448252</v>
      </c>
      <c r="C895" s="8">
        <v>-2.0841504898711007</v>
      </c>
      <c r="D895" s="8">
        <v>-0.75171422039661484</v>
      </c>
      <c r="E895" s="7">
        <v>-1.4990516053215155E-2</v>
      </c>
      <c r="F895" s="8">
        <v>0</v>
      </c>
      <c r="G895" s="8">
        <v>0</v>
      </c>
      <c r="H895" s="33">
        <v>0</v>
      </c>
      <c r="I895" s="7">
        <v>0</v>
      </c>
      <c r="J895" s="7">
        <v>0</v>
      </c>
      <c r="K895" s="7">
        <v>0</v>
      </c>
      <c r="M895">
        <f t="shared" ref="M895" si="666">MDETERM(B895:D897)</f>
        <v>-1.3007588433626966</v>
      </c>
      <c r="N895">
        <f t="shared" ref="N895" si="667">MDETERM(E895:G897)</f>
        <v>-3.3686023826032914E-6</v>
      </c>
      <c r="P895">
        <f t="array" ref="P895:R897">SVDD(B895:D897)</f>
        <v>2.4307181354751757</v>
      </c>
      <c r="Q895">
        <v>0</v>
      </c>
      <c r="R895">
        <v>0</v>
      </c>
      <c r="S895" s="3">
        <f t="shared" ref="S895" si="668">MAX(P895,Q896,R897)/MIN(P895,Q896,R897)</f>
        <v>6.3260146733038898</v>
      </c>
    </row>
    <row r="896" spans="1:19">
      <c r="A896" s="7" t="s">
        <v>239</v>
      </c>
      <c r="B896" s="8">
        <v>0.85843073718374274</v>
      </c>
      <c r="C896" s="8">
        <v>-1.040962775001312</v>
      </c>
      <c r="D896" s="8">
        <v>3.7610117674176324E-2</v>
      </c>
      <c r="E896" s="7">
        <v>0</v>
      </c>
      <c r="F896" s="7">
        <v>-1.4990516053215155E-2</v>
      </c>
      <c r="G896" s="8">
        <v>0</v>
      </c>
      <c r="H896" s="8">
        <v>0</v>
      </c>
      <c r="I896" s="33">
        <v>0</v>
      </c>
      <c r="J896" s="7">
        <v>0</v>
      </c>
      <c r="K896" s="7">
        <v>0</v>
      </c>
      <c r="P896">
        <v>0</v>
      </c>
      <c r="Q896">
        <v>1.3927006542455453</v>
      </c>
      <c r="R896">
        <v>0</v>
      </c>
    </row>
    <row r="897" spans="1:19">
      <c r="A897" s="7"/>
      <c r="B897" s="8">
        <v>-0.60912970227287866</v>
      </c>
      <c r="C897" s="8">
        <v>0.28261535739067112</v>
      </c>
      <c r="D897" s="8">
        <v>-0.68802996689194662</v>
      </c>
      <c r="E897" s="7">
        <v>0</v>
      </c>
      <c r="F897" s="8">
        <v>0</v>
      </c>
      <c r="G897" s="7">
        <v>-1.4990516053215155E-2</v>
      </c>
      <c r="H897" s="8">
        <v>0</v>
      </c>
      <c r="I897" s="8">
        <v>0</v>
      </c>
      <c r="J897" s="33">
        <v>0</v>
      </c>
      <c r="K897" s="33">
        <v>0</v>
      </c>
      <c r="P897">
        <v>0</v>
      </c>
      <c r="Q897">
        <v>0</v>
      </c>
      <c r="R897">
        <v>0.38424162146397356</v>
      </c>
    </row>
    <row r="898" spans="1:19">
      <c r="A898" s="7"/>
      <c r="B898" s="8"/>
      <c r="C898" s="8"/>
      <c r="D898" s="8"/>
      <c r="E898" s="7"/>
      <c r="F898" s="7"/>
      <c r="G898" s="7"/>
      <c r="H898" s="7"/>
      <c r="I898" s="7"/>
      <c r="J898" s="7"/>
      <c r="K898" s="7"/>
    </row>
    <row r="899" spans="1:19">
      <c r="A899" s="7"/>
      <c r="B899" s="8">
        <v>-0.58367185674448252</v>
      </c>
      <c r="C899" s="8">
        <v>-2.0841504898711007</v>
      </c>
      <c r="D899" s="8">
        <v>-0.75171422039661484</v>
      </c>
      <c r="E899" s="7">
        <v>-1.4990516053215155E-2</v>
      </c>
      <c r="F899" s="8">
        <v>0</v>
      </c>
      <c r="G899" s="8">
        <v>0</v>
      </c>
      <c r="H899" s="33">
        <v>0</v>
      </c>
      <c r="I899" s="7">
        <v>0</v>
      </c>
      <c r="J899" s="7">
        <v>0</v>
      </c>
      <c r="K899" s="7">
        <v>0</v>
      </c>
      <c r="M899">
        <f t="shared" ref="M899" si="669">MDETERM(B899:D901)</f>
        <v>2.7752063150436523</v>
      </c>
      <c r="N899">
        <f t="shared" ref="N899" si="670">MDETERM(E899:G901)</f>
        <v>-3.3686023826032914E-6</v>
      </c>
      <c r="P899">
        <f t="array" ref="P899:R901">SVDD(B899:D901)</f>
        <v>2.3587619461470801</v>
      </c>
      <c r="Q899">
        <v>0</v>
      </c>
      <c r="R899">
        <v>0</v>
      </c>
      <c r="S899" s="3">
        <f t="shared" ref="S899" si="671">MAX(P899,Q900,R901)/MIN(P899,Q900,R901)</f>
        <v>3.3124115126012943</v>
      </c>
    </row>
    <row r="900" spans="1:19">
      <c r="A900" s="7" t="s">
        <v>240</v>
      </c>
      <c r="B900" s="8">
        <v>-1.6188303733889171</v>
      </c>
      <c r="C900" s="8">
        <v>1.9594494251009342E-2</v>
      </c>
      <c r="D900" s="8">
        <v>7.7422792294721043E-2</v>
      </c>
      <c r="E900" s="7">
        <v>0</v>
      </c>
      <c r="F900" s="7">
        <v>-1.4990516053215155E-2</v>
      </c>
      <c r="G900" s="8">
        <v>0</v>
      </c>
      <c r="H900" s="8">
        <v>0</v>
      </c>
      <c r="I900" s="33">
        <v>0</v>
      </c>
      <c r="J900" s="7">
        <v>0</v>
      </c>
      <c r="K900" s="7">
        <v>0</v>
      </c>
      <c r="P900">
        <v>0</v>
      </c>
      <c r="Q900">
        <v>1.6522331636818361</v>
      </c>
      <c r="R900">
        <v>0</v>
      </c>
    </row>
    <row r="901" spans="1:19">
      <c r="A901" s="7"/>
      <c r="B901" s="8">
        <v>-0.60912970227287866</v>
      </c>
      <c r="C901" s="8">
        <v>0.28261535739067112</v>
      </c>
      <c r="D901" s="8">
        <v>-0.68802996689194662</v>
      </c>
      <c r="E901" s="7">
        <v>0</v>
      </c>
      <c r="F901" s="8">
        <v>0</v>
      </c>
      <c r="G901" s="7">
        <v>-1.4990516053215155E-2</v>
      </c>
      <c r="H901" s="8">
        <v>0</v>
      </c>
      <c r="I901" s="8">
        <v>0</v>
      </c>
      <c r="J901" s="33">
        <v>0</v>
      </c>
      <c r="K901" s="33">
        <v>0</v>
      </c>
      <c r="P901">
        <v>0</v>
      </c>
      <c r="Q901">
        <v>0</v>
      </c>
      <c r="R901">
        <v>0.712098100484714</v>
      </c>
    </row>
    <row r="902" spans="1:19">
      <c r="A902" s="7"/>
      <c r="B902" s="8"/>
      <c r="C902" s="8"/>
      <c r="D902" s="8"/>
      <c r="E902" s="7"/>
      <c r="F902" s="7"/>
      <c r="G902" s="7"/>
      <c r="H902" s="7"/>
      <c r="I902" s="7"/>
      <c r="J902" s="7"/>
      <c r="K902" s="7"/>
    </row>
    <row r="903" spans="1:19">
      <c r="A903" s="7"/>
      <c r="B903" s="8">
        <v>-1.8375474863113905</v>
      </c>
      <c r="C903" s="8">
        <v>-2.1167426559988707</v>
      </c>
      <c r="D903" s="8">
        <v>-1.2367606559382516E-2</v>
      </c>
      <c r="E903" s="7">
        <v>-1.4990516053215155E-2</v>
      </c>
      <c r="F903" s="8">
        <v>0</v>
      </c>
      <c r="G903" s="8">
        <v>0</v>
      </c>
      <c r="H903" s="33">
        <v>0</v>
      </c>
      <c r="I903" s="7">
        <v>0</v>
      </c>
      <c r="J903" s="7">
        <v>0</v>
      </c>
      <c r="K903" s="7">
        <v>0</v>
      </c>
      <c r="M903">
        <f t="shared" ref="M903" si="672">MDETERM(B903:D905)</f>
        <v>-5.8323031254765824E-2</v>
      </c>
      <c r="N903">
        <f t="shared" ref="N903" si="673">MDETERM(E903:G905)</f>
        <v>-3.3686023826032914E-6</v>
      </c>
      <c r="P903">
        <f t="array" ref="P903:R905">SVDD(B903:D905)</f>
        <v>3.8368654651729148</v>
      </c>
      <c r="Q903">
        <v>0</v>
      </c>
      <c r="R903">
        <v>0</v>
      </c>
      <c r="S903" s="3">
        <f t="shared" ref="S903" si="674">MAX(P903,Q904,R905)/MIN(P903,Q904,R905)</f>
        <v>466.83042019142619</v>
      </c>
    </row>
    <row r="904" spans="1:19">
      <c r="A904" s="7" t="s">
        <v>241</v>
      </c>
      <c r="B904" s="8">
        <v>0.45824053226673911</v>
      </c>
      <c r="C904" s="8">
        <v>-2.124969022302313</v>
      </c>
      <c r="D904" s="8">
        <v>2.076961144994538E-2</v>
      </c>
      <c r="E904" s="7">
        <v>0</v>
      </c>
      <c r="F904" s="7">
        <v>-1.4990516053215155E-2</v>
      </c>
      <c r="G904" s="8">
        <v>0</v>
      </c>
      <c r="H904" s="8">
        <v>0</v>
      </c>
      <c r="I904" s="33">
        <v>0</v>
      </c>
      <c r="J904" s="7">
        <v>0</v>
      </c>
      <c r="K904" s="7">
        <v>0</v>
      </c>
      <c r="P904">
        <v>0</v>
      </c>
      <c r="Q904">
        <v>1.8494648983517943</v>
      </c>
      <c r="R904">
        <v>0</v>
      </c>
    </row>
    <row r="905" spans="1:19">
      <c r="A905" s="7"/>
      <c r="B905" s="8">
        <v>-1.9865190328797109</v>
      </c>
      <c r="C905" s="8">
        <v>-1.2694850305255347</v>
      </c>
      <c r="D905" s="8">
        <v>-3.2127045366234341E-2</v>
      </c>
      <c r="E905" s="7">
        <v>0</v>
      </c>
      <c r="F905" s="8">
        <v>0</v>
      </c>
      <c r="G905" s="7">
        <v>-1.4990516053215155E-2</v>
      </c>
      <c r="H905" s="8">
        <v>0</v>
      </c>
      <c r="I905" s="8">
        <v>0</v>
      </c>
      <c r="J905" s="33">
        <v>0</v>
      </c>
      <c r="K905" s="33">
        <v>0</v>
      </c>
      <c r="P905">
        <v>0</v>
      </c>
      <c r="Q905">
        <v>0</v>
      </c>
      <c r="R905">
        <v>8.2189705280979516E-3</v>
      </c>
    </row>
    <row r="906" spans="1:19">
      <c r="A906" s="7"/>
      <c r="B906" s="8"/>
      <c r="C906" s="8"/>
      <c r="D906" s="8"/>
      <c r="E906" s="7"/>
      <c r="F906" s="7"/>
      <c r="G906" s="7"/>
      <c r="H906" s="7"/>
      <c r="I906" s="7"/>
      <c r="J906" s="7"/>
      <c r="K906" s="7"/>
    </row>
    <row r="907" spans="1:19">
      <c r="A907" s="7"/>
      <c r="B907" s="8">
        <v>-1.8375474863113905</v>
      </c>
      <c r="C907" s="8">
        <v>-2.1167426559988707</v>
      </c>
      <c r="D907" s="8">
        <v>-1.2367606559382516E-2</v>
      </c>
      <c r="E907" s="7">
        <v>-1.4990516053215155E-2</v>
      </c>
      <c r="F907" s="8">
        <v>0</v>
      </c>
      <c r="G907" s="8">
        <v>0</v>
      </c>
      <c r="H907" s="33">
        <v>0</v>
      </c>
      <c r="I907" s="7">
        <v>0</v>
      </c>
      <c r="J907" s="7">
        <v>0</v>
      </c>
      <c r="K907" s="7">
        <v>0</v>
      </c>
      <c r="M907">
        <f t="shared" ref="M907" si="675">MDETERM(B907:D909)</f>
        <v>8.9209148764109042E-2</v>
      </c>
      <c r="N907">
        <f t="shared" ref="N907" si="676">MDETERM(E907:G909)</f>
        <v>-3.3686023826032914E-6</v>
      </c>
      <c r="P907">
        <f t="array" ref="P907:R909">SVDD(B907:D909)</f>
        <v>3.2740254774554596</v>
      </c>
      <c r="Q907">
        <v>0</v>
      </c>
      <c r="R907">
        <v>0</v>
      </c>
      <c r="S907" s="3">
        <f t="shared" ref="S907" si="677">MAX(P907,Q908,R909)/MIN(P907,Q908,R909)</f>
        <v>230.68313650592344</v>
      </c>
    </row>
    <row r="908" spans="1:19">
      <c r="A908" s="7" t="s">
        <v>242</v>
      </c>
      <c r="B908" s="8">
        <v>0.45824053226673911</v>
      </c>
      <c r="C908" s="8">
        <v>-2.124969022302313</v>
      </c>
      <c r="D908" s="8">
        <v>2.076961144994538E-2</v>
      </c>
      <c r="E908" s="7">
        <v>0</v>
      </c>
      <c r="F908" s="7">
        <v>-1.4990516053215155E-2</v>
      </c>
      <c r="G908" s="8">
        <v>0</v>
      </c>
      <c r="H908" s="8">
        <v>0</v>
      </c>
      <c r="I908" s="33">
        <v>0</v>
      </c>
      <c r="J908" s="7">
        <v>0</v>
      </c>
      <c r="K908" s="7">
        <v>0</v>
      </c>
      <c r="P908">
        <v>0</v>
      </c>
      <c r="Q908">
        <v>1.9198227499838207</v>
      </c>
      <c r="R908">
        <v>0</v>
      </c>
    </row>
    <row r="909" spans="1:19">
      <c r="A909" s="7"/>
      <c r="B909" s="8">
        <v>0.85843073718374274</v>
      </c>
      <c r="C909" s="8">
        <v>-1.040962775001312</v>
      </c>
      <c r="D909" s="8">
        <v>3.7610117674176324E-2</v>
      </c>
      <c r="E909" s="7">
        <v>0</v>
      </c>
      <c r="F909" s="8">
        <v>0</v>
      </c>
      <c r="G909" s="7">
        <v>-1.4990516053215155E-2</v>
      </c>
      <c r="H909" s="8">
        <v>0</v>
      </c>
      <c r="I909" s="8">
        <v>0</v>
      </c>
      <c r="J909" s="33">
        <v>0</v>
      </c>
      <c r="K909" s="33">
        <v>0</v>
      </c>
      <c r="P909">
        <v>0</v>
      </c>
      <c r="Q909">
        <v>0</v>
      </c>
      <c r="R909">
        <v>1.4192738693629605E-2</v>
      </c>
    </row>
    <row r="910" spans="1:19">
      <c r="A910" s="7"/>
      <c r="B910" s="8"/>
      <c r="C910" s="8"/>
      <c r="D910" s="8"/>
      <c r="E910" s="7"/>
      <c r="F910" s="7"/>
      <c r="G910" s="7"/>
      <c r="H910" s="7"/>
      <c r="I910" s="7"/>
      <c r="J910" s="7"/>
      <c r="K910" s="7"/>
    </row>
    <row r="911" spans="1:19">
      <c r="A911" s="7"/>
      <c r="B911" s="8">
        <v>-1.8375474863113905</v>
      </c>
      <c r="C911" s="8">
        <v>-2.1167426559988707</v>
      </c>
      <c r="D911" s="8">
        <v>-1.2367606559382516E-2</v>
      </c>
      <c r="E911" s="7">
        <v>-1.4990516053215155E-2</v>
      </c>
      <c r="F911" s="8">
        <v>0</v>
      </c>
      <c r="G911" s="8">
        <v>0</v>
      </c>
      <c r="H911" s="33">
        <v>0</v>
      </c>
      <c r="I911" s="7">
        <v>0</v>
      </c>
      <c r="J911" s="7">
        <v>0</v>
      </c>
      <c r="K911" s="7">
        <v>0</v>
      </c>
      <c r="M911">
        <f t="shared" ref="M911" si="678">MDETERM(B911:D913)</f>
        <v>0.49176460178271997</v>
      </c>
      <c r="N911">
        <f t="shared" ref="N911" si="679">MDETERM(E911:G913)</f>
        <v>-3.3686023826032914E-6</v>
      </c>
      <c r="P911">
        <f t="array" ref="P911:R913">SVDD(B911:D913)</f>
        <v>3.2872247602348836</v>
      </c>
      <c r="Q911">
        <v>0</v>
      </c>
      <c r="R911">
        <v>0</v>
      </c>
      <c r="S911" s="3">
        <f t="shared" ref="S911" si="680">MAX(P911,Q912,R913)/MIN(P911,Q912,R913)</f>
        <v>46.088572117461673</v>
      </c>
    </row>
    <row r="912" spans="1:19">
      <c r="A912" s="7" t="s">
        <v>243</v>
      </c>
      <c r="B912" s="8">
        <v>0.45824053226673911</v>
      </c>
      <c r="C912" s="8">
        <v>-2.124969022302313</v>
      </c>
      <c r="D912" s="8">
        <v>2.076961144994538E-2</v>
      </c>
      <c r="E912" s="7">
        <v>0</v>
      </c>
      <c r="F912" s="7">
        <v>-1.4990516053215155E-2</v>
      </c>
      <c r="G912" s="8">
        <v>0</v>
      </c>
      <c r="H912" s="8">
        <v>0</v>
      </c>
      <c r="I912" s="33">
        <v>0</v>
      </c>
      <c r="J912" s="7">
        <v>0</v>
      </c>
      <c r="K912" s="7">
        <v>0</v>
      </c>
      <c r="P912">
        <v>0</v>
      </c>
      <c r="Q912">
        <v>2.0974504915798966</v>
      </c>
      <c r="R912">
        <v>0</v>
      </c>
    </row>
    <row r="913" spans="1:19">
      <c r="A913" s="7"/>
      <c r="B913" s="8">
        <v>-1.6188303733889171</v>
      </c>
      <c r="C913" s="8">
        <v>1.9594494251009342E-2</v>
      </c>
      <c r="D913" s="8">
        <v>7.7422792294721043E-2</v>
      </c>
      <c r="E913" s="7">
        <v>0</v>
      </c>
      <c r="F913" s="8">
        <v>0</v>
      </c>
      <c r="G913" s="7">
        <v>-1.4990516053215155E-2</v>
      </c>
      <c r="H913" s="8">
        <v>0</v>
      </c>
      <c r="I913" s="8">
        <v>0</v>
      </c>
      <c r="J913" s="33">
        <v>0</v>
      </c>
      <c r="K913" s="33">
        <v>0</v>
      </c>
      <c r="P913">
        <v>0</v>
      </c>
      <c r="Q913">
        <v>0</v>
      </c>
      <c r="R913">
        <v>7.1324074693766573E-2</v>
      </c>
    </row>
    <row r="914" spans="1:19">
      <c r="A914" s="7"/>
      <c r="B914" s="8"/>
      <c r="C914" s="8"/>
      <c r="D914" s="8"/>
      <c r="E914" s="7"/>
      <c r="F914" s="7"/>
      <c r="G914" s="7"/>
      <c r="H914" s="7"/>
      <c r="I914" s="7"/>
      <c r="J914" s="7"/>
      <c r="K914" s="7"/>
    </row>
    <row r="915" spans="1:19">
      <c r="A915" s="7"/>
      <c r="B915" s="8">
        <v>-1.8375474863113905</v>
      </c>
      <c r="C915" s="8">
        <v>-2.1167426559988707</v>
      </c>
      <c r="D915" s="8">
        <v>-1.2367606559382516E-2</v>
      </c>
      <c r="E915" s="7">
        <v>-1.4990516053215155E-2</v>
      </c>
      <c r="F915" s="8">
        <v>0</v>
      </c>
      <c r="G915" s="8">
        <v>0</v>
      </c>
      <c r="H915" s="33">
        <v>0</v>
      </c>
      <c r="I915" s="7">
        <v>0</v>
      </c>
      <c r="J915" s="7">
        <v>0</v>
      </c>
      <c r="K915" s="7">
        <v>0</v>
      </c>
      <c r="M915">
        <f t="shared" ref="M915" si="681">MDETERM(B915:D917)</f>
        <v>-3.3019731963725927</v>
      </c>
      <c r="N915">
        <f t="shared" ref="N915" si="682">MDETERM(E915:G917)</f>
        <v>-3.3686023826032914E-6</v>
      </c>
      <c r="P915">
        <f t="array" ref="P915:R917">SVDD(B915:D917)</f>
        <v>3.2044956398912232</v>
      </c>
      <c r="Q915">
        <v>0</v>
      </c>
      <c r="R915">
        <v>0</v>
      </c>
      <c r="S915" s="3">
        <f t="shared" ref="S915" si="683">MAX(P915,Q916,R917)/MIN(P915,Q916,R917)</f>
        <v>5.2672257276525398</v>
      </c>
    </row>
    <row r="916" spans="1:19">
      <c r="A916" s="7" t="s">
        <v>244</v>
      </c>
      <c r="B916" s="8">
        <v>0.45824053226673911</v>
      </c>
      <c r="C916" s="8">
        <v>-2.124969022302313</v>
      </c>
      <c r="D916" s="8">
        <v>2.076961144994538E-2</v>
      </c>
      <c r="E916" s="7">
        <v>0</v>
      </c>
      <c r="F916" s="7">
        <v>-1.4990516053215155E-2</v>
      </c>
      <c r="G916" s="8">
        <v>0</v>
      </c>
      <c r="H916" s="8">
        <v>0</v>
      </c>
      <c r="I916" s="33">
        <v>0</v>
      </c>
      <c r="J916" s="7">
        <v>0</v>
      </c>
      <c r="K916" s="7">
        <v>0</v>
      </c>
      <c r="P916">
        <v>0</v>
      </c>
      <c r="Q916">
        <v>1.6936985045117692</v>
      </c>
      <c r="R916">
        <v>0</v>
      </c>
    </row>
    <row r="917" spans="1:19">
      <c r="A917" s="7"/>
      <c r="B917" s="8">
        <v>-0.60912970227287866</v>
      </c>
      <c r="C917" s="8">
        <v>0.28261535739067112</v>
      </c>
      <c r="D917" s="8">
        <v>-0.68802996689194662</v>
      </c>
      <c r="E917" s="7">
        <v>0</v>
      </c>
      <c r="F917" s="8">
        <v>0</v>
      </c>
      <c r="G917" s="7">
        <v>-1.4990516053215155E-2</v>
      </c>
      <c r="H917" s="8">
        <v>0</v>
      </c>
      <c r="I917" s="8">
        <v>0</v>
      </c>
      <c r="J917" s="33">
        <v>0</v>
      </c>
      <c r="K917" s="33">
        <v>0</v>
      </c>
      <c r="P917">
        <v>0</v>
      </c>
      <c r="Q917">
        <v>0</v>
      </c>
      <c r="R917">
        <v>0.60838395876369256</v>
      </c>
    </row>
    <row r="918" spans="1:19">
      <c r="A918" s="7"/>
      <c r="B918" s="8"/>
      <c r="C918" s="8"/>
      <c r="D918" s="8"/>
      <c r="E918" s="7"/>
      <c r="F918" s="7"/>
      <c r="G918" s="7"/>
      <c r="H918" s="7"/>
      <c r="I918" s="7"/>
      <c r="J918" s="7"/>
      <c r="K918" s="7"/>
    </row>
    <row r="919" spans="1:19">
      <c r="A919" s="7"/>
      <c r="B919" s="8">
        <v>-1.8375474863113905</v>
      </c>
      <c r="C919" s="8">
        <v>-2.1167426559988707</v>
      </c>
      <c r="D919" s="8">
        <v>-1.2367606559382516E-2</v>
      </c>
      <c r="E919" s="7">
        <v>-1.4990516053215155E-2</v>
      </c>
      <c r="F919" s="8">
        <v>0</v>
      </c>
      <c r="G919" s="8">
        <v>0</v>
      </c>
      <c r="H919" s="33">
        <v>0</v>
      </c>
      <c r="I919" s="7">
        <v>0</v>
      </c>
      <c r="J919" s="7">
        <v>0</v>
      </c>
      <c r="K919" s="7">
        <v>0</v>
      </c>
      <c r="M919">
        <f t="shared" ref="M919" si="684">MDETERM(B919:D921)</f>
        <v>1.0363799027765143E-2</v>
      </c>
      <c r="N919">
        <f t="shared" ref="N919" si="685">MDETERM(E919:G921)</f>
        <v>-3.3686023826032914E-6</v>
      </c>
      <c r="P919">
        <f t="array" ref="P919:R921">SVDD(B919:D921)</f>
        <v>3.6268685083074095</v>
      </c>
      <c r="Q919">
        <v>0</v>
      </c>
      <c r="R919">
        <v>0</v>
      </c>
      <c r="S919" s="3">
        <f t="shared" ref="S919" si="686">MAX(P919,Q920,R921)/MIN(P919,Q920,R921)</f>
        <v>1832.2683886248421</v>
      </c>
    </row>
    <row r="920" spans="1:19">
      <c r="A920" s="7" t="s">
        <v>245</v>
      </c>
      <c r="B920" s="8">
        <v>-1.9865190328797109</v>
      </c>
      <c r="C920" s="8">
        <v>-1.2694850305255347</v>
      </c>
      <c r="D920" s="8">
        <v>-3.2127045366234341E-2</v>
      </c>
      <c r="E920" s="7">
        <v>0</v>
      </c>
      <c r="F920" s="7">
        <v>-1.4990516053215155E-2</v>
      </c>
      <c r="G920" s="8">
        <v>0</v>
      </c>
      <c r="H920" s="8">
        <v>0</v>
      </c>
      <c r="I920" s="33">
        <v>0</v>
      </c>
      <c r="J920" s="7">
        <v>0</v>
      </c>
      <c r="K920" s="7">
        <v>0</v>
      </c>
      <c r="P920">
        <v>0</v>
      </c>
      <c r="Q920">
        <v>1.4435919462654072</v>
      </c>
      <c r="R920">
        <v>0</v>
      </c>
    </row>
    <row r="921" spans="1:19">
      <c r="A921" s="7"/>
      <c r="B921" s="8">
        <v>0.85843073718374274</v>
      </c>
      <c r="C921" s="8">
        <v>-1.040962775001312</v>
      </c>
      <c r="D921" s="8">
        <v>3.7610117674176324E-2</v>
      </c>
      <c r="E921" s="7">
        <v>0</v>
      </c>
      <c r="F921" s="8">
        <v>0</v>
      </c>
      <c r="G921" s="7">
        <v>-1.4990516053215155E-2</v>
      </c>
      <c r="H921" s="8">
        <v>0</v>
      </c>
      <c r="I921" s="8">
        <v>0</v>
      </c>
      <c r="J921" s="33">
        <v>0</v>
      </c>
      <c r="K921" s="33">
        <v>0</v>
      </c>
      <c r="P921">
        <v>0</v>
      </c>
      <c r="Q921">
        <v>0</v>
      </c>
      <c r="R921">
        <v>1.9794417296198916E-3</v>
      </c>
    </row>
    <row r="922" spans="1:19">
      <c r="A922" s="7"/>
      <c r="B922" s="8"/>
      <c r="C922" s="8"/>
      <c r="D922" s="8"/>
      <c r="E922" s="7"/>
      <c r="F922" s="7"/>
      <c r="G922" s="7"/>
      <c r="H922" s="7"/>
      <c r="I922" s="7"/>
      <c r="J922" s="7"/>
      <c r="K922" s="7"/>
    </row>
    <row r="923" spans="1:19">
      <c r="A923" s="7"/>
      <c r="B923" s="8">
        <v>-1.8375474863113905</v>
      </c>
      <c r="C923" s="8">
        <v>-2.1167426559988707</v>
      </c>
      <c r="D923" s="8">
        <v>-1.2367606559382516E-2</v>
      </c>
      <c r="E923" s="7">
        <v>-1.4990516053215155E-2</v>
      </c>
      <c r="F923" s="8">
        <v>0</v>
      </c>
      <c r="G923" s="8">
        <v>0</v>
      </c>
      <c r="H923" s="33">
        <v>0</v>
      </c>
      <c r="I923" s="7">
        <v>0</v>
      </c>
      <c r="J923" s="7">
        <v>0</v>
      </c>
      <c r="K923" s="7">
        <v>0</v>
      </c>
      <c r="M923">
        <f t="shared" ref="M923" si="687">MDETERM(B923:D925)</f>
        <v>-0.23029874272982079</v>
      </c>
      <c r="N923">
        <f t="shared" ref="N923" si="688">MDETERM(E923:G925)</f>
        <v>-3.3686023826032914E-6</v>
      </c>
      <c r="P923">
        <f t="array" ref="P923:R925">SVDD(B923:D925)</f>
        <v>3.8317087930137994</v>
      </c>
      <c r="Q923">
        <v>0</v>
      </c>
      <c r="R923">
        <v>0</v>
      </c>
      <c r="S923" s="3">
        <f t="shared" ref="S923" si="689">MAX(P923,Q924,R925)/MIN(P923,Q924,R925)</f>
        <v>74.307372366081026</v>
      </c>
    </row>
    <row r="924" spans="1:19">
      <c r="A924" s="7" t="s">
        <v>246</v>
      </c>
      <c r="B924" s="8">
        <v>-1.9865190328797109</v>
      </c>
      <c r="C924" s="8">
        <v>-1.2694850305255347</v>
      </c>
      <c r="D924" s="8">
        <v>-3.2127045366234341E-2</v>
      </c>
      <c r="E924" s="7">
        <v>0</v>
      </c>
      <c r="F924" s="7">
        <v>-1.4990516053215155E-2</v>
      </c>
      <c r="G924" s="8">
        <v>0</v>
      </c>
      <c r="H924" s="8">
        <v>0</v>
      </c>
      <c r="I924" s="33">
        <v>0</v>
      </c>
      <c r="J924" s="7">
        <v>0</v>
      </c>
      <c r="K924" s="7">
        <v>0</v>
      </c>
      <c r="P924">
        <v>0</v>
      </c>
      <c r="Q924">
        <v>1.1655703198560197</v>
      </c>
      <c r="R924">
        <v>0</v>
      </c>
    </row>
    <row r="925" spans="1:19">
      <c r="A925" s="7"/>
      <c r="B925" s="8">
        <v>-1.6188303733889171</v>
      </c>
      <c r="C925" s="8">
        <v>1.9594494251009342E-2</v>
      </c>
      <c r="D925" s="8">
        <v>7.7422792294721043E-2</v>
      </c>
      <c r="E925" s="7">
        <v>0</v>
      </c>
      <c r="F925" s="8">
        <v>0</v>
      </c>
      <c r="G925" s="7">
        <v>-1.4990516053215155E-2</v>
      </c>
      <c r="H925" s="8">
        <v>0</v>
      </c>
      <c r="I925" s="8">
        <v>0</v>
      </c>
      <c r="J925" s="33">
        <v>0</v>
      </c>
      <c r="K925" s="33">
        <v>0</v>
      </c>
      <c r="P925">
        <v>0</v>
      </c>
      <c r="Q925">
        <v>0</v>
      </c>
      <c r="R925">
        <v>5.1565661266241382E-2</v>
      </c>
    </row>
    <row r="926" spans="1:19">
      <c r="A926" s="7"/>
      <c r="B926" s="8"/>
      <c r="C926" s="8"/>
      <c r="D926" s="8"/>
      <c r="E926" s="7"/>
      <c r="F926" s="7"/>
      <c r="G926" s="7"/>
      <c r="H926" s="7"/>
      <c r="I926" s="7"/>
      <c r="J926" s="7"/>
      <c r="K926" s="7"/>
    </row>
    <row r="927" spans="1:19">
      <c r="A927" s="7"/>
      <c r="B927" s="8">
        <v>-1.8375474863113905</v>
      </c>
      <c r="C927" s="8">
        <v>-2.1167426559988707</v>
      </c>
      <c r="D927" s="8">
        <v>-1.2367606559382516E-2</v>
      </c>
      <c r="E927" s="7">
        <v>-1.4990516053215155E-2</v>
      </c>
      <c r="F927" s="8">
        <v>0</v>
      </c>
      <c r="G927" s="8">
        <v>0</v>
      </c>
      <c r="H927" s="33">
        <v>0</v>
      </c>
      <c r="I927" s="7">
        <v>0</v>
      </c>
      <c r="J927" s="7">
        <v>0</v>
      </c>
      <c r="K927" s="7">
        <v>0</v>
      </c>
      <c r="M927">
        <f t="shared" ref="M927" si="690">MDETERM(B927:D929)</f>
        <v>1.2465361632740966</v>
      </c>
      <c r="N927">
        <f t="shared" ref="N927" si="691">MDETERM(E927:G929)</f>
        <v>-3.3686023826032914E-6</v>
      </c>
      <c r="P927">
        <f t="array" ref="P927:R929">SVDD(B927:D929)</f>
        <v>3.6366616704212342</v>
      </c>
      <c r="Q927">
        <v>0</v>
      </c>
      <c r="R927">
        <v>0</v>
      </c>
      <c r="S927" s="3">
        <f t="shared" ref="S927" si="692">MAX(P927,Q928,R929)/MIN(P927,Q928,R929)</f>
        <v>10.595880661889572</v>
      </c>
    </row>
    <row r="928" spans="1:19">
      <c r="A928" s="7" t="s">
        <v>247</v>
      </c>
      <c r="B928" s="8">
        <v>-1.9865190328797109</v>
      </c>
      <c r="C928" s="8">
        <v>-1.2694850305255347</v>
      </c>
      <c r="D928" s="8">
        <v>-3.2127045366234341E-2</v>
      </c>
      <c r="E928" s="7">
        <v>0</v>
      </c>
      <c r="F928" s="7">
        <v>-1.4990516053215155E-2</v>
      </c>
      <c r="G928" s="8">
        <v>0</v>
      </c>
      <c r="H928" s="8">
        <v>0</v>
      </c>
      <c r="I928" s="33">
        <v>0</v>
      </c>
      <c r="J928" s="7">
        <v>0</v>
      </c>
      <c r="K928" s="7">
        <v>0</v>
      </c>
      <c r="P928">
        <v>0</v>
      </c>
      <c r="Q928">
        <v>0.99870251201767479</v>
      </c>
      <c r="R928">
        <v>0</v>
      </c>
    </row>
    <row r="929" spans="1:19">
      <c r="A929" s="7"/>
      <c r="B929" s="8">
        <v>-0.60912970227287866</v>
      </c>
      <c r="C929" s="8">
        <v>0.28261535739067112</v>
      </c>
      <c r="D929" s="8">
        <v>-0.68802996689194662</v>
      </c>
      <c r="E929" s="7">
        <v>0</v>
      </c>
      <c r="F929" s="8">
        <v>0</v>
      </c>
      <c r="G929" s="7">
        <v>-1.4990516053215155E-2</v>
      </c>
      <c r="H929" s="8">
        <v>0</v>
      </c>
      <c r="I929" s="8">
        <v>0</v>
      </c>
      <c r="J929" s="33">
        <v>0</v>
      </c>
      <c r="K929" s="33">
        <v>0</v>
      </c>
      <c r="P929">
        <v>0</v>
      </c>
      <c r="Q929">
        <v>0</v>
      </c>
      <c r="R929">
        <v>0.34321466864960948</v>
      </c>
    </row>
    <row r="930" spans="1:19">
      <c r="A930" s="7"/>
      <c r="B930" s="8"/>
      <c r="C930" s="8"/>
      <c r="D930" s="8"/>
      <c r="E930" s="7"/>
      <c r="F930" s="7"/>
      <c r="G930" s="7"/>
      <c r="H930" s="7"/>
      <c r="I930" s="7"/>
      <c r="J930" s="7"/>
      <c r="K930" s="7"/>
    </row>
    <row r="931" spans="1:19">
      <c r="A931" s="7"/>
      <c r="B931" s="8">
        <v>-1.8375474863113905</v>
      </c>
      <c r="C931" s="8">
        <v>-2.1167426559988707</v>
      </c>
      <c r="D931" s="8">
        <v>-1.2367606559382516E-2</v>
      </c>
      <c r="E931" s="7">
        <v>-1.4990516053215155E-2</v>
      </c>
      <c r="F931" s="8">
        <v>0</v>
      </c>
      <c r="G931" s="8">
        <v>0</v>
      </c>
      <c r="H931" s="33">
        <v>0</v>
      </c>
      <c r="I931" s="7">
        <v>0</v>
      </c>
      <c r="J931" s="7">
        <v>0</v>
      </c>
      <c r="K931" s="7">
        <v>0</v>
      </c>
      <c r="M931">
        <f t="shared" ref="M931" si="693">MDETERM(B931:D933)</f>
        <v>0.43964286064301011</v>
      </c>
      <c r="N931">
        <f t="shared" ref="N931" si="694">MDETERM(E931:G933)</f>
        <v>-3.3686023826032914E-6</v>
      </c>
      <c r="P931">
        <f t="array" ref="P931:R933">SVDD(B931:D933)</f>
        <v>3.0283958698034081</v>
      </c>
      <c r="Q931">
        <v>0</v>
      </c>
      <c r="R931">
        <v>0</v>
      </c>
      <c r="S931" s="3">
        <f t="shared" ref="S931" si="695">MAX(P931,Q932,R933)/MIN(P931,Q932,R933)</f>
        <v>36.89616878253937</v>
      </c>
    </row>
    <row r="932" spans="1:19">
      <c r="A932" s="7" t="s">
        <v>248</v>
      </c>
      <c r="B932" s="8">
        <v>0.85843073718374274</v>
      </c>
      <c r="C932" s="8">
        <v>-1.040962775001312</v>
      </c>
      <c r="D932" s="8">
        <v>3.7610117674176324E-2</v>
      </c>
      <c r="E932" s="7">
        <v>0</v>
      </c>
      <c r="F932" s="7">
        <v>-1.4990516053215155E-2</v>
      </c>
      <c r="G932" s="8">
        <v>0</v>
      </c>
      <c r="H932" s="8">
        <v>0</v>
      </c>
      <c r="I932" s="33">
        <v>0</v>
      </c>
      <c r="J932" s="7">
        <v>0</v>
      </c>
      <c r="K932" s="7">
        <v>0</v>
      </c>
      <c r="P932">
        <v>0</v>
      </c>
      <c r="Q932">
        <v>1.7687074573838917</v>
      </c>
      <c r="R932">
        <v>0</v>
      </c>
    </row>
    <row r="933" spans="1:19">
      <c r="A933" s="7"/>
      <c r="B933" s="8">
        <v>-1.6188303733889171</v>
      </c>
      <c r="C933" s="8">
        <v>1.9594494251009342E-2</v>
      </c>
      <c r="D933" s="8">
        <v>7.7422792294721043E-2</v>
      </c>
      <c r="E933" s="7">
        <v>0</v>
      </c>
      <c r="F933" s="8">
        <v>0</v>
      </c>
      <c r="G933" s="7">
        <v>-1.4990516053215155E-2</v>
      </c>
      <c r="H933" s="8">
        <v>0</v>
      </c>
      <c r="I933" s="8">
        <v>0</v>
      </c>
      <c r="J933" s="33">
        <v>0</v>
      </c>
      <c r="K933" s="33">
        <v>0</v>
      </c>
      <c r="P933">
        <v>0</v>
      </c>
      <c r="Q933">
        <v>0</v>
      </c>
      <c r="R933">
        <v>8.2078870780658314E-2</v>
      </c>
    </row>
    <row r="934" spans="1:19">
      <c r="A934" s="7"/>
      <c r="B934" s="8"/>
      <c r="C934" s="8"/>
      <c r="D934" s="8"/>
      <c r="E934" s="7"/>
      <c r="F934" s="7"/>
      <c r="G934" s="7"/>
      <c r="H934" s="7"/>
      <c r="I934" s="7"/>
      <c r="J934" s="7"/>
      <c r="K934" s="7"/>
    </row>
    <row r="935" spans="1:19">
      <c r="A935" s="7"/>
      <c r="B935" s="8">
        <v>-1.8375474863113905</v>
      </c>
      <c r="C935" s="8">
        <v>-2.1167426559988707</v>
      </c>
      <c r="D935" s="8">
        <v>-1.2367606559382516E-2</v>
      </c>
      <c r="E935" s="7">
        <v>-1.4990516053215155E-2</v>
      </c>
      <c r="F935" s="8">
        <v>0</v>
      </c>
      <c r="G935" s="8">
        <v>0</v>
      </c>
      <c r="H935" s="33">
        <v>0</v>
      </c>
      <c r="I935" s="7">
        <v>0</v>
      </c>
      <c r="J935" s="7">
        <v>0</v>
      </c>
      <c r="K935" s="7">
        <v>0</v>
      </c>
      <c r="M935">
        <f t="shared" ref="M935" si="696">MDETERM(B935:D937)</f>
        <v>-2.4934132109217191</v>
      </c>
      <c r="N935">
        <f t="shared" ref="N935" si="697">MDETERM(E935:G937)</f>
        <v>-3.3686023826032914E-6</v>
      </c>
      <c r="P935">
        <f t="array" ref="P935:R937">SVDD(B935:D937)</f>
        <v>2.8195158259150368</v>
      </c>
      <c r="Q935">
        <v>0</v>
      </c>
      <c r="R935">
        <v>0</v>
      </c>
      <c r="S935" s="3">
        <f t="shared" ref="S935" si="698">MAX(P935,Q936,R937)/MIN(P935,Q936,R937)</f>
        <v>4.8522872767527137</v>
      </c>
    </row>
    <row r="936" spans="1:19">
      <c r="A936" s="7" t="s">
        <v>249</v>
      </c>
      <c r="B936" s="8">
        <v>0.85843073718374274</v>
      </c>
      <c r="C936" s="8">
        <v>-1.040962775001312</v>
      </c>
      <c r="D936" s="8">
        <v>3.7610117674176324E-2</v>
      </c>
      <c r="E936" s="7">
        <v>0</v>
      </c>
      <c r="F936" s="7">
        <v>-1.4990516053215155E-2</v>
      </c>
      <c r="G936" s="8">
        <v>0</v>
      </c>
      <c r="H936" s="8">
        <v>0</v>
      </c>
      <c r="I936" s="33">
        <v>0</v>
      </c>
      <c r="J936" s="7">
        <v>0</v>
      </c>
      <c r="K936" s="7">
        <v>0</v>
      </c>
      <c r="P936">
        <v>0</v>
      </c>
      <c r="Q936">
        <v>1.5219195226074604</v>
      </c>
      <c r="R936">
        <v>0</v>
      </c>
    </row>
    <row r="937" spans="1:19">
      <c r="A937" s="7"/>
      <c r="B937" s="8">
        <v>-0.60912970227287866</v>
      </c>
      <c r="C937" s="8">
        <v>0.28261535739067112</v>
      </c>
      <c r="D937" s="8">
        <v>-0.68802996689194662</v>
      </c>
      <c r="E937" s="7">
        <v>0</v>
      </c>
      <c r="F937" s="8">
        <v>0</v>
      </c>
      <c r="G937" s="7">
        <v>-1.4990516053215155E-2</v>
      </c>
      <c r="H937" s="8">
        <v>0</v>
      </c>
      <c r="I937" s="8">
        <v>0</v>
      </c>
      <c r="J937" s="33">
        <v>0</v>
      </c>
      <c r="K937" s="33">
        <v>0</v>
      </c>
      <c r="P937">
        <v>0</v>
      </c>
      <c r="Q937">
        <v>0</v>
      </c>
      <c r="R937">
        <v>0.58106943490821827</v>
      </c>
    </row>
    <row r="938" spans="1:19">
      <c r="A938" s="7"/>
      <c r="B938" s="8"/>
      <c r="C938" s="8"/>
      <c r="D938" s="8"/>
      <c r="E938" s="7"/>
      <c r="F938" s="7"/>
      <c r="G938" s="7"/>
      <c r="H938" s="7"/>
      <c r="I938" s="7"/>
      <c r="J938" s="7"/>
      <c r="K938" s="7"/>
    </row>
    <row r="939" spans="1:19">
      <c r="A939" s="7"/>
      <c r="B939" s="8">
        <v>-1.8375474863113905</v>
      </c>
      <c r="C939" s="8">
        <v>-2.1167426559988707</v>
      </c>
      <c r="D939" s="8">
        <v>-1.2367606559382516E-2</v>
      </c>
      <c r="E939" s="7">
        <v>-1.4990516053215155E-2</v>
      </c>
      <c r="F939" s="8">
        <v>0</v>
      </c>
      <c r="G939" s="8">
        <v>0</v>
      </c>
      <c r="H939" s="33">
        <v>0</v>
      </c>
      <c r="I939" s="7">
        <v>0</v>
      </c>
      <c r="J939" s="7">
        <v>0</v>
      </c>
      <c r="K939" s="7">
        <v>0</v>
      </c>
      <c r="M939">
        <f t="shared" ref="M939" si="699">MDETERM(B939:D941)</f>
        <v>2.5279535809429046</v>
      </c>
      <c r="N939">
        <f t="shared" ref="N939" si="700">MDETERM(E939:G941)</f>
        <v>-3.3686023826032914E-6</v>
      </c>
      <c r="P939">
        <f t="array" ref="P939:R941">SVDD(B939:D941)</f>
        <v>3.0433356062670596</v>
      </c>
      <c r="Q939">
        <v>0</v>
      </c>
      <c r="R939">
        <v>0</v>
      </c>
      <c r="S939" s="3">
        <f t="shared" ref="S939" si="701">MAX(P939,Q940,R941)/MIN(P939,Q940,R941)</f>
        <v>4.8511161019732283</v>
      </c>
    </row>
    <row r="940" spans="1:19">
      <c r="A940" s="7" t="s">
        <v>250</v>
      </c>
      <c r="B940" s="8">
        <v>-1.6188303733889171</v>
      </c>
      <c r="C940" s="8">
        <v>1.9594494251009342E-2</v>
      </c>
      <c r="D940" s="8">
        <v>7.7422792294721043E-2</v>
      </c>
      <c r="E940" s="7">
        <v>0</v>
      </c>
      <c r="F940" s="7">
        <v>-1.4990516053215155E-2</v>
      </c>
      <c r="G940" s="8">
        <v>0</v>
      </c>
      <c r="H940" s="8">
        <v>0</v>
      </c>
      <c r="I940" s="33">
        <v>0</v>
      </c>
      <c r="J940" s="7">
        <v>0</v>
      </c>
      <c r="K940" s="7">
        <v>0</v>
      </c>
      <c r="P940">
        <v>0</v>
      </c>
      <c r="Q940">
        <v>1.3240703772834506</v>
      </c>
      <c r="R940">
        <v>0</v>
      </c>
    </row>
    <row r="941" spans="1:19">
      <c r="A941" s="7"/>
      <c r="B941" s="8">
        <v>-0.60912970227287866</v>
      </c>
      <c r="C941" s="8">
        <v>0.28261535739067112</v>
      </c>
      <c r="D941" s="8">
        <v>-0.68802996689194662</v>
      </c>
      <c r="E941" s="7">
        <v>0</v>
      </c>
      <c r="F941" s="8">
        <v>0</v>
      </c>
      <c r="G941" s="7">
        <v>-1.4990516053215155E-2</v>
      </c>
      <c r="H941" s="8">
        <v>0</v>
      </c>
      <c r="I941" s="8">
        <v>0</v>
      </c>
      <c r="J941" s="33">
        <v>0</v>
      </c>
      <c r="K941" s="33">
        <v>0</v>
      </c>
      <c r="P941">
        <v>0</v>
      </c>
      <c r="Q941">
        <v>0</v>
      </c>
      <c r="R941">
        <v>0.62734750978834741</v>
      </c>
    </row>
    <row r="942" spans="1:19">
      <c r="A942" s="7"/>
      <c r="B942" s="8"/>
      <c r="C942" s="8"/>
      <c r="D942" s="8"/>
      <c r="E942" s="7"/>
      <c r="F942" s="7"/>
      <c r="G942" s="7"/>
      <c r="H942" s="7"/>
      <c r="I942" s="7"/>
      <c r="J942" s="7"/>
      <c r="K942" s="7"/>
    </row>
    <row r="943" spans="1:19">
      <c r="A943" s="7"/>
      <c r="B943" s="8">
        <v>0.45824053226673911</v>
      </c>
      <c r="C943" s="8">
        <v>-2.124969022302313</v>
      </c>
      <c r="D943" s="8">
        <v>2.076961144994538E-2</v>
      </c>
      <c r="E943" s="7">
        <v>-1.4990516053215155E-2</v>
      </c>
      <c r="F943" s="8">
        <v>0</v>
      </c>
      <c r="G943" s="8">
        <v>0</v>
      </c>
      <c r="H943" s="33">
        <v>0</v>
      </c>
      <c r="I943" s="7">
        <v>0</v>
      </c>
      <c r="J943" s="7">
        <v>0</v>
      </c>
      <c r="K943" s="7">
        <v>0</v>
      </c>
      <c r="M943">
        <f t="shared" ref="M943" si="702">MDETERM(B943:D945)</f>
        <v>-7.1779642690832868E-2</v>
      </c>
      <c r="N943">
        <f t="shared" ref="N943" si="703">MDETERM(E943:G945)</f>
        <v>-3.3686023826032914E-6</v>
      </c>
      <c r="P943">
        <f t="array" ref="P943:R945">SVDD(B943:D945)</f>
        <v>2.7171285024870011</v>
      </c>
      <c r="Q943">
        <v>0</v>
      </c>
      <c r="R943">
        <v>0</v>
      </c>
      <c r="S943" s="3">
        <f t="shared" ref="S943" si="704">MAX(P943,Q944,R945)/MIN(P943,Q944,R945)</f>
        <v>223.5443970413034</v>
      </c>
    </row>
    <row r="944" spans="1:19">
      <c r="A944" s="7" t="s">
        <v>251</v>
      </c>
      <c r="B944" s="8">
        <v>-1.9865190328797109</v>
      </c>
      <c r="C944" s="8">
        <v>-1.2694850305255347</v>
      </c>
      <c r="D944" s="8">
        <v>-3.2127045366234341E-2</v>
      </c>
      <c r="E944" s="7">
        <v>0</v>
      </c>
      <c r="F944" s="7">
        <v>-1.4990516053215155E-2</v>
      </c>
      <c r="G944" s="8">
        <v>0</v>
      </c>
      <c r="H944" s="8">
        <v>0</v>
      </c>
      <c r="I944" s="33">
        <v>0</v>
      </c>
      <c r="J944" s="7">
        <v>0</v>
      </c>
      <c r="K944" s="7">
        <v>0</v>
      </c>
      <c r="P944">
        <v>0</v>
      </c>
      <c r="Q944">
        <v>2.1734253331768989</v>
      </c>
      <c r="R944">
        <v>0</v>
      </c>
    </row>
    <row r="945" spans="1:19">
      <c r="A945" s="7"/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8">
        <v>0</v>
      </c>
      <c r="G945" s="7">
        <v>-1.4990516053215155E-2</v>
      </c>
      <c r="H945" s="8">
        <v>0</v>
      </c>
      <c r="I945" s="8">
        <v>0</v>
      </c>
      <c r="J945" s="33">
        <v>0</v>
      </c>
      <c r="K945" s="33">
        <v>0</v>
      </c>
      <c r="P945">
        <v>0</v>
      </c>
      <c r="Q945">
        <v>0</v>
      </c>
      <c r="R945">
        <v>1.2154760031784506E-2</v>
      </c>
    </row>
    <row r="946" spans="1:19">
      <c r="A946" s="7"/>
      <c r="B946" s="8"/>
      <c r="C946" s="8"/>
      <c r="D946" s="8"/>
      <c r="E946" s="7"/>
      <c r="F946" s="7"/>
      <c r="G946" s="7"/>
      <c r="H946" s="7"/>
      <c r="I946" s="7"/>
      <c r="J946" s="7"/>
      <c r="K946" s="7"/>
    </row>
    <row r="947" spans="1:19">
      <c r="A947" s="7"/>
      <c r="B947" s="8">
        <v>0.45824053226673911</v>
      </c>
      <c r="C947" s="8">
        <v>-2.124969022302313</v>
      </c>
      <c r="D947" s="8">
        <v>2.076961144994538E-2</v>
      </c>
      <c r="E947" s="7">
        <v>-1.4990516053215155E-2</v>
      </c>
      <c r="F947" s="8">
        <v>0</v>
      </c>
      <c r="G947" s="8">
        <v>0</v>
      </c>
      <c r="H947" s="33">
        <v>0</v>
      </c>
      <c r="I947" s="7">
        <v>0</v>
      </c>
      <c r="J947" s="7">
        <v>0</v>
      </c>
      <c r="K947" s="7">
        <v>0</v>
      </c>
      <c r="M947">
        <f t="shared" ref="M947" si="705">MDETERM(B947:D949)</f>
        <v>-0.52558239955529273</v>
      </c>
      <c r="N947">
        <f t="shared" ref="N947" si="706">MDETERM(E947:G949)</f>
        <v>-3.3686023826032914E-6</v>
      </c>
      <c r="P947">
        <f t="array" ref="P947:R949">SVDD(B947:D949)</f>
        <v>2.8289820544938413</v>
      </c>
      <c r="Q947">
        <v>0</v>
      </c>
      <c r="R947">
        <v>0</v>
      </c>
      <c r="S947" s="3">
        <f t="shared" ref="S947" si="707">MAX(P947,Q948,R949)/MIN(P947,Q948,R949)</f>
        <v>33.712309903347119</v>
      </c>
    </row>
    <row r="948" spans="1:19">
      <c r="A948" s="7" t="s">
        <v>252</v>
      </c>
      <c r="B948" s="8">
        <v>-1.9865190328797109</v>
      </c>
      <c r="C948" s="8">
        <v>-1.2694850305255347</v>
      </c>
      <c r="D948" s="8">
        <v>-3.2127045366234341E-2</v>
      </c>
      <c r="E948" s="7">
        <v>0</v>
      </c>
      <c r="F948" s="7">
        <v>-1.4990516053215155E-2</v>
      </c>
      <c r="G948" s="8">
        <v>0</v>
      </c>
      <c r="H948" s="8">
        <v>0</v>
      </c>
      <c r="I948" s="33">
        <v>0</v>
      </c>
      <c r="J948" s="7">
        <v>0</v>
      </c>
      <c r="K948" s="7">
        <v>0</v>
      </c>
      <c r="P948">
        <v>0</v>
      </c>
      <c r="Q948">
        <v>2.2139557622130872</v>
      </c>
      <c r="R948">
        <v>0</v>
      </c>
    </row>
    <row r="949" spans="1:19">
      <c r="A949" s="7"/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8">
        <v>0</v>
      </c>
      <c r="G949" s="7">
        <v>-1.4990516053215155E-2</v>
      </c>
      <c r="H949" s="8">
        <v>0</v>
      </c>
      <c r="I949" s="8">
        <v>0</v>
      </c>
      <c r="J949" s="33">
        <v>0</v>
      </c>
      <c r="K949" s="33">
        <v>0</v>
      </c>
      <c r="P949">
        <v>0</v>
      </c>
      <c r="Q949">
        <v>0</v>
      </c>
      <c r="R949">
        <v>8.3915402492576355E-2</v>
      </c>
    </row>
    <row r="950" spans="1:19">
      <c r="A950" s="7"/>
      <c r="B950" s="8"/>
      <c r="C950" s="8"/>
      <c r="D950" s="8"/>
      <c r="E950" s="7"/>
      <c r="F950" s="7"/>
      <c r="G950" s="7"/>
      <c r="H950" s="7"/>
      <c r="I950" s="7"/>
      <c r="J950" s="7"/>
      <c r="K950" s="7"/>
    </row>
    <row r="951" spans="1:19">
      <c r="A951" s="7"/>
      <c r="B951" s="8">
        <v>0.45824053226673911</v>
      </c>
      <c r="C951" s="8">
        <v>-2.124969022302313</v>
      </c>
      <c r="D951" s="8">
        <v>2.076961144994538E-2</v>
      </c>
      <c r="E951" s="7">
        <v>-1.4990516053215155E-2</v>
      </c>
      <c r="F951" s="8">
        <v>0</v>
      </c>
      <c r="G951" s="8">
        <v>0</v>
      </c>
      <c r="H951" s="33">
        <v>0</v>
      </c>
      <c r="I951" s="7">
        <v>0</v>
      </c>
      <c r="J951" s="7">
        <v>0</v>
      </c>
      <c r="K951" s="7">
        <v>0</v>
      </c>
      <c r="M951">
        <f t="shared" ref="M951" si="708">MDETERM(B951:D953)</f>
        <v>3.2394770526391392</v>
      </c>
      <c r="N951">
        <f t="shared" ref="N951" si="709">MDETERM(E951:G953)</f>
        <v>-3.3686023826032914E-6</v>
      </c>
      <c r="P951">
        <f t="array" ref="P951:R953">SVDD(B951:D953)</f>
        <v>2.6419434983933723</v>
      </c>
      <c r="Q951">
        <v>0</v>
      </c>
      <c r="R951">
        <v>0</v>
      </c>
      <c r="S951" s="3">
        <f t="shared" ref="S951" si="710">MAX(P951,Q952,R953)/MIN(P951,Q952,R953)</f>
        <v>4.2207727224315219</v>
      </c>
    </row>
    <row r="952" spans="1:19">
      <c r="A952" s="7" t="s">
        <v>253</v>
      </c>
      <c r="B952" s="8">
        <v>-1.9865190328797109</v>
      </c>
      <c r="C952" s="8">
        <v>-1.2694850305255347</v>
      </c>
      <c r="D952" s="8">
        <v>-3.2127045366234341E-2</v>
      </c>
      <c r="E952" s="7">
        <v>0</v>
      </c>
      <c r="F952" s="7">
        <v>-1.4990516053215155E-2</v>
      </c>
      <c r="G952" s="8">
        <v>0</v>
      </c>
      <c r="H952" s="8">
        <v>0</v>
      </c>
      <c r="I952" s="33">
        <v>0</v>
      </c>
      <c r="J952" s="7">
        <v>0</v>
      </c>
      <c r="K952" s="7">
        <v>0</v>
      </c>
      <c r="P952">
        <v>0</v>
      </c>
      <c r="Q952">
        <v>1.9589340910952444</v>
      </c>
      <c r="R952">
        <v>0</v>
      </c>
    </row>
    <row r="953" spans="1:19">
      <c r="A953" s="7"/>
      <c r="B953" s="8">
        <v>-0.60912970227287866</v>
      </c>
      <c r="C953" s="8">
        <v>0.28261535739067112</v>
      </c>
      <c r="D953" s="8">
        <v>-0.68802996689194662</v>
      </c>
      <c r="E953" s="7">
        <v>0</v>
      </c>
      <c r="F953" s="8">
        <v>0</v>
      </c>
      <c r="G953" s="7">
        <v>-1.4990516053215155E-2</v>
      </c>
      <c r="H953" s="8">
        <v>0</v>
      </c>
      <c r="I953" s="8">
        <v>0</v>
      </c>
      <c r="J953" s="33">
        <v>0</v>
      </c>
      <c r="K953" s="33">
        <v>0</v>
      </c>
      <c r="P953">
        <v>0</v>
      </c>
      <c r="Q953">
        <v>0</v>
      </c>
      <c r="R953">
        <v>0.62593834639629431</v>
      </c>
    </row>
    <row r="954" spans="1:19">
      <c r="A954" s="7"/>
      <c r="B954" s="8"/>
      <c r="C954" s="8"/>
      <c r="D954" s="8"/>
      <c r="E954" s="7"/>
      <c r="F954" s="7"/>
      <c r="G954" s="7"/>
      <c r="H954" s="7"/>
      <c r="I954" s="7"/>
      <c r="J954" s="7"/>
      <c r="K954" s="7"/>
    </row>
    <row r="955" spans="1:19">
      <c r="A955" s="7"/>
      <c r="B955" s="8">
        <v>0.45824053226673911</v>
      </c>
      <c r="C955" s="8">
        <v>-2.124969022302313</v>
      </c>
      <c r="D955" s="8">
        <v>2.076961144994538E-2</v>
      </c>
      <c r="E955" s="7">
        <v>-1.4990516053215155E-2</v>
      </c>
      <c r="F955" s="8">
        <v>0</v>
      </c>
      <c r="G955" s="8">
        <v>0</v>
      </c>
      <c r="H955" s="33">
        <v>0</v>
      </c>
      <c r="I955" s="7">
        <v>0</v>
      </c>
      <c r="J955" s="7">
        <v>0</v>
      </c>
      <c r="K955" s="7">
        <v>0</v>
      </c>
      <c r="M955">
        <f t="shared" ref="M955" si="711">MDETERM(B955:D957)</f>
        <v>0.19868773649886828</v>
      </c>
      <c r="N955">
        <f t="shared" ref="N955" si="712">MDETERM(E955:G957)</f>
        <v>-3.3686023826032914E-6</v>
      </c>
      <c r="P955">
        <f t="array" ref="P955:R957">SVDD(B955:D957)</f>
        <v>2.5956420821761785</v>
      </c>
      <c r="Q955">
        <v>0</v>
      </c>
      <c r="R955">
        <v>0</v>
      </c>
      <c r="S955" s="3">
        <f t="shared" ref="S955" si="713">MAX(P955,Q956,R957)/MIN(P955,Q956,R957)</f>
        <v>52.914300823005625</v>
      </c>
    </row>
    <row r="956" spans="1:19">
      <c r="A956" s="7" t="s">
        <v>254</v>
      </c>
      <c r="B956" s="8">
        <v>0.85843073718374274</v>
      </c>
      <c r="C956" s="8">
        <v>-1.040962775001312</v>
      </c>
      <c r="D956" s="8">
        <v>3.7610117674176324E-2</v>
      </c>
      <c r="E956" s="7">
        <v>0</v>
      </c>
      <c r="F956" s="7">
        <v>-1.4990516053215155E-2</v>
      </c>
      <c r="G956" s="8">
        <v>0</v>
      </c>
      <c r="H956" s="8">
        <v>0</v>
      </c>
      <c r="I956" s="33">
        <v>0</v>
      </c>
      <c r="J956" s="7">
        <v>0</v>
      </c>
      <c r="K956" s="7">
        <v>0</v>
      </c>
      <c r="P956">
        <v>0</v>
      </c>
      <c r="Q956">
        <v>1.5604667203013576</v>
      </c>
      <c r="R956">
        <v>0</v>
      </c>
    </row>
    <row r="957" spans="1:19">
      <c r="A957" s="7"/>
      <c r="B957" s="8">
        <v>-1.6188303733889171</v>
      </c>
      <c r="C957" s="8">
        <v>1.9594494251009342E-2</v>
      </c>
      <c r="D957" s="8">
        <v>7.7422792294721043E-2</v>
      </c>
      <c r="E957" s="7">
        <v>0</v>
      </c>
      <c r="F957" s="8">
        <v>0</v>
      </c>
      <c r="G957" s="7">
        <v>-1.4990516053215155E-2</v>
      </c>
      <c r="H957" s="8">
        <v>0</v>
      </c>
      <c r="I957" s="8">
        <v>0</v>
      </c>
      <c r="J957" s="33">
        <v>0</v>
      </c>
      <c r="K957" s="33">
        <v>0</v>
      </c>
      <c r="P957">
        <v>0</v>
      </c>
      <c r="Q957">
        <v>0</v>
      </c>
      <c r="R957">
        <v>4.9053697049846828E-2</v>
      </c>
    </row>
    <row r="958" spans="1:19">
      <c r="A958" s="7"/>
      <c r="B958" s="8"/>
      <c r="C958" s="8"/>
      <c r="D958" s="8"/>
      <c r="E958" s="7"/>
      <c r="F958" s="7"/>
      <c r="G958" s="7"/>
      <c r="H958" s="7"/>
      <c r="I958" s="7"/>
      <c r="J958" s="7"/>
      <c r="K958" s="7"/>
    </row>
    <row r="959" spans="1:19">
      <c r="A959" s="7"/>
      <c r="B959" s="8">
        <v>0.45824053226673911</v>
      </c>
      <c r="C959" s="8">
        <v>-2.124969022302313</v>
      </c>
      <c r="D959" s="8">
        <v>2.076961144994538E-2</v>
      </c>
      <c r="E959" s="7">
        <v>-1.4990516053215155E-2</v>
      </c>
      <c r="F959" s="8">
        <v>0</v>
      </c>
      <c r="G959" s="8">
        <v>0</v>
      </c>
      <c r="H959" s="33">
        <v>0</v>
      </c>
      <c r="I959" s="7">
        <v>0</v>
      </c>
      <c r="J959" s="7">
        <v>0</v>
      </c>
      <c r="K959" s="7">
        <v>0</v>
      </c>
      <c r="M959">
        <f t="shared" ref="M959" si="714">MDETERM(B959:D961)</f>
        <v>-0.89118368812874904</v>
      </c>
      <c r="N959">
        <f t="shared" ref="N959" si="715">MDETERM(E959:G961)</f>
        <v>-3.3686023826032914E-6</v>
      </c>
      <c r="P959">
        <f t="array" ref="P959:R961">SVDD(B959:D961)</f>
        <v>2.5523466833091679</v>
      </c>
      <c r="Q959">
        <v>0</v>
      </c>
      <c r="R959">
        <v>0</v>
      </c>
      <c r="S959" s="3">
        <f t="shared" ref="S959" si="716">MAX(P959,Q960,R961)/MIN(P959,Q960,R961)</f>
        <v>6.5646293729706269</v>
      </c>
    </row>
    <row r="960" spans="1:19">
      <c r="A960" s="7" t="s">
        <v>255</v>
      </c>
      <c r="B960" s="8">
        <v>0.85843073718374274</v>
      </c>
      <c r="C960" s="8">
        <v>-1.040962775001312</v>
      </c>
      <c r="D960" s="8">
        <v>3.7610117674176324E-2</v>
      </c>
      <c r="E960" s="7">
        <v>0</v>
      </c>
      <c r="F960" s="7">
        <v>-1.4990516053215155E-2</v>
      </c>
      <c r="G960" s="8">
        <v>0</v>
      </c>
      <c r="H960" s="8">
        <v>0</v>
      </c>
      <c r="I960" s="33">
        <v>0</v>
      </c>
      <c r="J960" s="7">
        <v>0</v>
      </c>
      <c r="K960" s="7">
        <v>0</v>
      </c>
      <c r="P960">
        <v>0</v>
      </c>
      <c r="Q960">
        <v>0.8980450274857007</v>
      </c>
      <c r="R960">
        <v>0</v>
      </c>
    </row>
    <row r="961" spans="1:19">
      <c r="A961" s="7"/>
      <c r="B961" s="8">
        <v>-0.60912970227287866</v>
      </c>
      <c r="C961" s="8">
        <v>0.28261535739067112</v>
      </c>
      <c r="D961" s="8">
        <v>-0.68802996689194662</v>
      </c>
      <c r="E961" s="7">
        <v>0</v>
      </c>
      <c r="F961" s="8">
        <v>0</v>
      </c>
      <c r="G961" s="7">
        <v>-1.4990516053215155E-2</v>
      </c>
      <c r="H961" s="8">
        <v>0</v>
      </c>
      <c r="I961" s="8">
        <v>0</v>
      </c>
      <c r="J961" s="33">
        <v>0</v>
      </c>
      <c r="K961" s="33">
        <v>0</v>
      </c>
      <c r="P961">
        <v>0</v>
      </c>
      <c r="Q961">
        <v>0</v>
      </c>
      <c r="R961">
        <v>0.38880286125798136</v>
      </c>
    </row>
    <row r="962" spans="1:19">
      <c r="A962" s="7"/>
      <c r="B962" s="8"/>
      <c r="C962" s="8"/>
      <c r="D962" s="8"/>
      <c r="E962" s="7"/>
      <c r="F962" s="7"/>
      <c r="G962" s="7"/>
      <c r="H962" s="7"/>
      <c r="I962" s="7"/>
      <c r="J962" s="7"/>
      <c r="K962" s="7"/>
    </row>
    <row r="963" spans="1:19">
      <c r="A963" s="7"/>
      <c r="B963" s="8">
        <v>0.45824053226673911</v>
      </c>
      <c r="C963" s="8">
        <v>-2.124969022302313</v>
      </c>
      <c r="D963" s="8">
        <v>2.076961144994538E-2</v>
      </c>
      <c r="E963" s="7">
        <v>-1.4990516053215155E-2</v>
      </c>
      <c r="F963" s="8">
        <v>0</v>
      </c>
      <c r="G963" s="8">
        <v>0</v>
      </c>
      <c r="H963" s="33">
        <v>0</v>
      </c>
      <c r="I963" s="7">
        <v>0</v>
      </c>
      <c r="J963" s="7">
        <v>0</v>
      </c>
      <c r="K963" s="7">
        <v>0</v>
      </c>
      <c r="M963">
        <f t="shared" ref="M963" si="717">MDETERM(B963:D965)</f>
        <v>2.4415543907414023</v>
      </c>
      <c r="N963">
        <f t="shared" ref="N963" si="718">MDETERM(E963:G965)</f>
        <v>-3.3686023826032914E-6</v>
      </c>
      <c r="P963">
        <f t="array" ref="P963:R965">SVDD(B963:D965)</f>
        <v>2.3007695693998889</v>
      </c>
      <c r="Q963">
        <v>0</v>
      </c>
      <c r="R963">
        <v>0</v>
      </c>
      <c r="S963" s="3">
        <f t="shared" ref="S963" si="719">MAX(P963,Q964,R965)/MIN(P963,Q964,R965)</f>
        <v>3.455632551064447</v>
      </c>
    </row>
    <row r="964" spans="1:19">
      <c r="A964" s="7" t="s">
        <v>256</v>
      </c>
      <c r="B964" s="8">
        <v>-1.6188303733889171</v>
      </c>
      <c r="C964" s="8">
        <v>1.9594494251009342E-2</v>
      </c>
      <c r="D964" s="8">
        <v>7.7422792294721043E-2</v>
      </c>
      <c r="E964" s="7">
        <v>0</v>
      </c>
      <c r="F964" s="7">
        <v>-1.4990516053215155E-2</v>
      </c>
      <c r="G964" s="8">
        <v>0</v>
      </c>
      <c r="H964" s="8">
        <v>0</v>
      </c>
      <c r="I964" s="33">
        <v>0</v>
      </c>
      <c r="J964" s="7">
        <v>0</v>
      </c>
      <c r="K964" s="7">
        <v>0</v>
      </c>
      <c r="P964">
        <v>0</v>
      </c>
      <c r="Q964">
        <v>1.5938509680172095</v>
      </c>
      <c r="R964">
        <v>0</v>
      </c>
    </row>
    <row r="965" spans="1:19">
      <c r="A965" s="7"/>
      <c r="B965" s="8">
        <v>-0.60912970227287866</v>
      </c>
      <c r="C965" s="8">
        <v>0.28261535739067112</v>
      </c>
      <c r="D965" s="8">
        <v>-0.68802996689194662</v>
      </c>
      <c r="E965" s="7">
        <v>0</v>
      </c>
      <c r="F965" s="8">
        <v>0</v>
      </c>
      <c r="G965" s="7">
        <v>-1.4990516053215155E-2</v>
      </c>
      <c r="H965" s="8">
        <v>0</v>
      </c>
      <c r="I965" s="8">
        <v>0</v>
      </c>
      <c r="J965" s="33">
        <v>0</v>
      </c>
      <c r="K965" s="33">
        <v>0</v>
      </c>
      <c r="P965">
        <v>0</v>
      </c>
      <c r="Q965">
        <v>0</v>
      </c>
      <c r="R965">
        <v>0.66580272508753202</v>
      </c>
    </row>
    <row r="966" spans="1:19">
      <c r="A966" s="7"/>
      <c r="B966" s="8"/>
      <c r="C966" s="8"/>
      <c r="D966" s="8"/>
      <c r="E966" s="7"/>
      <c r="F966" s="7"/>
      <c r="G966" s="7"/>
      <c r="H966" s="7"/>
      <c r="I966" s="7"/>
      <c r="J966" s="7"/>
      <c r="K966" s="7"/>
    </row>
    <row r="967" spans="1:19">
      <c r="A967" s="7"/>
      <c r="B967" s="8">
        <v>-1.9865190328797109</v>
      </c>
      <c r="C967" s="8">
        <v>-1.2694850305255347</v>
      </c>
      <c r="D967" s="8">
        <v>-3.2127045366234341E-2</v>
      </c>
      <c r="E967" s="7">
        <v>-1.4990516053215155E-2</v>
      </c>
      <c r="F967" s="8">
        <v>0</v>
      </c>
      <c r="G967" s="8">
        <v>0</v>
      </c>
      <c r="H967" s="33">
        <v>0</v>
      </c>
      <c r="I967" s="7">
        <v>0</v>
      </c>
      <c r="J967" s="7">
        <v>0</v>
      </c>
      <c r="K967" s="7">
        <v>0</v>
      </c>
      <c r="M967">
        <f t="shared" ref="M967" si="720">MDETERM(B967:D969)</f>
        <v>0.37682869621116094</v>
      </c>
      <c r="N967">
        <f t="shared" ref="N967" si="721">MDETERM(E967:G969)</f>
        <v>-3.3686023826032914E-6</v>
      </c>
      <c r="P967">
        <f t="array" ref="P967:R969">SVDD(B967:D969)</f>
        <v>2.793375638110704</v>
      </c>
      <c r="Q967">
        <v>0</v>
      </c>
      <c r="R967">
        <v>0</v>
      </c>
      <c r="S967" s="3">
        <f t="shared" ref="S967" si="722">MAX(P967,Q968,R969)/MIN(P967,Q968,R969)</f>
        <v>30.68925723895747</v>
      </c>
    </row>
    <row r="968" spans="1:19">
      <c r="A968" s="7" t="s">
        <v>257</v>
      </c>
      <c r="B968" s="8">
        <v>0.85843073718374274</v>
      </c>
      <c r="C968" s="8">
        <v>-1.040962775001312</v>
      </c>
      <c r="D968" s="8">
        <v>3.7610117674176324E-2</v>
      </c>
      <c r="E968" s="7">
        <v>0</v>
      </c>
      <c r="F968" s="7">
        <v>-1.4990516053215155E-2</v>
      </c>
      <c r="G968" s="8">
        <v>0</v>
      </c>
      <c r="H968" s="8">
        <v>0</v>
      </c>
      <c r="I968" s="33">
        <v>0</v>
      </c>
      <c r="J968" s="7">
        <v>0</v>
      </c>
      <c r="K968" s="7">
        <v>0</v>
      </c>
      <c r="P968">
        <v>0</v>
      </c>
      <c r="Q968">
        <v>1.4820800548592565</v>
      </c>
      <c r="R968">
        <v>0</v>
      </c>
    </row>
    <row r="969" spans="1:19">
      <c r="A969" s="7"/>
      <c r="B969" s="8">
        <v>-1.6188303733889171</v>
      </c>
      <c r="C969" s="8">
        <v>1.9594494251009342E-2</v>
      </c>
      <c r="D969" s="8">
        <v>7.7422792294721043E-2</v>
      </c>
      <c r="E969" s="7">
        <v>0</v>
      </c>
      <c r="F969" s="8">
        <v>0</v>
      </c>
      <c r="G969" s="7">
        <v>-1.4990516053215155E-2</v>
      </c>
      <c r="H969" s="8">
        <v>0</v>
      </c>
      <c r="I969" s="8">
        <v>0</v>
      </c>
      <c r="J969" s="33">
        <v>0</v>
      </c>
      <c r="K969" s="33">
        <v>0</v>
      </c>
      <c r="P969">
        <v>0</v>
      </c>
      <c r="Q969">
        <v>0</v>
      </c>
      <c r="R969">
        <v>9.1021285277792421E-2</v>
      </c>
    </row>
    <row r="970" spans="1:19">
      <c r="A970" s="7"/>
      <c r="B970" s="8"/>
      <c r="C970" s="8"/>
      <c r="D970" s="8"/>
      <c r="E970" s="7"/>
      <c r="F970" s="7"/>
      <c r="G970" s="7"/>
      <c r="H970" s="7"/>
      <c r="I970" s="7"/>
      <c r="J970" s="7"/>
      <c r="K970" s="7"/>
    </row>
    <row r="971" spans="1:19">
      <c r="A971" s="7"/>
      <c r="B971" s="8">
        <v>-1.9865190328797109</v>
      </c>
      <c r="C971" s="8">
        <v>-1.2694850305255347</v>
      </c>
      <c r="D971" s="8">
        <v>-3.2127045366234341E-2</v>
      </c>
      <c r="E971" s="7">
        <v>-1.4990516053215155E-2</v>
      </c>
      <c r="F971" s="8">
        <v>0</v>
      </c>
      <c r="G971" s="8">
        <v>0</v>
      </c>
      <c r="H971" s="33">
        <v>0</v>
      </c>
      <c r="I971" s="7">
        <v>0</v>
      </c>
      <c r="J971" s="7">
        <v>0</v>
      </c>
      <c r="K971" s="7">
        <v>0</v>
      </c>
      <c r="M971">
        <f t="shared" ref="M971" si="723">MDETERM(B971:D973)</f>
        <v>-2.1097876238997864</v>
      </c>
      <c r="N971">
        <f t="shared" ref="N971" si="724">MDETERM(E971:G973)</f>
        <v>-3.3686023826032914E-6</v>
      </c>
      <c r="P971">
        <f t="array" ref="P971:R973">SVDD(B971:D973)</f>
        <v>2.4064196796033306</v>
      </c>
      <c r="Q971">
        <v>0</v>
      </c>
      <c r="R971">
        <v>0</v>
      </c>
      <c r="S971" s="3">
        <f t="shared" ref="S971" si="725">MAX(P971,Q972,R973)/MIN(P971,Q972,R973)</f>
        <v>4.0321439196075497</v>
      </c>
    </row>
    <row r="972" spans="1:19">
      <c r="A972" s="7" t="s">
        <v>258</v>
      </c>
      <c r="B972" s="8">
        <v>0.85843073718374274</v>
      </c>
      <c r="C972" s="8">
        <v>-1.040962775001312</v>
      </c>
      <c r="D972" s="8">
        <v>3.7610117674176324E-2</v>
      </c>
      <c r="E972" s="7">
        <v>0</v>
      </c>
      <c r="F972" s="7">
        <v>-1.4990516053215155E-2</v>
      </c>
      <c r="G972" s="8">
        <v>0</v>
      </c>
      <c r="H972" s="8">
        <v>0</v>
      </c>
      <c r="I972" s="33">
        <v>0</v>
      </c>
      <c r="J972" s="7">
        <v>0</v>
      </c>
      <c r="K972" s="7">
        <v>0</v>
      </c>
      <c r="P972">
        <v>0</v>
      </c>
      <c r="Q972">
        <v>1.4690345982898902</v>
      </c>
      <c r="R972">
        <v>0</v>
      </c>
    </row>
    <row r="973" spans="1:19">
      <c r="A973" s="7"/>
      <c r="B973" s="8">
        <v>-0.60912970227287866</v>
      </c>
      <c r="C973" s="8">
        <v>0.28261535739067112</v>
      </c>
      <c r="D973" s="8">
        <v>-0.68802996689194662</v>
      </c>
      <c r="E973" s="7">
        <v>0</v>
      </c>
      <c r="F973" s="8">
        <v>0</v>
      </c>
      <c r="G973" s="7">
        <v>-1.4990516053215155E-2</v>
      </c>
      <c r="H973" s="8">
        <v>0</v>
      </c>
      <c r="I973" s="8">
        <v>0</v>
      </c>
      <c r="J973" s="33">
        <v>0</v>
      </c>
      <c r="K973" s="33">
        <v>0</v>
      </c>
      <c r="P973">
        <v>0</v>
      </c>
      <c r="Q973">
        <v>0</v>
      </c>
      <c r="R973">
        <v>0.59680897497268615</v>
      </c>
    </row>
    <row r="974" spans="1:19">
      <c r="A974" s="7"/>
      <c r="B974" s="8"/>
      <c r="C974" s="8"/>
      <c r="D974" s="8"/>
      <c r="E974" s="7"/>
      <c r="F974" s="7"/>
      <c r="G974" s="7"/>
      <c r="H974" s="7"/>
      <c r="I974" s="7"/>
      <c r="J974" s="7"/>
      <c r="K974" s="7"/>
    </row>
    <row r="975" spans="1:19">
      <c r="A975" s="7"/>
      <c r="B975" s="8">
        <v>-1.9865190328797109</v>
      </c>
      <c r="C975" s="8">
        <v>-1.2694850305255347</v>
      </c>
      <c r="D975" s="8">
        <v>-3.2127045366234341E-2</v>
      </c>
      <c r="E975" s="7">
        <v>-1.4990516053215155E-2</v>
      </c>
      <c r="F975" s="8">
        <v>0</v>
      </c>
      <c r="G975" s="8">
        <v>0</v>
      </c>
      <c r="H975" s="33">
        <v>0</v>
      </c>
      <c r="I975" s="7">
        <v>0</v>
      </c>
      <c r="J975" s="7">
        <v>0</v>
      </c>
      <c r="K975" s="7">
        <v>0</v>
      </c>
      <c r="M975">
        <f t="shared" ref="M975" si="726">MDETERM(B975:D977)</f>
        <v>1.5583899283599822</v>
      </c>
      <c r="N975">
        <f t="shared" ref="N975" si="727">MDETERM(E975:G977)</f>
        <v>-3.3686023826032914E-6</v>
      </c>
      <c r="P975">
        <f t="array" ref="P975:R977">SVDD(B975:D977)</f>
        <v>2.7975145901109673</v>
      </c>
      <c r="Q975">
        <v>0</v>
      </c>
      <c r="R975">
        <v>0</v>
      </c>
      <c r="S975" s="3">
        <f t="shared" ref="S975" si="728">MAX(P975,Q976,R977)/MIN(P975,Q976,R977)</f>
        <v>4.9236532994760909</v>
      </c>
    </row>
    <row r="976" spans="1:19">
      <c r="A976" s="7" t="s">
        <v>259</v>
      </c>
      <c r="B976" s="8">
        <v>-1.6188303733889171</v>
      </c>
      <c r="C976" s="8">
        <v>1.9594494251009342E-2</v>
      </c>
      <c r="D976" s="8">
        <v>7.7422792294721043E-2</v>
      </c>
      <c r="E976" s="7">
        <v>0</v>
      </c>
      <c r="F976" s="7">
        <v>-1.4990516053215155E-2</v>
      </c>
      <c r="G976" s="8">
        <v>0</v>
      </c>
      <c r="H976" s="8">
        <v>0</v>
      </c>
      <c r="I976" s="33">
        <v>0</v>
      </c>
      <c r="J976" s="7">
        <v>0</v>
      </c>
      <c r="K976" s="7">
        <v>0</v>
      </c>
      <c r="P976">
        <v>0</v>
      </c>
      <c r="Q976">
        <v>0.9804351584655423</v>
      </c>
      <c r="R976">
        <v>0</v>
      </c>
    </row>
    <row r="977" spans="1:19">
      <c r="A977" s="7"/>
      <c r="B977" s="8">
        <v>-0.60912970227287866</v>
      </c>
      <c r="C977" s="8">
        <v>0.28261535739067112</v>
      </c>
      <c r="D977" s="8">
        <v>-0.68802996689194662</v>
      </c>
      <c r="E977" s="7">
        <v>0</v>
      </c>
      <c r="F977" s="8">
        <v>0</v>
      </c>
      <c r="G977" s="7">
        <v>-1.4990516053215155E-2</v>
      </c>
      <c r="H977" s="8">
        <v>0</v>
      </c>
      <c r="I977" s="8">
        <v>0</v>
      </c>
      <c r="J977" s="33">
        <v>0</v>
      </c>
      <c r="K977" s="33">
        <v>0</v>
      </c>
      <c r="P977">
        <v>0</v>
      </c>
      <c r="Q977">
        <v>0</v>
      </c>
      <c r="R977">
        <v>0.56817863077577802</v>
      </c>
    </row>
    <row r="978" spans="1:19">
      <c r="A978" s="7"/>
      <c r="B978" s="8"/>
      <c r="C978" s="8"/>
      <c r="D978" s="8"/>
      <c r="E978" s="7"/>
      <c r="F978" s="7"/>
      <c r="G978" s="7"/>
      <c r="H978" s="7"/>
      <c r="I978" s="7"/>
      <c r="J978" s="7"/>
      <c r="K978" s="7"/>
    </row>
    <row r="979" spans="1:19">
      <c r="A979" s="7"/>
      <c r="B979" s="8">
        <v>0.85843073718374274</v>
      </c>
      <c r="C979" s="8">
        <v>-1.040962775001312</v>
      </c>
      <c r="D979" s="8">
        <v>3.7610117674176324E-2</v>
      </c>
      <c r="E979" s="7">
        <v>-1.4990516053215155E-2</v>
      </c>
      <c r="F979" s="8">
        <v>0</v>
      </c>
      <c r="G979" s="8">
        <v>0</v>
      </c>
      <c r="H979" s="33">
        <v>0</v>
      </c>
      <c r="I979" s="7">
        <v>0</v>
      </c>
      <c r="J979" s="7">
        <v>0</v>
      </c>
      <c r="K979" s="7">
        <v>0</v>
      </c>
      <c r="M979">
        <f t="shared" ref="M979" si="729">MDETERM(B979:D981)</f>
        <v>1.1614064528411259</v>
      </c>
      <c r="N979">
        <f t="shared" ref="N979" si="730">MDETERM(E979:G981)</f>
        <v>-3.3686023826032914E-6</v>
      </c>
      <c r="P979">
        <f t="array" ref="P979:R981">SVDD(B979:D981)</f>
        <v>2.0431566725377897</v>
      </c>
      <c r="Q979">
        <v>0</v>
      </c>
      <c r="R979">
        <v>0</v>
      </c>
      <c r="S979" s="3">
        <f t="shared" ref="S979" si="731">MAX(P979,Q980,R981)/MIN(P979,Q980,R981)</f>
        <v>3.1934764631216082</v>
      </c>
    </row>
    <row r="980" spans="1:19">
      <c r="A980" s="7" t="s">
        <v>260</v>
      </c>
      <c r="B980" s="8">
        <v>-1.6188303733889171</v>
      </c>
      <c r="C980" s="8">
        <v>1.9594494251009342E-2</v>
      </c>
      <c r="D980" s="8">
        <v>7.7422792294721043E-2</v>
      </c>
      <c r="E980" s="7">
        <v>0</v>
      </c>
      <c r="F980" s="7">
        <v>-1.4990516053215155E-2</v>
      </c>
      <c r="G980" s="8">
        <v>0</v>
      </c>
      <c r="H980" s="8">
        <v>0</v>
      </c>
      <c r="I980" s="33">
        <v>0</v>
      </c>
      <c r="J980" s="7">
        <v>0</v>
      </c>
      <c r="K980" s="7">
        <v>0</v>
      </c>
      <c r="P980">
        <v>0</v>
      </c>
      <c r="Q980">
        <v>0.88847377577391495</v>
      </c>
      <c r="R980">
        <v>0</v>
      </c>
    </row>
    <row r="981" spans="1:19">
      <c r="A981" s="7"/>
      <c r="B981" s="8">
        <v>-0.60912970227287866</v>
      </c>
      <c r="C981" s="8">
        <v>0.28261535739067112</v>
      </c>
      <c r="D981" s="8">
        <v>-0.68802996689194662</v>
      </c>
      <c r="E981" s="7">
        <v>0</v>
      </c>
      <c r="F981" s="8">
        <v>0</v>
      </c>
      <c r="G981" s="7">
        <v>-1.4990516053215155E-2</v>
      </c>
      <c r="H981" s="8">
        <v>0</v>
      </c>
      <c r="I981" s="8">
        <v>0</v>
      </c>
      <c r="J981" s="33">
        <v>0</v>
      </c>
      <c r="K981" s="33">
        <v>0</v>
      </c>
      <c r="P981">
        <v>0</v>
      </c>
      <c r="Q981">
        <v>0</v>
      </c>
      <c r="R981">
        <v>0.63979074094712873</v>
      </c>
    </row>
    <row r="982" spans="1:19">
      <c r="A982" s="7"/>
      <c r="B982" s="8"/>
      <c r="C982" s="8"/>
      <c r="D982" s="8"/>
      <c r="E982" s="7"/>
      <c r="F982" s="7"/>
      <c r="G982" s="7"/>
      <c r="H982" s="7"/>
      <c r="I982" s="7"/>
      <c r="J982" s="7"/>
      <c r="K982" s="7"/>
    </row>
    <row r="983" spans="1:19">
      <c r="A983" s="7"/>
      <c r="B983" s="8">
        <v>2.5457845528396139E-2</v>
      </c>
      <c r="C983" s="8">
        <v>-2.3667658472617719</v>
      </c>
      <c r="D983" s="8">
        <v>-6.368425350466822E-2</v>
      </c>
      <c r="E983" s="7">
        <v>-1.4990516053215155E-2</v>
      </c>
      <c r="F983" s="8">
        <v>0</v>
      </c>
      <c r="G983" s="8">
        <v>0</v>
      </c>
      <c r="H983" s="33">
        <v>0</v>
      </c>
      <c r="I983" s="7">
        <v>0</v>
      </c>
      <c r="J983" s="7">
        <v>0</v>
      </c>
      <c r="K983" s="7">
        <v>0</v>
      </c>
      <c r="M983">
        <f t="shared" ref="M983" si="732">MDETERM(B983:D985)</f>
        <v>-4.1209420531034775</v>
      </c>
      <c r="N983">
        <f t="shared" ref="N983" si="733">MDETERM(E983:G985)</f>
        <v>-3.3686023826032914E-6</v>
      </c>
      <c r="P983">
        <f t="array" ref="P983:R985">SVDD(B983:D985)</f>
        <v>4.2146174454973702</v>
      </c>
      <c r="Q983">
        <v>0</v>
      </c>
      <c r="R983">
        <v>0</v>
      </c>
      <c r="S983" s="3">
        <f t="shared" ref="S983" si="734">MAX(P983,Q984,R985)/MIN(P983,Q984,R985)</f>
        <v>7.0062729721822521</v>
      </c>
    </row>
    <row r="984" spans="1:19">
      <c r="A984" s="7" t="s">
        <v>261</v>
      </c>
      <c r="B984" s="8">
        <v>-1.2284177840385118</v>
      </c>
      <c r="C984" s="8">
        <v>-2.3993580133895418</v>
      </c>
      <c r="D984" s="8">
        <v>0.6756623603325641</v>
      </c>
      <c r="E984" s="7">
        <v>0</v>
      </c>
      <c r="F984" s="7">
        <v>-1.4990516053215155E-2</v>
      </c>
      <c r="G984" s="8">
        <v>0</v>
      </c>
      <c r="H984" s="8">
        <v>0</v>
      </c>
      <c r="I984" s="33">
        <v>0</v>
      </c>
      <c r="J984" s="7">
        <v>0</v>
      </c>
      <c r="K984" s="7">
        <v>0</v>
      </c>
      <c r="P984">
        <v>0</v>
      </c>
      <c r="Q984">
        <v>1.6254261432289234</v>
      </c>
      <c r="R984">
        <v>0</v>
      </c>
    </row>
    <row r="985" spans="1:19">
      <c r="A985" s="7"/>
      <c r="B985" s="8">
        <v>1.0673702345396179</v>
      </c>
      <c r="C985" s="8">
        <v>-2.4075843796929846</v>
      </c>
      <c r="D985" s="8">
        <v>0.708799578341892</v>
      </c>
      <c r="E985" s="7">
        <v>0</v>
      </c>
      <c r="F985" s="8">
        <v>0</v>
      </c>
      <c r="G985" s="7">
        <v>-1.4990516053215155E-2</v>
      </c>
      <c r="H985" s="8">
        <v>0</v>
      </c>
      <c r="I985" s="8">
        <v>0</v>
      </c>
      <c r="J985" s="33">
        <v>0</v>
      </c>
      <c r="K985" s="33">
        <v>0</v>
      </c>
      <c r="P985">
        <v>0</v>
      </c>
      <c r="Q985">
        <v>0</v>
      </c>
      <c r="R985">
        <v>0.60154913492967121</v>
      </c>
    </row>
    <row r="986" spans="1:19">
      <c r="A986" s="7"/>
      <c r="B986" s="8"/>
      <c r="C986" s="8"/>
      <c r="D986" s="8"/>
      <c r="E986" s="7"/>
      <c r="F986" s="7"/>
      <c r="G986" s="7"/>
      <c r="H986" s="7"/>
      <c r="I986" s="7"/>
      <c r="J986" s="7"/>
      <c r="K986" s="7"/>
    </row>
    <row r="987" spans="1:19">
      <c r="A987" s="7"/>
      <c r="B987" s="8">
        <v>2.5457845528396139E-2</v>
      </c>
      <c r="C987" s="8">
        <v>-2.3667658472617719</v>
      </c>
      <c r="D987" s="8">
        <v>-6.368425350466822E-2</v>
      </c>
      <c r="E987" s="7">
        <v>-1.4990516053215155E-2</v>
      </c>
      <c r="F987" s="8">
        <v>0</v>
      </c>
      <c r="G987" s="8">
        <v>0</v>
      </c>
      <c r="H987" s="33">
        <v>0</v>
      </c>
      <c r="I987" s="7">
        <v>0</v>
      </c>
      <c r="J987" s="7">
        <v>0</v>
      </c>
      <c r="K987" s="7">
        <v>0</v>
      </c>
      <c r="M987">
        <f t="shared" ref="M987" si="735">MDETERM(B987:D989)</f>
        <v>0.37135180285820119</v>
      </c>
      <c r="N987">
        <f t="shared" ref="N987" si="736">MDETERM(E987:G989)</f>
        <v>-3.3686023826032914E-6</v>
      </c>
      <c r="P987">
        <f t="array" ref="P987:R989">SVDD(B987:D989)</f>
        <v>4.0460618428115298</v>
      </c>
      <c r="Q987">
        <v>0</v>
      </c>
      <c r="R987">
        <v>0</v>
      </c>
      <c r="S987" s="3">
        <f t="shared" ref="S987" si="737">MAX(P987,Q988,R989)/MIN(P987,Q988,R989)</f>
        <v>57.301482607717354</v>
      </c>
    </row>
    <row r="988" spans="1:19">
      <c r="A988" s="7" t="s">
        <v>262</v>
      </c>
      <c r="B988" s="8">
        <v>-1.2284177840385118</v>
      </c>
      <c r="C988" s="8">
        <v>-2.3993580133895418</v>
      </c>
      <c r="D988" s="8">
        <v>0.6756623603325641</v>
      </c>
      <c r="E988" s="7">
        <v>0</v>
      </c>
      <c r="F988" s="7">
        <v>-1.4990516053215155E-2</v>
      </c>
      <c r="G988" s="8">
        <v>0</v>
      </c>
      <c r="H988" s="8">
        <v>0</v>
      </c>
      <c r="I988" s="33">
        <v>0</v>
      </c>
      <c r="J988" s="7">
        <v>0</v>
      </c>
      <c r="K988" s="7">
        <v>0</v>
      </c>
      <c r="P988">
        <v>0</v>
      </c>
      <c r="Q988">
        <v>1.2998294203642669</v>
      </c>
      <c r="R988">
        <v>0</v>
      </c>
    </row>
    <row r="989" spans="1:19">
      <c r="A989" s="7"/>
      <c r="B989" s="8">
        <v>-1.3773893306068323</v>
      </c>
      <c r="C989" s="8">
        <v>-1.5521003879162059</v>
      </c>
      <c r="D989" s="8">
        <v>0.65590292152571228</v>
      </c>
      <c r="E989" s="7">
        <v>0</v>
      </c>
      <c r="F989" s="8">
        <v>0</v>
      </c>
      <c r="G989" s="7">
        <v>-1.4990516053215155E-2</v>
      </c>
      <c r="H989" s="8">
        <v>0</v>
      </c>
      <c r="I989" s="8">
        <v>0</v>
      </c>
      <c r="J989" s="33">
        <v>0</v>
      </c>
      <c r="K989" s="33">
        <v>0</v>
      </c>
      <c r="P989">
        <v>0</v>
      </c>
      <c r="Q989">
        <v>0</v>
      </c>
      <c r="R989">
        <v>7.0610072526580789E-2</v>
      </c>
    </row>
    <row r="990" spans="1:19">
      <c r="A990" s="7"/>
      <c r="B990" s="8"/>
      <c r="C990" s="8"/>
      <c r="D990" s="8"/>
      <c r="E990" s="7"/>
      <c r="F990" s="7"/>
      <c r="G990" s="7"/>
      <c r="H990" s="7"/>
      <c r="I990" s="7"/>
      <c r="J990" s="7"/>
      <c r="K990" s="7"/>
    </row>
    <row r="991" spans="1:19">
      <c r="A991" s="7"/>
      <c r="B991" s="8">
        <v>2.5457845528396139E-2</v>
      </c>
      <c r="C991" s="8">
        <v>-2.3667658472617719</v>
      </c>
      <c r="D991" s="8">
        <v>-6.368425350466822E-2</v>
      </c>
      <c r="E991" s="7">
        <v>-1.4990516053215155E-2</v>
      </c>
      <c r="F991" s="8">
        <v>0</v>
      </c>
      <c r="G991" s="8">
        <v>0</v>
      </c>
      <c r="H991" s="33">
        <v>0</v>
      </c>
      <c r="I991" s="7">
        <v>0</v>
      </c>
      <c r="J991" s="7">
        <v>0</v>
      </c>
      <c r="K991" s="7">
        <v>0</v>
      </c>
      <c r="M991">
        <f t="shared" ref="M991" si="738">MDETERM(B991:D993)</f>
        <v>-4.8058831541717355</v>
      </c>
      <c r="N991">
        <f t="shared" ref="N991" si="739">MDETERM(E991:G993)</f>
        <v>-3.3686023826032914E-6</v>
      </c>
      <c r="P991">
        <f t="array" ref="P991:R993">SVDD(B991:D993)</f>
        <v>3.6956456724658651</v>
      </c>
      <c r="Q991">
        <v>0</v>
      </c>
      <c r="R991">
        <v>0</v>
      </c>
      <c r="S991" s="3">
        <f t="shared" ref="S991" si="740">MAX(P991,Q992,R993)/MIN(P991,Q992,R993)</f>
        <v>5.4207004825352429</v>
      </c>
    </row>
    <row r="992" spans="1:19">
      <c r="A992" s="7" t="s">
        <v>263</v>
      </c>
      <c r="B992" s="8">
        <v>-1.2284177840385118</v>
      </c>
      <c r="C992" s="8">
        <v>-2.3993580133895418</v>
      </c>
      <c r="D992" s="8">
        <v>0.6756623603325641</v>
      </c>
      <c r="E992" s="7">
        <v>0</v>
      </c>
      <c r="F992" s="7">
        <v>-1.4990516053215155E-2</v>
      </c>
      <c r="G992" s="8">
        <v>0</v>
      </c>
      <c r="H992" s="8">
        <v>0</v>
      </c>
      <c r="I992" s="33">
        <v>0</v>
      </c>
      <c r="J992" s="7">
        <v>0</v>
      </c>
      <c r="K992" s="7">
        <v>0</v>
      </c>
      <c r="P992">
        <v>0</v>
      </c>
      <c r="Q992">
        <v>1.9074271827373903</v>
      </c>
      <c r="R992">
        <v>0</v>
      </c>
    </row>
    <row r="993" spans="1:19">
      <c r="A993" s="7"/>
      <c r="B993" s="8">
        <v>1.4675604394566215</v>
      </c>
      <c r="C993" s="8">
        <v>-1.3235781323919831</v>
      </c>
      <c r="D993" s="8">
        <v>0.72564008456612294</v>
      </c>
      <c r="E993" s="7">
        <v>0</v>
      </c>
      <c r="F993" s="8">
        <v>0</v>
      </c>
      <c r="G993" s="7">
        <v>-1.4990516053215155E-2</v>
      </c>
      <c r="H993" s="8">
        <v>0</v>
      </c>
      <c r="I993" s="8">
        <v>0</v>
      </c>
      <c r="J993" s="33">
        <v>0</v>
      </c>
      <c r="K993" s="33">
        <v>0</v>
      </c>
      <c r="P993">
        <v>0</v>
      </c>
      <c r="Q993">
        <v>0</v>
      </c>
      <c r="R993">
        <v>0.68176533353442625</v>
      </c>
    </row>
    <row r="994" spans="1:19">
      <c r="A994" s="7"/>
      <c r="B994" s="8"/>
      <c r="C994" s="8"/>
      <c r="D994" s="8"/>
      <c r="E994" s="7"/>
      <c r="F994" s="7"/>
      <c r="G994" s="7"/>
      <c r="H994" s="7"/>
      <c r="I994" s="7"/>
      <c r="J994" s="7"/>
      <c r="K994" s="7"/>
    </row>
    <row r="995" spans="1:19">
      <c r="A995" s="7"/>
      <c r="B995" s="8">
        <v>2.5457845528396139E-2</v>
      </c>
      <c r="C995" s="8">
        <v>-2.3667658472617719</v>
      </c>
      <c r="D995" s="8">
        <v>-6.368425350466822E-2</v>
      </c>
      <c r="E995" s="7">
        <v>-1.4990516053215155E-2</v>
      </c>
      <c r="F995" s="8">
        <v>0</v>
      </c>
      <c r="G995" s="8">
        <v>0</v>
      </c>
      <c r="H995" s="33">
        <v>0</v>
      </c>
      <c r="I995" s="7">
        <v>0</v>
      </c>
      <c r="J995" s="7">
        <v>0</v>
      </c>
      <c r="K995" s="7">
        <v>0</v>
      </c>
      <c r="M995">
        <f t="shared" ref="M995" si="741">MDETERM(B995:D997)</f>
        <v>-0.51933697717165073</v>
      </c>
      <c r="N995">
        <f t="shared" ref="N995" si="742">MDETERM(E995:G997)</f>
        <v>-3.3686023826032914E-6</v>
      </c>
      <c r="P995">
        <f t="array" ref="P995:R997">SVDD(B995:D997)</f>
        <v>3.5780314255299053</v>
      </c>
      <c r="Q995">
        <v>0</v>
      </c>
      <c r="R995">
        <v>0</v>
      </c>
      <c r="S995" s="3">
        <f t="shared" ref="S995" si="743">MAX(P995,Q996,R997)/MIN(P995,Q996,R997)</f>
        <v>36.492219185194912</v>
      </c>
    </row>
    <row r="996" spans="1:19">
      <c r="A996" s="7" t="s">
        <v>264</v>
      </c>
      <c r="B996" s="8">
        <v>-1.2284177840385118</v>
      </c>
      <c r="C996" s="8">
        <v>-2.3993580133895418</v>
      </c>
      <c r="D996" s="8">
        <v>0.6756623603325641</v>
      </c>
      <c r="E996" s="7">
        <v>0</v>
      </c>
      <c r="F996" s="7">
        <v>-1.4990516053215155E-2</v>
      </c>
      <c r="G996" s="8">
        <v>0</v>
      </c>
      <c r="H996" s="8">
        <v>0</v>
      </c>
      <c r="I996" s="33">
        <v>0</v>
      </c>
      <c r="J996" s="7">
        <v>0</v>
      </c>
      <c r="K996" s="7">
        <v>0</v>
      </c>
      <c r="P996">
        <v>0</v>
      </c>
      <c r="Q996">
        <v>1.4803391307370171</v>
      </c>
      <c r="R996">
        <v>0</v>
      </c>
    </row>
    <row r="997" spans="1:19">
      <c r="A997" s="7"/>
      <c r="B997" s="8">
        <v>-1.0097006711160386</v>
      </c>
      <c r="C997" s="8">
        <v>-0.26302086313966178</v>
      </c>
      <c r="D997" s="8">
        <v>0.76545275918666766</v>
      </c>
      <c r="E997" s="7">
        <v>0</v>
      </c>
      <c r="F997" s="8">
        <v>0</v>
      </c>
      <c r="G997" s="7">
        <v>-1.4990516053215155E-2</v>
      </c>
      <c r="H997" s="8">
        <v>0</v>
      </c>
      <c r="I997" s="8">
        <v>0</v>
      </c>
      <c r="J997" s="33">
        <v>0</v>
      </c>
      <c r="K997" s="33">
        <v>0</v>
      </c>
      <c r="P997">
        <v>0</v>
      </c>
      <c r="Q997">
        <v>0</v>
      </c>
      <c r="R997">
        <v>9.8049159668029504E-2</v>
      </c>
    </row>
    <row r="998" spans="1:19">
      <c r="A998" s="7"/>
      <c r="B998" s="8"/>
      <c r="C998" s="8"/>
      <c r="D998" s="8"/>
      <c r="E998" s="7"/>
      <c r="F998" s="7"/>
      <c r="G998" s="7"/>
      <c r="H998" s="7"/>
      <c r="I998" s="7"/>
      <c r="J998" s="7"/>
      <c r="K998" s="7"/>
    </row>
    <row r="999" spans="1:19">
      <c r="A999" s="7"/>
      <c r="B999" s="8">
        <v>2.5457845528396139E-2</v>
      </c>
      <c r="C999" s="8">
        <v>-2.3667658472617719</v>
      </c>
      <c r="D999" s="8">
        <v>-6.368425350466822E-2</v>
      </c>
      <c r="E999" s="7">
        <v>-1.4990516053215155E-2</v>
      </c>
      <c r="F999" s="8">
        <v>0</v>
      </c>
      <c r="G999" s="8">
        <v>0</v>
      </c>
      <c r="H999" s="33">
        <v>0</v>
      </c>
      <c r="I999" s="7">
        <v>0</v>
      </c>
      <c r="J999" s="7">
        <v>0</v>
      </c>
      <c r="K999" s="7">
        <v>0</v>
      </c>
      <c r="M999">
        <f t="shared" ref="M999" si="744">MDETERM(B999:D1001)</f>
        <v>-3.1267934701565778</v>
      </c>
      <c r="N999">
        <f t="shared" ref="N999" si="745">MDETERM(E999:G1001)</f>
        <v>-3.3686023826032914E-6</v>
      </c>
      <c r="P999">
        <f t="array" ref="P999:R1001">SVDD(B999:D1001)</f>
        <v>3.523069816289977</v>
      </c>
      <c r="Q999">
        <v>0</v>
      </c>
      <c r="R999">
        <v>0</v>
      </c>
      <c r="S999" s="3">
        <f t="shared" ref="S999" si="746">MAX(P999,Q1000,R1001)/MIN(P999,Q1000,R1001)</f>
        <v>4.2840265157871062</v>
      </c>
    </row>
    <row r="1000" spans="1:19">
      <c r="A1000" s="7" t="s">
        <v>265</v>
      </c>
      <c r="B1000" s="8">
        <v>-1.2284177840385118</v>
      </c>
      <c r="C1000" s="8">
        <v>-2.3993580133895418</v>
      </c>
      <c r="D1000" s="8">
        <v>0.6756623603325641</v>
      </c>
      <c r="E1000" s="7">
        <v>0</v>
      </c>
      <c r="F1000" s="7">
        <v>-1.4990516053215155E-2</v>
      </c>
      <c r="G1000" s="8">
        <v>0</v>
      </c>
      <c r="H1000" s="8">
        <v>0</v>
      </c>
      <c r="I1000" s="33">
        <v>0</v>
      </c>
      <c r="J1000" s="7">
        <v>0</v>
      </c>
      <c r="K1000" s="7">
        <v>0</v>
      </c>
      <c r="P1000">
        <v>0</v>
      </c>
      <c r="Q1000">
        <v>1.0792171726583881</v>
      </c>
      <c r="R1000">
        <v>0</v>
      </c>
    </row>
    <row r="1001" spans="1:19">
      <c r="A1001" s="7"/>
      <c r="B1001" s="8">
        <v>0.60912970227287866</v>
      </c>
      <c r="C1001" s="8">
        <v>-0.28261535739067112</v>
      </c>
      <c r="D1001" s="8">
        <v>0.68802996689194662</v>
      </c>
      <c r="E1001" s="7">
        <v>0</v>
      </c>
      <c r="F1001" s="8">
        <v>0</v>
      </c>
      <c r="G1001" s="7">
        <v>-1.4990516053215155E-2</v>
      </c>
      <c r="H1001" s="8">
        <v>0</v>
      </c>
      <c r="I1001" s="8">
        <v>0</v>
      </c>
      <c r="J1001" s="33">
        <v>0</v>
      </c>
      <c r="K1001" s="33">
        <v>0</v>
      </c>
      <c r="P1001">
        <v>0</v>
      </c>
      <c r="Q1001">
        <v>0</v>
      </c>
      <c r="R1001">
        <v>0.82237348515633124</v>
      </c>
    </row>
    <row r="1002" spans="1:19">
      <c r="A1002" s="7"/>
      <c r="B1002" s="8"/>
      <c r="C1002" s="8"/>
      <c r="D1002" s="8"/>
      <c r="E1002" s="7"/>
      <c r="F1002" s="7"/>
      <c r="G1002" s="7"/>
      <c r="H1002" s="7"/>
      <c r="I1002" s="7"/>
      <c r="J1002" s="7"/>
      <c r="K1002" s="7"/>
    </row>
    <row r="1003" spans="1:19">
      <c r="A1003" s="7"/>
      <c r="B1003" s="8">
        <v>2.5457845528396139E-2</v>
      </c>
      <c r="C1003" s="8">
        <v>-2.3667658472617719</v>
      </c>
      <c r="D1003" s="8">
        <v>-6.368425350466822E-2</v>
      </c>
      <c r="E1003" s="7">
        <v>-1.4990516053215155E-2</v>
      </c>
      <c r="F1003" s="8">
        <v>0</v>
      </c>
      <c r="G1003" s="8">
        <v>0</v>
      </c>
      <c r="H1003" s="33">
        <v>-2.0521745021313972E-2</v>
      </c>
      <c r="I1003" s="7">
        <v>2.1796664656245589E-2</v>
      </c>
      <c r="J1003" s="7">
        <v>0</v>
      </c>
      <c r="K1003" s="7">
        <v>0</v>
      </c>
      <c r="M1003">
        <f t="shared" ref="M1003" si="747">MDETERM(B1003:D1005)</f>
        <v>4.2721063303758733</v>
      </c>
      <c r="N1003">
        <f t="shared" ref="N1003" si="748">MDETERM(E1003:G1005)</f>
        <v>-3.3686023826032914E-6</v>
      </c>
      <c r="P1003">
        <f t="array" ref="P1003:R1005">SVDD(B1003:D1005)</f>
        <v>3.7843160767800486</v>
      </c>
      <c r="Q1003">
        <v>0</v>
      </c>
      <c r="R1003">
        <v>0</v>
      </c>
      <c r="S1003" s="3">
        <f t="shared" ref="S1003" si="749">MAX(P1003,Q1004,R1005)/MIN(P1003,Q1004,R1005)</f>
        <v>5.8454524208722907</v>
      </c>
    </row>
    <row r="1004" spans="1:19">
      <c r="A1004" s="7" t="s">
        <v>266</v>
      </c>
      <c r="B1004" s="8">
        <v>1.0673702345396179</v>
      </c>
      <c r="C1004" s="8">
        <v>-2.4075843796929846</v>
      </c>
      <c r="D1004" s="8">
        <v>0.708799578341892</v>
      </c>
      <c r="E1004" s="7">
        <v>0</v>
      </c>
      <c r="F1004" s="7">
        <v>-1.4990516053215155E-2</v>
      </c>
      <c r="G1004" s="8">
        <v>0</v>
      </c>
      <c r="H1004" s="8">
        <v>-2.0521745021313972E-2</v>
      </c>
      <c r="I1004" s="33">
        <v>0</v>
      </c>
      <c r="J1004" s="7">
        <v>2.2872089329671663E-2</v>
      </c>
      <c r="K1004" s="7">
        <v>0</v>
      </c>
      <c r="P1004">
        <v>0</v>
      </c>
      <c r="Q1004">
        <v>1.743754646759575</v>
      </c>
      <c r="R1004">
        <v>0</v>
      </c>
    </row>
    <row r="1005" spans="1:19">
      <c r="A1005" s="7"/>
      <c r="B1005" s="8">
        <v>-1.3773893306068323</v>
      </c>
      <c r="C1005" s="8">
        <v>-1.5521003879162059</v>
      </c>
      <c r="D1005" s="8">
        <v>0.65590292152571228</v>
      </c>
      <c r="E1005" s="7">
        <v>0</v>
      </c>
      <c r="F1005" s="8">
        <v>0</v>
      </c>
      <c r="G1005" s="7">
        <v>-1.4990516053215155E-2</v>
      </c>
      <c r="H1005" s="8">
        <v>-2.0521745021313972E-2</v>
      </c>
      <c r="I1005" s="8">
        <v>0</v>
      </c>
      <c r="J1005" s="33">
        <v>0</v>
      </c>
      <c r="K1005" s="33">
        <v>2.2385887789414392E-2</v>
      </c>
      <c r="P1005">
        <v>0</v>
      </c>
      <c r="Q1005">
        <v>0</v>
      </c>
      <c r="R1005">
        <v>0.64739489851417387</v>
      </c>
    </row>
    <row r="1006" spans="1:19">
      <c r="A1006" s="7"/>
      <c r="B1006" s="8"/>
      <c r="C1006" s="8"/>
      <c r="D1006" s="8"/>
      <c r="E1006" s="7"/>
      <c r="F1006" s="7"/>
      <c r="G1006" s="7"/>
      <c r="H1006" s="7"/>
      <c r="I1006" s="7"/>
      <c r="J1006" s="7"/>
      <c r="K1006" s="7"/>
    </row>
    <row r="1007" spans="1:19">
      <c r="A1007" s="7"/>
      <c r="B1007" s="8">
        <v>2.5457845528396139E-2</v>
      </c>
      <c r="C1007" s="8">
        <v>-2.3667658472617719</v>
      </c>
      <c r="D1007" s="8">
        <v>-6.368425350466822E-2</v>
      </c>
      <c r="E1007" s="7">
        <v>-1.4990516053215155E-2</v>
      </c>
      <c r="F1007" s="8">
        <v>0</v>
      </c>
      <c r="G1007" s="8">
        <v>0</v>
      </c>
      <c r="H1007" s="33">
        <v>-2.0521745021313972E-2</v>
      </c>
      <c r="I1007" s="7">
        <v>2.1796664656245589E-2</v>
      </c>
      <c r="J1007" s="7">
        <v>0</v>
      </c>
      <c r="K1007" s="7">
        <v>0</v>
      </c>
      <c r="M1007">
        <f t="shared" ref="M1007" si="750">MDETERM(B1007:D1009)</f>
        <v>-0.78443815949194351</v>
      </c>
      <c r="N1007">
        <f t="shared" ref="N1007" si="751">MDETERM(E1007:G1009)</f>
        <v>-3.3686023826032914E-6</v>
      </c>
      <c r="P1007">
        <f t="array" ref="P1007:R1009">SVDD(B1007:D1009)</f>
        <v>3.9456782065845815</v>
      </c>
      <c r="Q1007">
        <v>0</v>
      </c>
      <c r="R1007">
        <v>0</v>
      </c>
      <c r="S1007" s="3">
        <f t="shared" ref="S1007" si="752">MAX(P1007,Q1008,R1009)/MIN(P1007,Q1008,R1009)</f>
        <v>27.264608409535779</v>
      </c>
    </row>
    <row r="1008" spans="1:19">
      <c r="A1008" s="7" t="s">
        <v>267</v>
      </c>
      <c r="B1008" s="8">
        <v>1.0673702345396179</v>
      </c>
      <c r="C1008" s="8">
        <v>-2.4075843796929846</v>
      </c>
      <c r="D1008" s="8">
        <v>0.708799578341892</v>
      </c>
      <c r="E1008" s="7">
        <v>0</v>
      </c>
      <c r="F1008" s="7">
        <v>-1.4990516053215155E-2</v>
      </c>
      <c r="G1008" s="8">
        <v>0</v>
      </c>
      <c r="H1008" s="8">
        <v>-2.0521745021313972E-2</v>
      </c>
      <c r="I1008" s="33">
        <v>0</v>
      </c>
      <c r="J1008" s="7">
        <v>2.2872089329671663E-2</v>
      </c>
      <c r="K1008" s="7">
        <v>0</v>
      </c>
      <c r="P1008">
        <v>0</v>
      </c>
      <c r="Q1008">
        <v>1.3737719682217171</v>
      </c>
      <c r="R1008">
        <v>0</v>
      </c>
    </row>
    <row r="1009" spans="1:19">
      <c r="A1009" s="7"/>
      <c r="B1009" s="8">
        <v>1.4675604394566215</v>
      </c>
      <c r="C1009" s="8">
        <v>-1.3235781323919831</v>
      </c>
      <c r="D1009" s="8">
        <v>0.72564008456612294</v>
      </c>
      <c r="E1009" s="7">
        <v>0</v>
      </c>
      <c r="F1009" s="8">
        <v>0</v>
      </c>
      <c r="G1009" s="7">
        <v>-1.4990516053215155E-2</v>
      </c>
      <c r="H1009" s="8">
        <v>-2.0521745021313972E-2</v>
      </c>
      <c r="I1009" s="8">
        <v>0</v>
      </c>
      <c r="J1009" s="33">
        <v>0</v>
      </c>
      <c r="K1009" s="33">
        <v>1.6236379226863738E-2</v>
      </c>
      <c r="P1009">
        <v>0</v>
      </c>
      <c r="Q1009">
        <v>0</v>
      </c>
      <c r="R1009">
        <v>0.14471794889981193</v>
      </c>
    </row>
    <row r="1010" spans="1:19">
      <c r="A1010" s="7"/>
      <c r="B1010" s="8"/>
      <c r="C1010" s="8"/>
      <c r="D1010" s="8"/>
      <c r="E1010" s="7"/>
      <c r="F1010" s="7"/>
      <c r="G1010" s="7"/>
      <c r="H1010" s="7"/>
      <c r="I1010" s="7"/>
      <c r="J1010" s="7"/>
      <c r="K1010" s="7"/>
    </row>
    <row r="1011" spans="1:19">
      <c r="A1011" s="7"/>
      <c r="B1011" s="8">
        <v>2.5457845528396139E-2</v>
      </c>
      <c r="C1011" s="8">
        <v>-2.3667658472617719</v>
      </c>
      <c r="D1011" s="8">
        <v>-6.368425350466822E-2</v>
      </c>
      <c r="E1011" s="7">
        <v>-1.4990516053215155E-2</v>
      </c>
      <c r="F1011" s="8">
        <v>0</v>
      </c>
      <c r="G1011" s="8">
        <v>0</v>
      </c>
      <c r="H1011" s="33">
        <v>-2.0521745021313972E-2</v>
      </c>
      <c r="I1011" s="7">
        <v>2.1796664656245589E-2</v>
      </c>
      <c r="J1011" s="7">
        <v>0</v>
      </c>
      <c r="K1011" s="7">
        <v>0</v>
      </c>
      <c r="M1011">
        <f t="shared" ref="M1011" si="753">MDETERM(B1011:D1013)</f>
        <v>3.7580560292135554</v>
      </c>
      <c r="N1011">
        <f t="shared" ref="N1011" si="754">MDETERM(E1011:G1013)</f>
        <v>-3.3686023826032914E-6</v>
      </c>
      <c r="P1011">
        <f t="array" ref="P1011:R1013">SVDD(B1011:D1013)</f>
        <v>3.506171344100621</v>
      </c>
      <c r="Q1011">
        <v>0</v>
      </c>
      <c r="R1011">
        <v>0</v>
      </c>
      <c r="S1011" s="3">
        <f t="shared" ref="S1011" si="755">MAX(P1011,Q1012,R1013)/MIN(P1011,Q1012,R1013)</f>
        <v>4.3649803826438793</v>
      </c>
    </row>
    <row r="1012" spans="1:19">
      <c r="A1012" s="7" t="s">
        <v>268</v>
      </c>
      <c r="B1012" s="8">
        <v>1.0673702345396179</v>
      </c>
      <c r="C1012" s="8">
        <v>-2.4075843796929846</v>
      </c>
      <c r="D1012" s="8">
        <v>0.708799578341892</v>
      </c>
      <c r="E1012" s="7">
        <v>0</v>
      </c>
      <c r="F1012" s="7">
        <v>-1.4990516053215155E-2</v>
      </c>
      <c r="G1012" s="8">
        <v>0</v>
      </c>
      <c r="H1012" s="8">
        <v>-2.0521745021313972E-2</v>
      </c>
      <c r="I1012" s="33">
        <v>0</v>
      </c>
      <c r="J1012" s="7">
        <v>2.2872089329671663E-2</v>
      </c>
      <c r="K1012" s="7">
        <v>0</v>
      </c>
      <c r="P1012">
        <v>0</v>
      </c>
      <c r="Q1012">
        <v>1.3343792350992441</v>
      </c>
      <c r="R1012">
        <v>0</v>
      </c>
    </row>
    <row r="1013" spans="1:19">
      <c r="A1013" s="7"/>
      <c r="B1013" s="8">
        <v>-1.0097006711160386</v>
      </c>
      <c r="C1013" s="8">
        <v>-0.26302086313966178</v>
      </c>
      <c r="D1013" s="8">
        <v>0.76545275918666766</v>
      </c>
      <c r="E1013" s="7">
        <v>0</v>
      </c>
      <c r="F1013" s="8">
        <v>0</v>
      </c>
      <c r="G1013" s="7">
        <v>-1.4990516053215155E-2</v>
      </c>
      <c r="H1013" s="8">
        <v>-2.0521745021313972E-2</v>
      </c>
      <c r="I1013" s="8">
        <v>0</v>
      </c>
      <c r="J1013" s="33">
        <v>0</v>
      </c>
      <c r="K1013" s="33">
        <v>1.5970575730977998E-2</v>
      </c>
      <c r="P1013">
        <v>0</v>
      </c>
      <c r="Q1013">
        <v>0</v>
      </c>
      <c r="R1013">
        <v>0.80325019513075668</v>
      </c>
    </row>
    <row r="1014" spans="1:19">
      <c r="A1014" s="7"/>
      <c r="B1014" s="8"/>
      <c r="C1014" s="8"/>
      <c r="D1014" s="8"/>
      <c r="E1014" s="7"/>
      <c r="F1014" s="7"/>
      <c r="G1014" s="7"/>
      <c r="H1014" s="7"/>
      <c r="I1014" s="7"/>
      <c r="J1014" s="7"/>
      <c r="K1014" s="7"/>
    </row>
    <row r="1015" spans="1:19">
      <c r="A1015" s="7"/>
      <c r="B1015" s="8">
        <v>2.5457845528396139E-2</v>
      </c>
      <c r="C1015" s="8">
        <v>-2.3667658472617719</v>
      </c>
      <c r="D1015" s="8">
        <v>-6.368425350466822E-2</v>
      </c>
      <c r="E1015" s="7">
        <v>-1.4990516053215155E-2</v>
      </c>
      <c r="F1015" s="8">
        <v>0</v>
      </c>
      <c r="G1015" s="8">
        <v>0</v>
      </c>
      <c r="H1015" s="33">
        <v>0</v>
      </c>
      <c r="I1015" s="7">
        <v>0</v>
      </c>
      <c r="J1015" s="7">
        <v>0</v>
      </c>
      <c r="K1015" s="7">
        <v>0</v>
      </c>
      <c r="M1015">
        <f t="shared" ref="M1015" si="756">MDETERM(B1015:D1017)</f>
        <v>0.60500341153625647</v>
      </c>
      <c r="N1015">
        <f t="shared" ref="N1015" si="757">MDETERM(E1015:G1017)</f>
        <v>-3.3686023826032914E-6</v>
      </c>
      <c r="P1015">
        <f t="array" ref="P1015:R1017">SVDD(B1015:D1017)</f>
        <v>3.5433352671462508</v>
      </c>
      <c r="Q1015">
        <v>0</v>
      </c>
      <c r="R1015">
        <v>0</v>
      </c>
      <c r="S1015" s="3">
        <f t="shared" ref="S1015" si="758">MAX(P1015,Q1016,R1017)/MIN(P1015,Q1016,R1017)</f>
        <v>24.489132951843487</v>
      </c>
    </row>
    <row r="1016" spans="1:19">
      <c r="A1016" s="7" t="s">
        <v>269</v>
      </c>
      <c r="B1016" s="8">
        <v>1.0673702345396179</v>
      </c>
      <c r="C1016" s="8">
        <v>-2.4075843796929846</v>
      </c>
      <c r="D1016" s="8">
        <v>0.708799578341892</v>
      </c>
      <c r="E1016" s="7">
        <v>0</v>
      </c>
      <c r="F1016" s="7">
        <v>-1.4990516053215155E-2</v>
      </c>
      <c r="G1016" s="8">
        <v>0</v>
      </c>
      <c r="H1016" s="8">
        <v>0</v>
      </c>
      <c r="I1016" s="33">
        <v>0</v>
      </c>
      <c r="J1016" s="7">
        <v>0</v>
      </c>
      <c r="K1016" s="7">
        <v>0</v>
      </c>
      <c r="P1016">
        <v>0</v>
      </c>
      <c r="Q1016">
        <v>1.1800671990559992</v>
      </c>
      <c r="R1016">
        <v>0</v>
      </c>
    </row>
    <row r="1017" spans="1:19">
      <c r="A1017" s="7"/>
      <c r="B1017" s="8">
        <v>0.60912970227287866</v>
      </c>
      <c r="C1017" s="8">
        <v>-0.28261535739067112</v>
      </c>
      <c r="D1017" s="8">
        <v>0.68802996689194662</v>
      </c>
      <c r="E1017" s="7">
        <v>0</v>
      </c>
      <c r="F1017" s="8">
        <v>0</v>
      </c>
      <c r="G1017" s="7">
        <v>-1.4990516053215155E-2</v>
      </c>
      <c r="H1017" s="8">
        <v>0</v>
      </c>
      <c r="I1017" s="8">
        <v>0</v>
      </c>
      <c r="J1017" s="33">
        <v>0</v>
      </c>
      <c r="K1017" s="33">
        <v>0</v>
      </c>
      <c r="P1017">
        <v>0</v>
      </c>
      <c r="Q1017">
        <v>0</v>
      </c>
      <c r="R1017">
        <v>0.14469010700027729</v>
      </c>
    </row>
    <row r="1018" spans="1:19">
      <c r="A1018" s="7"/>
      <c r="B1018" s="8"/>
      <c r="C1018" s="8"/>
      <c r="D1018" s="8"/>
      <c r="E1018" s="7"/>
      <c r="F1018" s="7"/>
      <c r="G1018" s="7"/>
      <c r="H1018" s="7"/>
      <c r="I1018" s="7"/>
      <c r="J1018" s="7"/>
      <c r="K1018" s="7"/>
    </row>
    <row r="1019" spans="1:19">
      <c r="A1019" s="7"/>
      <c r="B1019" s="8">
        <v>2.5457845528396139E-2</v>
      </c>
      <c r="C1019" s="8">
        <v>-2.3667658472617719</v>
      </c>
      <c r="D1019" s="8">
        <v>-6.368425350466822E-2</v>
      </c>
      <c r="E1019" s="7">
        <v>-1.4990516053215155E-2</v>
      </c>
      <c r="F1019" s="8">
        <v>0</v>
      </c>
      <c r="G1019" s="8">
        <v>0</v>
      </c>
      <c r="H1019" s="33">
        <v>-2.0521745021313972E-2</v>
      </c>
      <c r="I1019" s="7">
        <v>2.1796664656245589E-2</v>
      </c>
      <c r="J1019" s="7">
        <v>0</v>
      </c>
      <c r="K1019" s="7">
        <v>0</v>
      </c>
      <c r="M1019">
        <f t="shared" ref="M1019" si="759">MDETERM(B1019:D1021)</f>
        <v>-4.9114840879606794</v>
      </c>
      <c r="N1019">
        <f t="shared" ref="N1019" si="760">MDETERM(E1019:G1021)</f>
        <v>-3.3686023826032914E-6</v>
      </c>
      <c r="P1019">
        <f t="array" ref="P1019:R1021">SVDD(B1019:D1021)</f>
        <v>3.182546336666745</v>
      </c>
      <c r="Q1019">
        <v>0</v>
      </c>
      <c r="R1019">
        <v>0</v>
      </c>
      <c r="S1019" s="3">
        <f t="shared" ref="S1019" si="761">MAX(P1019,Q1020,R1021)/MIN(P1019,Q1020,R1021)</f>
        <v>4.155062022143496</v>
      </c>
    </row>
    <row r="1020" spans="1:19">
      <c r="A1020" s="7" t="s">
        <v>270</v>
      </c>
      <c r="B1020" s="8">
        <v>-1.3773893306068323</v>
      </c>
      <c r="C1020" s="8">
        <v>-1.5521003879162059</v>
      </c>
      <c r="D1020" s="8">
        <v>0.65590292152571228</v>
      </c>
      <c r="E1020" s="7">
        <v>0</v>
      </c>
      <c r="F1020" s="7">
        <v>-1.4990516053215155E-2</v>
      </c>
      <c r="G1020" s="8">
        <v>0</v>
      </c>
      <c r="H1020" s="8">
        <v>-2.0521745021313972E-2</v>
      </c>
      <c r="I1020" s="33">
        <v>0</v>
      </c>
      <c r="J1020" s="7">
        <v>2.2385887789414392E-2</v>
      </c>
      <c r="K1020" s="7">
        <v>0</v>
      </c>
      <c r="P1020">
        <v>0</v>
      </c>
      <c r="Q1020">
        <v>2.0148410065160633</v>
      </c>
      <c r="R1020">
        <v>0</v>
      </c>
    </row>
    <row r="1021" spans="1:19">
      <c r="A1021" s="7"/>
      <c r="B1021" s="8">
        <v>1.4675604394566215</v>
      </c>
      <c r="C1021" s="8">
        <v>-1.3235781323919831</v>
      </c>
      <c r="D1021" s="8">
        <v>0.72564008456612294</v>
      </c>
      <c r="E1021" s="7">
        <v>0</v>
      </c>
      <c r="F1021" s="8">
        <v>0</v>
      </c>
      <c r="G1021" s="7">
        <v>-1.4990516053215155E-2</v>
      </c>
      <c r="H1021" s="8">
        <v>-2.0521745021313972E-2</v>
      </c>
      <c r="I1021" s="8">
        <v>0</v>
      </c>
      <c r="J1021" s="33">
        <v>0</v>
      </c>
      <c r="K1021" s="33">
        <v>1.6236379226863738E-2</v>
      </c>
      <c r="P1021">
        <v>0</v>
      </c>
      <c r="Q1021">
        <v>0</v>
      </c>
      <c r="R1021">
        <v>0.76594436369567032</v>
      </c>
    </row>
    <row r="1022" spans="1:19">
      <c r="A1022" s="7"/>
      <c r="B1022" s="8"/>
      <c r="C1022" s="8"/>
      <c r="D1022" s="8"/>
      <c r="E1022" s="7"/>
      <c r="F1022" s="7"/>
      <c r="G1022" s="7"/>
      <c r="H1022" s="7"/>
      <c r="I1022" s="7"/>
      <c r="J1022" s="7"/>
      <c r="K1022" s="7"/>
    </row>
    <row r="1023" spans="1:19">
      <c r="A1023" s="7"/>
      <c r="B1023" s="8">
        <v>2.5457845528396139E-2</v>
      </c>
      <c r="C1023" s="8">
        <v>-2.3667658472617719</v>
      </c>
      <c r="D1023" s="8">
        <v>-6.368425350466822E-2</v>
      </c>
      <c r="E1023" s="7">
        <v>-1.4990516053215155E-2</v>
      </c>
      <c r="F1023" s="8">
        <v>0</v>
      </c>
      <c r="G1023" s="8">
        <v>0</v>
      </c>
      <c r="H1023" s="33">
        <v>-2.0521745021313972E-2</v>
      </c>
      <c r="I1023" s="7">
        <v>2.1796664656245589E-2</v>
      </c>
      <c r="J1023" s="7">
        <v>0</v>
      </c>
      <c r="K1023" s="7">
        <v>0</v>
      </c>
      <c r="M1023">
        <f t="shared" ref="M1023" si="762">MDETERM(B1023:D1025)</f>
        <v>-0.87703821672085791</v>
      </c>
      <c r="N1023">
        <f t="shared" ref="N1023" si="763">MDETERM(E1023:G1025)</f>
        <v>-3.3686023826032914E-6</v>
      </c>
      <c r="P1023">
        <f t="array" ref="P1023:R1025">SVDD(B1023:D1025)</f>
        <v>3.0498618936832269</v>
      </c>
      <c r="Q1023">
        <v>0</v>
      </c>
      <c r="R1023">
        <v>0</v>
      </c>
      <c r="S1023" s="3">
        <f t="shared" ref="S1023" si="764">MAX(P1023,Q1024,R1025)/MIN(P1023,Q1024,R1025)</f>
        <v>17.378066776989606</v>
      </c>
    </row>
    <row r="1024" spans="1:19">
      <c r="A1024" s="7" t="s">
        <v>271</v>
      </c>
      <c r="B1024" s="8">
        <v>-1.3773893306068323</v>
      </c>
      <c r="C1024" s="8">
        <v>-1.5521003879162059</v>
      </c>
      <c r="D1024" s="8">
        <v>0.65590292152571228</v>
      </c>
      <c r="E1024" s="7">
        <v>0</v>
      </c>
      <c r="F1024" s="7">
        <v>-1.4990516053215155E-2</v>
      </c>
      <c r="G1024" s="8">
        <v>0</v>
      </c>
      <c r="H1024" s="8">
        <v>-2.0521745021313972E-2</v>
      </c>
      <c r="I1024" s="33">
        <v>0</v>
      </c>
      <c r="J1024" s="7">
        <v>2.2385887789414392E-2</v>
      </c>
      <c r="K1024" s="7">
        <v>0</v>
      </c>
      <c r="P1024">
        <v>0</v>
      </c>
      <c r="Q1024">
        <v>1.6385497510053413</v>
      </c>
      <c r="R1024">
        <v>0</v>
      </c>
    </row>
    <row r="1025" spans="1:19">
      <c r="A1025" s="7"/>
      <c r="B1025" s="8">
        <v>-1.0097006711160386</v>
      </c>
      <c r="C1025" s="8">
        <v>-0.26302086313966178</v>
      </c>
      <c r="D1025" s="8">
        <v>0.76545275918666766</v>
      </c>
      <c r="E1025" s="7">
        <v>0</v>
      </c>
      <c r="F1025" s="8">
        <v>0</v>
      </c>
      <c r="G1025" s="7">
        <v>-1.4990516053215155E-2</v>
      </c>
      <c r="H1025" s="8">
        <v>-2.0521745021313972E-2</v>
      </c>
      <c r="I1025" s="8">
        <v>0</v>
      </c>
      <c r="J1025" s="33">
        <v>0</v>
      </c>
      <c r="K1025" s="33">
        <v>1.5970575730977998E-2</v>
      </c>
      <c r="P1025">
        <v>0</v>
      </c>
      <c r="Q1025">
        <v>0</v>
      </c>
      <c r="R1025">
        <v>0.17550064301292512</v>
      </c>
    </row>
    <row r="1026" spans="1:19">
      <c r="A1026" s="7"/>
      <c r="B1026" s="8"/>
      <c r="C1026" s="8"/>
      <c r="D1026" s="8"/>
      <c r="E1026" s="7"/>
      <c r="F1026" s="7"/>
      <c r="G1026" s="7"/>
      <c r="H1026" s="7"/>
      <c r="I1026" s="7"/>
      <c r="J1026" s="7"/>
      <c r="K1026" s="7"/>
    </row>
    <row r="1027" spans="1:19">
      <c r="A1027" s="7"/>
      <c r="B1027" s="8">
        <v>2.5457845528396139E-2</v>
      </c>
      <c r="C1027" s="8">
        <v>-2.3667658472617719</v>
      </c>
      <c r="D1027" s="8">
        <v>-6.368425350466822E-2</v>
      </c>
      <c r="E1027" s="7">
        <v>-1.4990516053215155E-2</v>
      </c>
      <c r="F1027" s="8">
        <v>0</v>
      </c>
      <c r="G1027" s="8">
        <v>0</v>
      </c>
      <c r="H1027" s="33">
        <v>0</v>
      </c>
      <c r="I1027" s="7">
        <v>0</v>
      </c>
      <c r="J1027" s="7">
        <v>0</v>
      </c>
      <c r="K1027" s="7">
        <v>0</v>
      </c>
      <c r="M1027">
        <f t="shared" ref="M1027" si="765">MDETERM(B1027:D1029)</f>
        <v>-3.2960092887047816</v>
      </c>
      <c r="N1027">
        <f t="shared" ref="N1027" si="766">MDETERM(E1027:G1029)</f>
        <v>-3.3686023826032914E-6</v>
      </c>
      <c r="P1027">
        <f t="array" ref="P1027:R1029">SVDD(B1027:D1029)</f>
        <v>2.9711250283122634</v>
      </c>
      <c r="Q1027">
        <v>0</v>
      </c>
      <c r="R1027">
        <v>0</v>
      </c>
      <c r="S1027" s="3">
        <f t="shared" ref="S1027" si="767">MAX(P1027,Q1028,R1029)/MIN(P1027,Q1028,R1029)</f>
        <v>3.5193506190429562</v>
      </c>
    </row>
    <row r="1028" spans="1:19">
      <c r="A1028" s="7" t="s">
        <v>272</v>
      </c>
      <c r="B1028" s="8">
        <v>-1.3773893306068323</v>
      </c>
      <c r="C1028" s="8">
        <v>-1.5521003879162059</v>
      </c>
      <c r="D1028" s="8">
        <v>0.65590292152571228</v>
      </c>
      <c r="E1028" s="7">
        <v>0</v>
      </c>
      <c r="F1028" s="7">
        <v>-1.4990516053215155E-2</v>
      </c>
      <c r="G1028" s="8">
        <v>0</v>
      </c>
      <c r="H1028" s="8">
        <v>0</v>
      </c>
      <c r="I1028" s="33">
        <v>0</v>
      </c>
      <c r="J1028" s="7">
        <v>0</v>
      </c>
      <c r="K1028" s="7">
        <v>0</v>
      </c>
      <c r="P1028">
        <v>0</v>
      </c>
      <c r="Q1028">
        <v>1.3140415789281132</v>
      </c>
      <c r="R1028">
        <v>0</v>
      </c>
    </row>
    <row r="1029" spans="1:19">
      <c r="A1029" s="7"/>
      <c r="B1029" s="8">
        <v>0.60912970227287866</v>
      </c>
      <c r="C1029" s="8">
        <v>-0.28261535739067112</v>
      </c>
      <c r="D1029" s="8">
        <v>0.68802996689194662</v>
      </c>
      <c r="E1029" s="7">
        <v>0</v>
      </c>
      <c r="F1029" s="8">
        <v>0</v>
      </c>
      <c r="G1029" s="7">
        <v>-1.4990516053215155E-2</v>
      </c>
      <c r="H1029" s="8">
        <v>0</v>
      </c>
      <c r="I1029" s="8">
        <v>0</v>
      </c>
      <c r="J1029" s="33">
        <v>0</v>
      </c>
      <c r="K1029" s="33">
        <v>0</v>
      </c>
      <c r="P1029">
        <v>0</v>
      </c>
      <c r="Q1029">
        <v>0</v>
      </c>
      <c r="R1029">
        <v>0.84422535573344615</v>
      </c>
    </row>
    <row r="1030" spans="1:19">
      <c r="A1030" s="7"/>
      <c r="B1030" s="8"/>
      <c r="C1030" s="8"/>
      <c r="D1030" s="8"/>
      <c r="E1030" s="7"/>
      <c r="F1030" s="7"/>
      <c r="G1030" s="7"/>
      <c r="H1030" s="7"/>
      <c r="I1030" s="7"/>
      <c r="J1030" s="7"/>
      <c r="K1030" s="7"/>
    </row>
    <row r="1031" spans="1:19">
      <c r="A1031" s="7"/>
      <c r="B1031" s="8">
        <v>2.5457845528396139E-2</v>
      </c>
      <c r="C1031" s="8">
        <v>-2.3667658472617719</v>
      </c>
      <c r="D1031" s="8">
        <v>-6.368425350466822E-2</v>
      </c>
      <c r="E1031" s="7">
        <v>-1.4990516053215155E-2</v>
      </c>
      <c r="F1031" s="8">
        <v>0</v>
      </c>
      <c r="G1031" s="8">
        <v>0</v>
      </c>
      <c r="H1031" s="33">
        <v>-2.0521745021313972E-2</v>
      </c>
      <c r="I1031" s="7">
        <v>2.1796664656245589E-2</v>
      </c>
      <c r="J1031" s="7">
        <v>0</v>
      </c>
      <c r="K1031" s="7">
        <v>0</v>
      </c>
      <c r="M1031">
        <f t="shared" ref="M1031" si="768">MDETERM(B1031:D1033)</f>
        <v>4.4815398197242855</v>
      </c>
      <c r="N1031">
        <f t="shared" ref="N1031" si="769">MDETERM(E1031:G1033)</f>
        <v>-3.3686023826032914E-6</v>
      </c>
      <c r="P1031">
        <f t="array" ref="P1031:R1033">SVDD(B1031:D1033)</f>
        <v>2.8632293721056468</v>
      </c>
      <c r="Q1031">
        <v>0</v>
      </c>
      <c r="R1031">
        <v>0</v>
      </c>
      <c r="S1031" s="3">
        <f t="shared" ref="S1031" si="770">MAX(P1031,Q1032,R1033)/MIN(P1031,Q1032,R1033)</f>
        <v>2.9250187817951137</v>
      </c>
    </row>
    <row r="1032" spans="1:19">
      <c r="A1032" s="7" t="s">
        <v>273</v>
      </c>
      <c r="B1032" s="8">
        <v>1.4675604394566215</v>
      </c>
      <c r="C1032" s="8">
        <v>-1.3235781323919831</v>
      </c>
      <c r="D1032" s="8">
        <v>0.72564008456612294</v>
      </c>
      <c r="E1032" s="7">
        <v>0</v>
      </c>
      <c r="F1032" s="7">
        <v>-1.4990516053215155E-2</v>
      </c>
      <c r="G1032" s="8">
        <v>0</v>
      </c>
      <c r="H1032" s="8">
        <v>-2.0521745021313972E-2</v>
      </c>
      <c r="I1032" s="33">
        <v>0</v>
      </c>
      <c r="J1032" s="7">
        <v>1.6236379226863738E-2</v>
      </c>
      <c r="K1032" s="7">
        <v>0</v>
      </c>
      <c r="P1032">
        <v>0</v>
      </c>
      <c r="Q1032">
        <v>1.5989822308241957</v>
      </c>
      <c r="R1032">
        <v>0</v>
      </c>
    </row>
    <row r="1033" spans="1:19">
      <c r="A1033" s="7"/>
      <c r="B1033" s="8">
        <v>-1.0097006711160386</v>
      </c>
      <c r="C1033" s="8">
        <v>-0.26302086313966178</v>
      </c>
      <c r="D1033" s="8">
        <v>0.76545275918666766</v>
      </c>
      <c r="E1033" s="7">
        <v>0</v>
      </c>
      <c r="F1033" s="8">
        <v>0</v>
      </c>
      <c r="G1033" s="7">
        <v>-1.4990516053215155E-2</v>
      </c>
      <c r="H1033" s="8">
        <v>-2.0521745021313972E-2</v>
      </c>
      <c r="I1033" s="8">
        <v>0</v>
      </c>
      <c r="J1033" s="33">
        <v>0</v>
      </c>
      <c r="K1033" s="33">
        <v>1.5970575730977998E-2</v>
      </c>
      <c r="P1033">
        <v>0</v>
      </c>
      <c r="Q1033">
        <v>0</v>
      </c>
      <c r="R1033">
        <v>0.97887555113353975</v>
      </c>
    </row>
    <row r="1034" spans="1:19">
      <c r="A1034" s="7"/>
      <c r="B1034" s="8"/>
      <c r="C1034" s="8"/>
      <c r="D1034" s="8"/>
      <c r="E1034" s="7"/>
      <c r="F1034" s="7"/>
      <c r="G1034" s="7"/>
      <c r="H1034" s="7"/>
      <c r="I1034" s="7"/>
      <c r="J1034" s="7"/>
      <c r="K1034" s="7"/>
    </row>
    <row r="1035" spans="1:19">
      <c r="A1035" s="7"/>
      <c r="B1035" s="8">
        <v>2.5457845528396139E-2</v>
      </c>
      <c r="C1035" s="8">
        <v>-2.3667658472617719</v>
      </c>
      <c r="D1035" s="8">
        <v>-6.368425350466822E-2</v>
      </c>
      <c r="E1035" s="7">
        <v>-1.4990516053215155E-2</v>
      </c>
      <c r="F1035" s="8">
        <v>0</v>
      </c>
      <c r="G1035" s="8">
        <v>0</v>
      </c>
      <c r="H1035" s="33">
        <v>0</v>
      </c>
      <c r="I1035" s="7">
        <v>0</v>
      </c>
      <c r="J1035" s="7">
        <v>0</v>
      </c>
      <c r="K1035" s="7">
        <v>0</v>
      </c>
      <c r="M1035">
        <f t="shared" ref="M1035" si="771">MDETERM(B1035:D1037)</f>
        <v>1.3007588433626969</v>
      </c>
      <c r="N1035">
        <f t="shared" ref="N1035" si="772">MDETERM(E1035:G1037)</f>
        <v>-3.3686023826032914E-6</v>
      </c>
      <c r="P1035">
        <f t="array" ref="P1035:R1037">SVDD(B1035:D1037)</f>
        <v>2.9238079013395506</v>
      </c>
      <c r="Q1035">
        <v>0</v>
      </c>
      <c r="R1035">
        <v>0</v>
      </c>
      <c r="S1035" s="3">
        <f t="shared" ref="S1035" si="773">MAX(P1035,Q1036,R1037)/MIN(P1035,Q1036,R1037)</f>
        <v>10.029851549914012</v>
      </c>
    </row>
    <row r="1036" spans="1:19">
      <c r="A1036" s="7" t="s">
        <v>274</v>
      </c>
      <c r="B1036" s="8">
        <v>1.4675604394566215</v>
      </c>
      <c r="C1036" s="8">
        <v>-1.3235781323919831</v>
      </c>
      <c r="D1036" s="8">
        <v>0.72564008456612294</v>
      </c>
      <c r="E1036" s="7">
        <v>0</v>
      </c>
      <c r="F1036" s="7">
        <v>-1.4990516053215155E-2</v>
      </c>
      <c r="G1036" s="8">
        <v>0</v>
      </c>
      <c r="H1036" s="8">
        <v>0</v>
      </c>
      <c r="I1036" s="33">
        <v>0</v>
      </c>
      <c r="J1036" s="7">
        <v>0</v>
      </c>
      <c r="K1036" s="7">
        <v>0</v>
      </c>
      <c r="P1036">
        <v>0</v>
      </c>
      <c r="Q1036">
        <v>1.5261373510620782</v>
      </c>
      <c r="R1036">
        <v>0</v>
      </c>
    </row>
    <row r="1037" spans="1:19">
      <c r="A1037" s="7"/>
      <c r="B1037" s="8">
        <v>0.60912970227287866</v>
      </c>
      <c r="C1037" s="8">
        <v>-0.28261535739067112</v>
      </c>
      <c r="D1037" s="8">
        <v>0.68802996689194662</v>
      </c>
      <c r="E1037" s="7">
        <v>0</v>
      </c>
      <c r="F1037" s="8">
        <v>0</v>
      </c>
      <c r="G1037" s="7">
        <v>-1.4990516053215155E-2</v>
      </c>
      <c r="H1037" s="8">
        <v>0</v>
      </c>
      <c r="I1037" s="8">
        <v>0</v>
      </c>
      <c r="J1037" s="33">
        <v>0</v>
      </c>
      <c r="K1037" s="33">
        <v>0</v>
      </c>
      <c r="P1037">
        <v>0</v>
      </c>
      <c r="Q1037">
        <v>0</v>
      </c>
      <c r="R1037">
        <v>0.29151058585354805</v>
      </c>
    </row>
    <row r="1038" spans="1:19">
      <c r="A1038" s="7"/>
      <c r="B1038" s="8"/>
      <c r="C1038" s="8"/>
      <c r="D1038" s="8"/>
      <c r="E1038" s="7"/>
      <c r="F1038" s="7"/>
      <c r="G1038" s="7"/>
      <c r="H1038" s="7"/>
      <c r="I1038" s="7"/>
      <c r="J1038" s="7"/>
      <c r="K1038" s="7"/>
    </row>
    <row r="1039" spans="1:19">
      <c r="A1039" s="7"/>
      <c r="B1039" s="8">
        <v>2.5457845528396139E-2</v>
      </c>
      <c r="C1039" s="8">
        <v>-2.3667658472617719</v>
      </c>
      <c r="D1039" s="8">
        <v>-6.368425350466822E-2</v>
      </c>
      <c r="E1039" s="7">
        <v>-1.4990516053215155E-2</v>
      </c>
      <c r="F1039" s="8">
        <v>0</v>
      </c>
      <c r="G1039" s="8">
        <v>0</v>
      </c>
      <c r="H1039" s="33">
        <v>0</v>
      </c>
      <c r="I1039" s="7">
        <v>0</v>
      </c>
      <c r="J1039" s="7">
        <v>0</v>
      </c>
      <c r="K1039" s="7">
        <v>0</v>
      </c>
      <c r="M1039">
        <f t="shared" ref="M1039" si="774">MDETERM(B1039:D1041)</f>
        <v>-2.7752063150436523</v>
      </c>
      <c r="N1039">
        <f t="shared" ref="N1039" si="775">MDETERM(E1039:G1041)</f>
        <v>-3.3686023826032914E-6</v>
      </c>
      <c r="P1039">
        <f t="array" ref="P1039:R1041">SVDD(B1039:D1041)</f>
        <v>2.4008377445984457</v>
      </c>
      <c r="Q1039">
        <v>0</v>
      </c>
      <c r="R1039">
        <v>0</v>
      </c>
      <c r="S1039" s="3">
        <f t="shared" ref="S1039" si="776">MAX(P1039,Q1040,R1041)/MIN(P1039,Q1040,R1041)</f>
        <v>2.6374470926098281</v>
      </c>
    </row>
    <row r="1040" spans="1:19">
      <c r="A1040" s="7" t="s">
        <v>275</v>
      </c>
      <c r="B1040" s="8">
        <v>-1.0097006711160386</v>
      </c>
      <c r="C1040" s="8">
        <v>-0.26302086313966178</v>
      </c>
      <c r="D1040" s="8">
        <v>0.76545275918666766</v>
      </c>
      <c r="E1040" s="7">
        <v>0</v>
      </c>
      <c r="F1040" s="7">
        <v>-1.4990516053215155E-2</v>
      </c>
      <c r="G1040" s="8">
        <v>0</v>
      </c>
      <c r="H1040" s="8">
        <v>0</v>
      </c>
      <c r="I1040" s="33">
        <v>0</v>
      </c>
      <c r="J1040" s="7">
        <v>0</v>
      </c>
      <c r="K1040" s="7">
        <v>0</v>
      </c>
      <c r="P1040">
        <v>0</v>
      </c>
      <c r="Q1040">
        <v>1.2698528882449782</v>
      </c>
      <c r="R1040">
        <v>0</v>
      </c>
    </row>
    <row r="1041" spans="1:19">
      <c r="A1041" s="7"/>
      <c r="B1041" s="8">
        <v>0.60912970227287866</v>
      </c>
      <c r="C1041" s="8">
        <v>-0.28261535739067112</v>
      </c>
      <c r="D1041" s="8">
        <v>0.68802996689194662</v>
      </c>
      <c r="E1041" s="7">
        <v>0</v>
      </c>
      <c r="F1041" s="8">
        <v>0</v>
      </c>
      <c r="G1041" s="7">
        <v>-1.4990516053215155E-2</v>
      </c>
      <c r="H1041" s="8">
        <v>0</v>
      </c>
      <c r="I1041" s="8">
        <v>0</v>
      </c>
      <c r="J1041" s="33">
        <v>0</v>
      </c>
      <c r="K1041" s="33">
        <v>0</v>
      </c>
      <c r="P1041">
        <v>0</v>
      </c>
      <c r="Q1041">
        <v>0</v>
      </c>
      <c r="R1041">
        <v>0.91028849500929665</v>
      </c>
    </row>
    <row r="1042" spans="1:19">
      <c r="A1042" s="7"/>
      <c r="B1042" s="8"/>
      <c r="C1042" s="8"/>
      <c r="D1042" s="8"/>
      <c r="E1042" s="7"/>
      <c r="F1042" s="7"/>
      <c r="G1042" s="7"/>
      <c r="H1042" s="7"/>
      <c r="I1042" s="7"/>
      <c r="J1042" s="7"/>
      <c r="K1042" s="7"/>
    </row>
    <row r="1043" spans="1:19">
      <c r="A1043" s="7"/>
      <c r="B1043" s="8">
        <v>-1.2284177840385118</v>
      </c>
      <c r="C1043" s="8">
        <v>-2.3993580133895418</v>
      </c>
      <c r="D1043" s="8">
        <v>0.6756623603325641</v>
      </c>
      <c r="E1043" s="7">
        <v>-1.4990516053215155E-2</v>
      </c>
      <c r="F1043" s="8">
        <v>0</v>
      </c>
      <c r="G1043" s="8">
        <v>0</v>
      </c>
      <c r="H1043" s="33">
        <v>0</v>
      </c>
      <c r="I1043" s="7">
        <v>0</v>
      </c>
      <c r="J1043" s="7">
        <v>0</v>
      </c>
      <c r="K1043" s="7">
        <v>0</v>
      </c>
      <c r="M1043">
        <f t="shared" ref="M1043" si="777">MDETERM(B1043:D1045)</f>
        <v>1.250709275752784</v>
      </c>
      <c r="N1043">
        <f t="shared" ref="N1043" si="778">MDETERM(E1043:G1045)</f>
        <v>-3.3686023826032914E-6</v>
      </c>
      <c r="P1043">
        <f t="array" ref="P1043:R1045">SVDD(B1043:D1045)</f>
        <v>3.9942040650318029</v>
      </c>
      <c r="Q1043">
        <v>0</v>
      </c>
      <c r="R1043">
        <v>0</v>
      </c>
      <c r="S1043" s="3">
        <f t="shared" ref="S1043" si="779">MAX(P1043,Q1044,R1045)/MIN(P1043,Q1044,R1045)</f>
        <v>25.249585470075854</v>
      </c>
    </row>
    <row r="1044" spans="1:19">
      <c r="A1044" s="7" t="s">
        <v>276</v>
      </c>
      <c r="B1044" s="8">
        <v>1.0673702345396179</v>
      </c>
      <c r="C1044" s="8">
        <v>-2.4075843796929846</v>
      </c>
      <c r="D1044" s="8">
        <v>0.708799578341892</v>
      </c>
      <c r="E1044" s="7">
        <v>0</v>
      </c>
      <c r="F1044" s="7">
        <v>-1.4990516053215155E-2</v>
      </c>
      <c r="G1044" s="8">
        <v>0</v>
      </c>
      <c r="H1044" s="8">
        <v>0</v>
      </c>
      <c r="I1044" s="33">
        <v>0</v>
      </c>
      <c r="J1044" s="7">
        <v>0</v>
      </c>
      <c r="K1044" s="7">
        <v>0</v>
      </c>
      <c r="P1044">
        <v>0</v>
      </c>
      <c r="Q1044">
        <v>1.979475471808493</v>
      </c>
      <c r="R1044">
        <v>0</v>
      </c>
    </row>
    <row r="1045" spans="1:19">
      <c r="A1045" s="7"/>
      <c r="B1045" s="8">
        <v>-1.3773893306068323</v>
      </c>
      <c r="C1045" s="8">
        <v>-1.5521003879162059</v>
      </c>
      <c r="D1045" s="8">
        <v>0.65590292152571228</v>
      </c>
      <c r="E1045" s="7">
        <v>0</v>
      </c>
      <c r="F1045" s="8">
        <v>0</v>
      </c>
      <c r="G1045" s="7">
        <v>-1.4990516053215155E-2</v>
      </c>
      <c r="H1045" s="8">
        <v>0</v>
      </c>
      <c r="I1045" s="8">
        <v>0</v>
      </c>
      <c r="J1045" s="33">
        <v>0</v>
      </c>
      <c r="K1045" s="33">
        <v>0</v>
      </c>
      <c r="P1045">
        <v>0</v>
      </c>
      <c r="Q1045">
        <v>0</v>
      </c>
      <c r="R1045">
        <v>0.1581888965965588</v>
      </c>
    </row>
    <row r="1046" spans="1:19">
      <c r="A1046" s="7"/>
      <c r="B1046" s="8"/>
      <c r="C1046" s="8"/>
      <c r="D1046" s="8"/>
      <c r="E1046" s="7"/>
      <c r="F1046" s="7"/>
      <c r="G1046" s="7"/>
      <c r="H1046" s="7"/>
      <c r="I1046" s="7"/>
      <c r="J1046" s="7"/>
      <c r="K1046" s="7"/>
    </row>
    <row r="1047" spans="1:19">
      <c r="A1047" s="7"/>
      <c r="B1047" s="8">
        <v>-1.2284177840385118</v>
      </c>
      <c r="C1047" s="8">
        <v>-2.3993580133895418</v>
      </c>
      <c r="D1047" s="8">
        <v>0.6756623603325641</v>
      </c>
      <c r="E1047" s="7">
        <v>-1.4990516053215155E-2</v>
      </c>
      <c r="F1047" s="8">
        <v>0</v>
      </c>
      <c r="G1047" s="8">
        <v>0</v>
      </c>
      <c r="H1047" s="33">
        <v>0</v>
      </c>
      <c r="I1047" s="7">
        <v>0</v>
      </c>
      <c r="J1047" s="7">
        <v>0</v>
      </c>
      <c r="K1047" s="7">
        <v>0</v>
      </c>
      <c r="M1047">
        <f t="shared" ref="M1047" si="780">MDETERM(B1047:D1049)</f>
        <v>1.7889528223437317</v>
      </c>
      <c r="N1047">
        <f t="shared" ref="N1047" si="781">MDETERM(E1047:G1049)</f>
        <v>-3.3686023826032914E-6</v>
      </c>
      <c r="P1047">
        <f t="array" ref="P1047:R1049">SVDD(B1047:D1049)</f>
        <v>3.8746390920736222</v>
      </c>
      <c r="Q1047">
        <v>0</v>
      </c>
      <c r="R1047">
        <v>0</v>
      </c>
      <c r="S1047" s="3">
        <f t="shared" ref="S1047" si="782">MAX(P1047,Q1048,R1049)/MIN(P1047,Q1048,R1049)</f>
        <v>17.866956947533616</v>
      </c>
    </row>
    <row r="1048" spans="1:19">
      <c r="A1048" s="7" t="s">
        <v>277</v>
      </c>
      <c r="B1048" s="8">
        <v>1.0673702345396179</v>
      </c>
      <c r="C1048" s="8">
        <v>-2.4075843796929846</v>
      </c>
      <c r="D1048" s="8">
        <v>0.708799578341892</v>
      </c>
      <c r="E1048" s="7">
        <v>0</v>
      </c>
      <c r="F1048" s="7">
        <v>-1.4990516053215155E-2</v>
      </c>
      <c r="G1048" s="8">
        <v>0</v>
      </c>
      <c r="H1048" s="8">
        <v>0</v>
      </c>
      <c r="I1048" s="33">
        <v>0</v>
      </c>
      <c r="J1048" s="7">
        <v>0</v>
      </c>
      <c r="K1048" s="7">
        <v>0</v>
      </c>
      <c r="P1048">
        <v>0</v>
      </c>
      <c r="Q1048">
        <v>2.1290554223511631</v>
      </c>
      <c r="R1048">
        <v>0</v>
      </c>
    </row>
    <row r="1049" spans="1:19">
      <c r="A1049" s="7"/>
      <c r="B1049" s="8">
        <v>1.4675604394566215</v>
      </c>
      <c r="C1049" s="8">
        <v>-1.3235781323919831</v>
      </c>
      <c r="D1049" s="8">
        <v>0.72564008456612294</v>
      </c>
      <c r="E1049" s="7">
        <v>0</v>
      </c>
      <c r="F1049" s="8">
        <v>0</v>
      </c>
      <c r="G1049" s="7">
        <v>-1.4990516053215155E-2</v>
      </c>
      <c r="H1049" s="8">
        <v>0</v>
      </c>
      <c r="I1049" s="8">
        <v>0</v>
      </c>
      <c r="J1049" s="33">
        <v>0</v>
      </c>
      <c r="K1049" s="33">
        <v>0</v>
      </c>
      <c r="P1049">
        <v>0</v>
      </c>
      <c r="Q1049">
        <v>0</v>
      </c>
      <c r="R1049">
        <v>0.21686060493969475</v>
      </c>
    </row>
    <row r="1050" spans="1:19">
      <c r="A1050" s="7"/>
      <c r="B1050" s="8"/>
      <c r="C1050" s="8"/>
      <c r="D1050" s="8"/>
      <c r="E1050" s="7"/>
      <c r="F1050" s="7"/>
      <c r="G1050" s="7"/>
      <c r="H1050" s="7"/>
      <c r="I1050" s="7"/>
      <c r="J1050" s="7"/>
      <c r="K1050" s="7"/>
    </row>
    <row r="1051" spans="1:19">
      <c r="A1051" s="7"/>
      <c r="B1051" s="8">
        <v>-1.2284177840385118</v>
      </c>
      <c r="C1051" s="8">
        <v>-2.3993580133895418</v>
      </c>
      <c r="D1051" s="8">
        <v>0.6756623603325641</v>
      </c>
      <c r="E1051" s="7">
        <v>-1.4990516053215155E-2</v>
      </c>
      <c r="F1051" s="8">
        <v>0</v>
      </c>
      <c r="G1051" s="8">
        <v>0</v>
      </c>
      <c r="H1051" s="33">
        <v>0</v>
      </c>
      <c r="I1051" s="7">
        <v>0</v>
      </c>
      <c r="J1051" s="7">
        <v>0</v>
      </c>
      <c r="K1051" s="7">
        <v>0</v>
      </c>
      <c r="M1051">
        <f t="shared" ref="M1051" si="783">MDETERM(B1051:D1053)</f>
        <v>3.8801369883568149</v>
      </c>
      <c r="N1051">
        <f t="shared" ref="N1051" si="784">MDETERM(E1051:G1053)</f>
        <v>-3.3686023826032914E-6</v>
      </c>
      <c r="P1051">
        <f t="array" ref="P1051:R1053">SVDD(B1051:D1053)</f>
        <v>3.5802288939633073</v>
      </c>
      <c r="Q1051">
        <v>0</v>
      </c>
      <c r="R1051">
        <v>0</v>
      </c>
      <c r="S1051" s="3">
        <f t="shared" ref="S1051" si="785">MAX(P1051,Q1052,R1053)/MIN(P1051,Q1052,R1053)</f>
        <v>6.3541258749953187</v>
      </c>
    </row>
    <row r="1052" spans="1:19">
      <c r="A1052" s="7" t="s">
        <v>278</v>
      </c>
      <c r="B1052" s="8">
        <v>1.0673702345396179</v>
      </c>
      <c r="C1052" s="8">
        <v>-2.4075843796929846</v>
      </c>
      <c r="D1052" s="8">
        <v>0.708799578341892</v>
      </c>
      <c r="E1052" s="7">
        <v>0</v>
      </c>
      <c r="F1052" s="7">
        <v>-1.4990516053215155E-2</v>
      </c>
      <c r="G1052" s="8">
        <v>0</v>
      </c>
      <c r="H1052" s="8">
        <v>0</v>
      </c>
      <c r="I1052" s="33">
        <v>0</v>
      </c>
      <c r="J1052" s="7">
        <v>0</v>
      </c>
      <c r="K1052" s="7">
        <v>0</v>
      </c>
      <c r="P1052">
        <v>0</v>
      </c>
      <c r="Q1052">
        <v>1.9234517046475874</v>
      </c>
      <c r="R1052">
        <v>0</v>
      </c>
    </row>
    <row r="1053" spans="1:19">
      <c r="A1053" s="7"/>
      <c r="B1053" s="8">
        <v>-1.0097006711160386</v>
      </c>
      <c r="C1053" s="8">
        <v>-0.26302086313966178</v>
      </c>
      <c r="D1053" s="8">
        <v>0.76545275918666766</v>
      </c>
      <c r="E1053" s="7">
        <v>0</v>
      </c>
      <c r="F1053" s="8">
        <v>0</v>
      </c>
      <c r="G1053" s="7">
        <v>-1.4990516053215155E-2</v>
      </c>
      <c r="H1053" s="8">
        <v>0</v>
      </c>
      <c r="I1053" s="8">
        <v>0</v>
      </c>
      <c r="J1053" s="33">
        <v>0</v>
      </c>
      <c r="K1053" s="33">
        <v>0</v>
      </c>
      <c r="P1053">
        <v>0</v>
      </c>
      <c r="Q1053">
        <v>0</v>
      </c>
      <c r="R1053">
        <v>0.56344947588340699</v>
      </c>
    </row>
    <row r="1054" spans="1:19">
      <c r="A1054" s="7"/>
      <c r="B1054" s="8"/>
      <c r="C1054" s="8"/>
      <c r="D1054" s="8"/>
      <c r="E1054" s="7"/>
      <c r="F1054" s="7"/>
      <c r="G1054" s="7"/>
      <c r="H1054" s="7"/>
      <c r="I1054" s="7"/>
      <c r="J1054" s="7"/>
      <c r="K1054" s="7"/>
    </row>
    <row r="1055" spans="1:19">
      <c r="A1055" s="7"/>
      <c r="B1055" s="8">
        <v>-1.2284177840385118</v>
      </c>
      <c r="C1055" s="8">
        <v>-2.3993580133895418</v>
      </c>
      <c r="D1055" s="8">
        <v>0.6756623603325641</v>
      </c>
      <c r="E1055" s="7">
        <v>-1.4990516053215155E-2</v>
      </c>
      <c r="F1055" s="8">
        <v>0</v>
      </c>
      <c r="G1055" s="8">
        <v>0</v>
      </c>
      <c r="H1055" s="33">
        <v>0</v>
      </c>
      <c r="I1055" s="7">
        <v>0</v>
      </c>
      <c r="J1055" s="7">
        <v>0</v>
      </c>
      <c r="K1055" s="7">
        <v>0</v>
      </c>
      <c r="M1055">
        <f t="shared" ref="M1055" si="786">MDETERM(B1055:D1057)</f>
        <v>3.3019731963725927</v>
      </c>
      <c r="N1055">
        <f t="shared" ref="N1055" si="787">MDETERM(E1055:G1057)</f>
        <v>-3.3686023826032914E-6</v>
      </c>
      <c r="P1055">
        <f t="array" ref="P1055:R1057">SVDD(B1055:D1057)</f>
        <v>3.5682017854896069</v>
      </c>
      <c r="Q1055">
        <v>0</v>
      </c>
      <c r="R1055">
        <v>0</v>
      </c>
      <c r="S1055" s="3">
        <f t="shared" ref="S1055" si="788">MAX(P1055,Q1056,R1057)/MIN(P1055,Q1056,R1057)</f>
        <v>6.7607681639683301</v>
      </c>
    </row>
    <row r="1056" spans="1:19">
      <c r="A1056" s="7" t="s">
        <v>279</v>
      </c>
      <c r="B1056" s="8">
        <v>1.0673702345396179</v>
      </c>
      <c r="C1056" s="8">
        <v>-2.4075843796929846</v>
      </c>
      <c r="D1056" s="8">
        <v>0.708799578341892</v>
      </c>
      <c r="E1056" s="7">
        <v>0</v>
      </c>
      <c r="F1056" s="7">
        <v>-1.4990516053215155E-2</v>
      </c>
      <c r="G1056" s="8">
        <v>0</v>
      </c>
      <c r="H1056" s="8">
        <v>0</v>
      </c>
      <c r="I1056" s="33">
        <v>0</v>
      </c>
      <c r="J1056" s="7">
        <v>0</v>
      </c>
      <c r="K1056" s="7">
        <v>0</v>
      </c>
      <c r="P1056">
        <v>0</v>
      </c>
      <c r="Q1056">
        <v>1.7533587088411988</v>
      </c>
      <c r="R1056">
        <v>0</v>
      </c>
    </row>
    <row r="1057" spans="1:19">
      <c r="A1057" s="7"/>
      <c r="B1057" s="8">
        <v>0.60912970227287866</v>
      </c>
      <c r="C1057" s="8">
        <v>-0.28261535739067112</v>
      </c>
      <c r="D1057" s="8">
        <v>0.68802996689194662</v>
      </c>
      <c r="E1057" s="7">
        <v>0</v>
      </c>
      <c r="F1057" s="8">
        <v>0</v>
      </c>
      <c r="G1057" s="7">
        <v>-1.4990516053215155E-2</v>
      </c>
      <c r="H1057" s="8">
        <v>0</v>
      </c>
      <c r="I1057" s="8">
        <v>0</v>
      </c>
      <c r="J1057" s="33">
        <v>0</v>
      </c>
      <c r="K1057" s="33">
        <v>0</v>
      </c>
      <c r="P1057">
        <v>0</v>
      </c>
      <c r="Q1057">
        <v>0</v>
      </c>
      <c r="R1057">
        <v>0.52778052714577917</v>
      </c>
    </row>
    <row r="1058" spans="1:19">
      <c r="A1058" s="7"/>
      <c r="B1058" s="8"/>
      <c r="C1058" s="8"/>
      <c r="D1058" s="8"/>
      <c r="E1058" s="7"/>
      <c r="F1058" s="7"/>
      <c r="G1058" s="7"/>
      <c r="H1058" s="7"/>
      <c r="I1058" s="7"/>
      <c r="J1058" s="7"/>
      <c r="K1058" s="7"/>
    </row>
    <row r="1059" spans="1:19">
      <c r="A1059" s="7"/>
      <c r="B1059" s="8">
        <v>-1.2284177840385118</v>
      </c>
      <c r="C1059" s="8">
        <v>-2.3993580133895418</v>
      </c>
      <c r="D1059" s="8">
        <v>0.6756623603325641</v>
      </c>
      <c r="E1059" s="7">
        <v>-1.4990516053215155E-2</v>
      </c>
      <c r="F1059" s="8">
        <v>0</v>
      </c>
      <c r="G1059" s="8">
        <v>0</v>
      </c>
      <c r="H1059" s="33">
        <v>0</v>
      </c>
      <c r="I1059" s="7">
        <v>0</v>
      </c>
      <c r="J1059" s="7">
        <v>0</v>
      </c>
      <c r="K1059" s="7">
        <v>0</v>
      </c>
      <c r="M1059">
        <f t="shared" ref="M1059" si="789">MDETERM(B1059:D1061)</f>
        <v>-1.6197979512682641</v>
      </c>
      <c r="N1059">
        <f t="shared" ref="N1059" si="790">MDETERM(E1059:G1061)</f>
        <v>-3.3686023826032914E-6</v>
      </c>
      <c r="P1059">
        <f t="array" ref="P1059:R1061">SVDD(B1059:D1061)</f>
        <v>3.5587005063271553</v>
      </c>
      <c r="Q1059">
        <v>0</v>
      </c>
      <c r="R1059">
        <v>0</v>
      </c>
      <c r="S1059" s="3">
        <f t="shared" ref="S1059" si="791">MAX(P1059,Q1060,R1061)/MIN(P1059,Q1060,R1061)</f>
        <v>15.979311741978162</v>
      </c>
    </row>
    <row r="1060" spans="1:19">
      <c r="A1060" s="7" t="s">
        <v>280</v>
      </c>
      <c r="B1060" s="8">
        <v>-1.3773893306068323</v>
      </c>
      <c r="C1060" s="8">
        <v>-1.5521003879162059</v>
      </c>
      <c r="D1060" s="8">
        <v>0.65590292152571228</v>
      </c>
      <c r="E1060" s="7">
        <v>0</v>
      </c>
      <c r="F1060" s="7">
        <v>-1.4990516053215155E-2</v>
      </c>
      <c r="G1060" s="8">
        <v>0</v>
      </c>
      <c r="H1060" s="8">
        <v>0</v>
      </c>
      <c r="I1060" s="33">
        <v>0</v>
      </c>
      <c r="J1060" s="7">
        <v>0</v>
      </c>
      <c r="K1060" s="7">
        <v>0</v>
      </c>
      <c r="P1060">
        <v>0</v>
      </c>
      <c r="Q1060">
        <v>2.0437888928996366</v>
      </c>
      <c r="R1060">
        <v>0</v>
      </c>
    </row>
    <row r="1061" spans="1:19">
      <c r="A1061" s="7"/>
      <c r="B1061" s="8">
        <v>1.4675604394566215</v>
      </c>
      <c r="C1061" s="8">
        <v>-1.3235781323919831</v>
      </c>
      <c r="D1061" s="8">
        <v>0.72564008456612294</v>
      </c>
      <c r="E1061" s="7">
        <v>0</v>
      </c>
      <c r="F1061" s="8">
        <v>0</v>
      </c>
      <c r="G1061" s="7">
        <v>-1.4990516053215155E-2</v>
      </c>
      <c r="H1061" s="8">
        <v>0</v>
      </c>
      <c r="I1061" s="8">
        <v>0</v>
      </c>
      <c r="J1061" s="33">
        <v>0</v>
      </c>
      <c r="K1061" s="33">
        <v>0</v>
      </c>
      <c r="P1061">
        <v>0</v>
      </c>
      <c r="Q1061">
        <v>0</v>
      </c>
      <c r="R1061">
        <v>0.22270674505825777</v>
      </c>
    </row>
    <row r="1062" spans="1:19">
      <c r="A1062" s="7"/>
      <c r="B1062" s="8"/>
      <c r="C1062" s="8"/>
      <c r="D1062" s="8"/>
      <c r="E1062" s="7"/>
      <c r="F1062" s="7"/>
      <c r="G1062" s="7"/>
      <c r="H1062" s="7"/>
      <c r="I1062" s="7"/>
      <c r="J1062" s="7"/>
      <c r="K1062" s="7"/>
    </row>
    <row r="1063" spans="1:19">
      <c r="A1063" s="7"/>
      <c r="B1063" s="8">
        <v>-1.2284177840385118</v>
      </c>
      <c r="C1063" s="8">
        <v>-2.3993580133895418</v>
      </c>
      <c r="D1063" s="8">
        <v>0.6756623603325641</v>
      </c>
      <c r="E1063" s="7">
        <v>-1.4990516053215155E-2</v>
      </c>
      <c r="F1063" s="8">
        <v>0</v>
      </c>
      <c r="G1063" s="8">
        <v>0</v>
      </c>
      <c r="H1063" s="33">
        <v>0</v>
      </c>
      <c r="I1063" s="7">
        <v>0</v>
      </c>
      <c r="J1063" s="7">
        <v>0</v>
      </c>
      <c r="K1063" s="7">
        <v>0</v>
      </c>
      <c r="M1063">
        <f t="shared" ref="M1063" si="792">MDETERM(B1063:D1065)</f>
        <v>-0.50727125342099488</v>
      </c>
      <c r="N1063">
        <f t="shared" ref="N1063" si="793">MDETERM(E1063:G1065)</f>
        <v>-3.3686023826032914E-6</v>
      </c>
      <c r="P1063">
        <f t="array" ref="P1063:R1065">SVDD(B1063:D1065)</f>
        <v>3.6357742154824866</v>
      </c>
      <c r="Q1063">
        <v>0</v>
      </c>
      <c r="R1063">
        <v>0</v>
      </c>
      <c r="S1063" s="3">
        <f t="shared" ref="S1063" si="794">MAX(P1063,Q1064,R1065)/MIN(P1063,Q1064,R1065)</f>
        <v>24.622553140187737</v>
      </c>
    </row>
    <row r="1064" spans="1:19">
      <c r="A1064" s="7" t="s">
        <v>281</v>
      </c>
      <c r="B1064" s="8">
        <v>-1.3773893306068323</v>
      </c>
      <c r="C1064" s="8">
        <v>-1.5521003879162059</v>
      </c>
      <c r="D1064" s="8">
        <v>0.65590292152571228</v>
      </c>
      <c r="E1064" s="7">
        <v>0</v>
      </c>
      <c r="F1064" s="7">
        <v>-1.4990516053215155E-2</v>
      </c>
      <c r="G1064" s="8">
        <v>0</v>
      </c>
      <c r="H1064" s="8">
        <v>0</v>
      </c>
      <c r="I1064" s="33">
        <v>0</v>
      </c>
      <c r="J1064" s="7">
        <v>0</v>
      </c>
      <c r="K1064" s="7">
        <v>0</v>
      </c>
      <c r="P1064">
        <v>0</v>
      </c>
      <c r="Q1064">
        <v>0.94488624020854128</v>
      </c>
      <c r="R1064">
        <v>0</v>
      </c>
    </row>
    <row r="1065" spans="1:19">
      <c r="A1065" s="7"/>
      <c r="B1065" s="8">
        <v>-1.0097006711160386</v>
      </c>
      <c r="C1065" s="8">
        <v>-0.26302086313966178</v>
      </c>
      <c r="D1065" s="8">
        <v>0.76545275918666766</v>
      </c>
      <c r="E1065" s="7">
        <v>0</v>
      </c>
      <c r="F1065" s="8">
        <v>0</v>
      </c>
      <c r="G1065" s="7">
        <v>-1.4990516053215155E-2</v>
      </c>
      <c r="H1065" s="8">
        <v>0</v>
      </c>
      <c r="I1065" s="8">
        <v>0</v>
      </c>
      <c r="J1065" s="33">
        <v>0</v>
      </c>
      <c r="K1065" s="33">
        <v>0</v>
      </c>
      <c r="P1065">
        <v>0</v>
      </c>
      <c r="Q1065">
        <v>0</v>
      </c>
      <c r="R1065">
        <v>0.14766032566900433</v>
      </c>
    </row>
    <row r="1066" spans="1:19">
      <c r="A1066" s="7"/>
      <c r="B1066" s="8"/>
      <c r="C1066" s="8"/>
      <c r="D1066" s="8"/>
      <c r="E1066" s="7"/>
      <c r="F1066" s="7"/>
      <c r="G1066" s="7"/>
      <c r="H1066" s="7"/>
      <c r="I1066" s="7"/>
      <c r="J1066" s="7"/>
      <c r="K1066" s="7"/>
    </row>
    <row r="1067" spans="1:19">
      <c r="A1067" s="7"/>
      <c r="B1067" s="8">
        <v>-1.2284177840385118</v>
      </c>
      <c r="C1067" s="8">
        <v>-2.3993580133895418</v>
      </c>
      <c r="D1067" s="8">
        <v>0.6756623603325641</v>
      </c>
      <c r="E1067" s="7">
        <v>-1.4990516053215155E-2</v>
      </c>
      <c r="F1067" s="8">
        <v>0</v>
      </c>
      <c r="G1067" s="8">
        <v>0</v>
      </c>
      <c r="H1067" s="33">
        <v>0</v>
      </c>
      <c r="I1067" s="7">
        <v>0</v>
      </c>
      <c r="J1067" s="7">
        <v>0</v>
      </c>
      <c r="K1067" s="7">
        <v>0</v>
      </c>
      <c r="M1067">
        <f t="shared" ref="M1067" si="795">MDETERM(B1067:D1069)</f>
        <v>-1.2465361632740968</v>
      </c>
      <c r="N1067">
        <f t="shared" ref="N1067" si="796">MDETERM(E1067:G1069)</f>
        <v>-3.3686023826032914E-6</v>
      </c>
      <c r="P1067">
        <f t="array" ref="P1067:R1069">SVDD(B1067:D1069)</f>
        <v>3.5051734226819606</v>
      </c>
      <c r="Q1067">
        <v>0</v>
      </c>
      <c r="R1067">
        <v>0</v>
      </c>
      <c r="S1067" s="3">
        <f t="shared" ref="S1067" si="797">MAX(P1067,Q1068,R1069)/MIN(P1067,Q1068,R1069)</f>
        <v>9.6873396835531249</v>
      </c>
    </row>
    <row r="1068" spans="1:19">
      <c r="A1068" s="7" t="s">
        <v>282</v>
      </c>
      <c r="B1068" s="8">
        <v>-1.3773893306068323</v>
      </c>
      <c r="C1068" s="8">
        <v>-1.5521003879162059</v>
      </c>
      <c r="D1068" s="8">
        <v>0.65590292152571228</v>
      </c>
      <c r="E1068" s="7">
        <v>0</v>
      </c>
      <c r="F1068" s="7">
        <v>-1.4990516053215155E-2</v>
      </c>
      <c r="G1068" s="8">
        <v>0</v>
      </c>
      <c r="H1068" s="8">
        <v>0</v>
      </c>
      <c r="I1068" s="33">
        <v>0</v>
      </c>
      <c r="J1068" s="7">
        <v>0</v>
      </c>
      <c r="K1068" s="7">
        <v>0</v>
      </c>
      <c r="P1068">
        <v>0</v>
      </c>
      <c r="Q1068">
        <v>0.98285712559650795</v>
      </c>
      <c r="R1068">
        <v>0</v>
      </c>
    </row>
    <row r="1069" spans="1:19">
      <c r="A1069" s="7"/>
      <c r="B1069" s="8">
        <v>0.60912970227287866</v>
      </c>
      <c r="C1069" s="8">
        <v>-0.28261535739067112</v>
      </c>
      <c r="D1069" s="8">
        <v>0.68802996689194662</v>
      </c>
      <c r="E1069" s="7">
        <v>0</v>
      </c>
      <c r="F1069" s="8">
        <v>0</v>
      </c>
      <c r="G1069" s="7">
        <v>-1.4990516053215155E-2</v>
      </c>
      <c r="H1069" s="8">
        <v>0</v>
      </c>
      <c r="I1069" s="8">
        <v>0</v>
      </c>
      <c r="J1069" s="33">
        <v>0</v>
      </c>
      <c r="K1069" s="33">
        <v>0</v>
      </c>
      <c r="P1069">
        <v>0</v>
      </c>
      <c r="Q1069">
        <v>0</v>
      </c>
      <c r="R1069">
        <v>0.36183034116507123</v>
      </c>
    </row>
    <row r="1070" spans="1:19">
      <c r="A1070" s="7"/>
      <c r="B1070" s="8"/>
      <c r="C1070" s="8"/>
      <c r="D1070" s="8"/>
      <c r="E1070" s="7"/>
      <c r="F1070" s="7"/>
      <c r="G1070" s="7"/>
      <c r="H1070" s="7"/>
      <c r="I1070" s="7"/>
      <c r="J1070" s="7"/>
      <c r="K1070" s="7"/>
    </row>
    <row r="1071" spans="1:19">
      <c r="A1071" s="7"/>
      <c r="B1071" s="8">
        <v>-1.2284177840385118</v>
      </c>
      <c r="C1071" s="8">
        <v>-2.3993580133895418</v>
      </c>
      <c r="D1071" s="8">
        <v>0.6756623603325641</v>
      </c>
      <c r="E1071" s="7">
        <v>-1.4990516053215155E-2</v>
      </c>
      <c r="F1071" s="8">
        <v>0</v>
      </c>
      <c r="G1071" s="8">
        <v>0</v>
      </c>
      <c r="H1071" s="33">
        <v>0</v>
      </c>
      <c r="I1071" s="7">
        <v>0</v>
      </c>
      <c r="J1071" s="7">
        <v>0</v>
      </c>
      <c r="K1071" s="7">
        <v>0</v>
      </c>
      <c r="M1071">
        <f t="shared" ref="M1071" si="798">MDETERM(B1071:D1073)</f>
        <v>4.2996031996665085</v>
      </c>
      <c r="N1071">
        <f t="shared" ref="N1071" si="799">MDETERM(E1071:G1073)</f>
        <v>-3.3686023826032914E-6</v>
      </c>
      <c r="P1071">
        <f t="array" ref="P1071:R1073">SVDD(B1071:D1073)</f>
        <v>3.016531981625759</v>
      </c>
      <c r="Q1071">
        <v>0</v>
      </c>
      <c r="R1071">
        <v>0</v>
      </c>
      <c r="S1071" s="3">
        <f t="shared" ref="S1071" si="800">MAX(P1071,Q1072,R1073)/MIN(P1071,Q1072,R1073)</f>
        <v>4.3639483646416055</v>
      </c>
    </row>
    <row r="1072" spans="1:19">
      <c r="A1072" s="7" t="s">
        <v>283</v>
      </c>
      <c r="B1072" s="8">
        <v>1.4675604394566215</v>
      </c>
      <c r="C1072" s="8">
        <v>-1.3235781323919831</v>
      </c>
      <c r="D1072" s="8">
        <v>0.72564008456612294</v>
      </c>
      <c r="E1072" s="7">
        <v>0</v>
      </c>
      <c r="F1072" s="7">
        <v>-1.4990516053215155E-2</v>
      </c>
      <c r="G1072" s="8">
        <v>0</v>
      </c>
      <c r="H1072" s="8">
        <v>0</v>
      </c>
      <c r="I1072" s="33">
        <v>0</v>
      </c>
      <c r="J1072" s="7">
        <v>0</v>
      </c>
      <c r="K1072" s="7">
        <v>0</v>
      </c>
      <c r="P1072">
        <v>0</v>
      </c>
      <c r="Q1072">
        <v>2.0620163874782311</v>
      </c>
      <c r="R1072">
        <v>0</v>
      </c>
    </row>
    <row r="1073" spans="1:19">
      <c r="A1073" s="7"/>
      <c r="B1073" s="8">
        <v>-1.0097006711160386</v>
      </c>
      <c r="C1073" s="8">
        <v>-0.26302086313966178</v>
      </c>
      <c r="D1073" s="8">
        <v>0.76545275918666766</v>
      </c>
      <c r="E1073" s="7">
        <v>0</v>
      </c>
      <c r="F1073" s="8">
        <v>0</v>
      </c>
      <c r="G1073" s="7">
        <v>-1.4990516053215155E-2</v>
      </c>
      <c r="H1073" s="8">
        <v>0</v>
      </c>
      <c r="I1073" s="8">
        <v>0</v>
      </c>
      <c r="J1073" s="33">
        <v>0</v>
      </c>
      <c r="K1073" s="33">
        <v>0</v>
      </c>
      <c r="P1073">
        <v>0</v>
      </c>
      <c r="Q1073">
        <v>0</v>
      </c>
      <c r="R1073">
        <v>0.69123915536372194</v>
      </c>
    </row>
    <row r="1074" spans="1:19">
      <c r="A1074" s="7"/>
      <c r="B1074" s="8"/>
      <c r="C1074" s="8"/>
      <c r="D1074" s="8"/>
      <c r="E1074" s="7"/>
      <c r="F1074" s="7"/>
      <c r="G1074" s="7"/>
      <c r="H1074" s="7"/>
      <c r="I1074" s="7"/>
      <c r="J1074" s="7"/>
      <c r="K1074" s="7"/>
    </row>
    <row r="1075" spans="1:19">
      <c r="A1075" s="7"/>
      <c r="B1075" s="8">
        <v>-1.2284177840385118</v>
      </c>
      <c r="C1075" s="8">
        <v>-2.3993580133895418</v>
      </c>
      <c r="D1075" s="8">
        <v>0.6756623603325641</v>
      </c>
      <c r="E1075" s="7">
        <v>-1.4990516053215155E-2</v>
      </c>
      <c r="F1075" s="8">
        <v>0</v>
      </c>
      <c r="G1075" s="8">
        <v>0</v>
      </c>
      <c r="H1075" s="33">
        <v>0</v>
      </c>
      <c r="I1075" s="7">
        <v>0</v>
      </c>
      <c r="J1075" s="7">
        <v>0</v>
      </c>
      <c r="K1075" s="7">
        <v>0</v>
      </c>
      <c r="M1075">
        <f t="shared" ref="M1075" si="801">MDETERM(B1075:D1077)</f>
        <v>2.4934132109217195</v>
      </c>
      <c r="N1075">
        <f t="shared" ref="N1075" si="802">MDETERM(E1075:G1077)</f>
        <v>-3.3686023826032914E-6</v>
      </c>
      <c r="P1075">
        <f t="array" ref="P1075:R1077">SVDD(B1075:D1077)</f>
        <v>2.9534114012954329</v>
      </c>
      <c r="Q1075">
        <v>0</v>
      </c>
      <c r="R1075">
        <v>0</v>
      </c>
      <c r="S1075" s="3">
        <f t="shared" ref="S1075" si="803">MAX(P1075,Q1076,R1077)/MIN(P1075,Q1076,R1077)</f>
        <v>7.1573490093416128</v>
      </c>
    </row>
    <row r="1076" spans="1:19">
      <c r="A1076" s="7" t="s">
        <v>284</v>
      </c>
      <c r="B1076" s="8">
        <v>1.4675604394566215</v>
      </c>
      <c r="C1076" s="8">
        <v>-1.3235781323919831</v>
      </c>
      <c r="D1076" s="8">
        <v>0.72564008456612294</v>
      </c>
      <c r="E1076" s="7">
        <v>0</v>
      </c>
      <c r="F1076" s="7">
        <v>-1.4990516053215155E-2</v>
      </c>
      <c r="G1076" s="8">
        <v>0</v>
      </c>
      <c r="H1076" s="8">
        <v>0</v>
      </c>
      <c r="I1076" s="33">
        <v>0</v>
      </c>
      <c r="J1076" s="7">
        <v>0</v>
      </c>
      <c r="K1076" s="7">
        <v>0</v>
      </c>
      <c r="P1076">
        <v>0</v>
      </c>
      <c r="Q1076">
        <v>2.0459666815076392</v>
      </c>
      <c r="R1076">
        <v>0</v>
      </c>
    </row>
    <row r="1077" spans="1:19">
      <c r="A1077" s="7"/>
      <c r="B1077" s="8">
        <v>0.60912970227287866</v>
      </c>
      <c r="C1077" s="8">
        <v>-0.28261535739067112</v>
      </c>
      <c r="D1077" s="8">
        <v>0.68802996689194662</v>
      </c>
      <c r="E1077" s="7">
        <v>0</v>
      </c>
      <c r="F1077" s="8">
        <v>0</v>
      </c>
      <c r="G1077" s="7">
        <v>-1.4990516053215155E-2</v>
      </c>
      <c r="H1077" s="8">
        <v>0</v>
      </c>
      <c r="I1077" s="8">
        <v>0</v>
      </c>
      <c r="J1077" s="33">
        <v>0</v>
      </c>
      <c r="K1077" s="33">
        <v>0</v>
      </c>
      <c r="P1077">
        <v>0</v>
      </c>
      <c r="Q1077">
        <v>0</v>
      </c>
      <c r="R1077">
        <v>0.41264040602752583</v>
      </c>
    </row>
    <row r="1078" spans="1:19">
      <c r="A1078" s="7"/>
      <c r="B1078" s="8"/>
      <c r="C1078" s="8"/>
      <c r="D1078" s="8"/>
      <c r="E1078" s="7"/>
      <c r="F1078" s="7"/>
      <c r="G1078" s="7"/>
      <c r="H1078" s="7"/>
      <c r="I1078" s="7"/>
      <c r="J1078" s="7"/>
      <c r="K1078" s="7"/>
    </row>
    <row r="1079" spans="1:19">
      <c r="A1079" s="7"/>
      <c r="B1079" s="8">
        <v>-1.2284177840385118</v>
      </c>
      <c r="C1079" s="8">
        <v>-2.3993580133895418</v>
      </c>
      <c r="D1079" s="8">
        <v>0.6756623603325641</v>
      </c>
      <c r="E1079" s="7">
        <v>-1.4990516053215155E-2</v>
      </c>
      <c r="F1079" s="8">
        <v>0</v>
      </c>
      <c r="G1079" s="8">
        <v>0</v>
      </c>
      <c r="H1079" s="33">
        <v>0</v>
      </c>
      <c r="I1079" s="7">
        <v>0</v>
      </c>
      <c r="J1079" s="7">
        <v>0</v>
      </c>
      <c r="K1079" s="7">
        <v>0</v>
      </c>
      <c r="M1079">
        <f t="shared" ref="M1079" si="804">MDETERM(B1079:D1081)</f>
        <v>-2.5279535809429055</v>
      </c>
      <c r="N1079">
        <f t="shared" ref="N1079" si="805">MDETERM(E1079:G1081)</f>
        <v>-3.3686023826032914E-6</v>
      </c>
      <c r="P1079">
        <f t="array" ref="P1079:R1081">SVDD(B1079:D1081)</f>
        <v>2.927418171241388</v>
      </c>
      <c r="Q1079">
        <v>0</v>
      </c>
      <c r="R1079">
        <v>0</v>
      </c>
      <c r="S1079" s="3">
        <f t="shared" ref="S1079" si="806">MAX(P1079,Q1080,R1081)/MIN(P1079,Q1080,R1081)</f>
        <v>3.4265372448109996</v>
      </c>
    </row>
    <row r="1080" spans="1:19">
      <c r="A1080" s="7" t="s">
        <v>285</v>
      </c>
      <c r="B1080" s="8">
        <v>-1.0097006711160386</v>
      </c>
      <c r="C1080" s="8">
        <v>-0.26302086313966178</v>
      </c>
      <c r="D1080" s="8">
        <v>0.76545275918666766</v>
      </c>
      <c r="E1080" s="7">
        <v>0</v>
      </c>
      <c r="F1080" s="7">
        <v>-1.4990516053215155E-2</v>
      </c>
      <c r="G1080" s="8">
        <v>0</v>
      </c>
      <c r="H1080" s="8">
        <v>0</v>
      </c>
      <c r="I1080" s="33">
        <v>0</v>
      </c>
      <c r="J1080" s="7">
        <v>0</v>
      </c>
      <c r="K1080" s="7">
        <v>0</v>
      </c>
      <c r="P1080">
        <v>0</v>
      </c>
      <c r="Q1080">
        <v>1.0107762369231874</v>
      </c>
      <c r="R1080">
        <v>0</v>
      </c>
    </row>
    <row r="1081" spans="1:19">
      <c r="A1081" s="7"/>
      <c r="B1081" s="8">
        <v>0.60912970227287866</v>
      </c>
      <c r="C1081" s="8">
        <v>-0.28261535739067112</v>
      </c>
      <c r="D1081" s="8">
        <v>0.68802996689194662</v>
      </c>
      <c r="E1081" s="7">
        <v>0</v>
      </c>
      <c r="F1081" s="8">
        <v>0</v>
      </c>
      <c r="G1081" s="7">
        <v>-1.4990516053215155E-2</v>
      </c>
      <c r="H1081" s="8">
        <v>0</v>
      </c>
      <c r="I1081" s="8">
        <v>0</v>
      </c>
      <c r="J1081" s="33">
        <v>0</v>
      </c>
      <c r="K1081" s="33">
        <v>0</v>
      </c>
      <c r="P1081">
        <v>0</v>
      </c>
      <c r="Q1081">
        <v>0</v>
      </c>
      <c r="R1081">
        <v>0.85433718126792402</v>
      </c>
    </row>
    <row r="1082" spans="1:19">
      <c r="A1082" s="7"/>
      <c r="B1082" s="8"/>
      <c r="C1082" s="8"/>
      <c r="D1082" s="8"/>
      <c r="E1082" s="7"/>
      <c r="F1082" s="7"/>
      <c r="G1082" s="7"/>
      <c r="H1082" s="7"/>
      <c r="I1082" s="7"/>
      <c r="J1082" s="7"/>
      <c r="K1082" s="7"/>
    </row>
    <row r="1083" spans="1:19">
      <c r="A1083" s="7"/>
      <c r="B1083" s="8">
        <v>1.0673702345396179</v>
      </c>
      <c r="C1083" s="8">
        <v>-2.4075843796929846</v>
      </c>
      <c r="D1083" s="8">
        <v>0.708799578341892</v>
      </c>
      <c r="E1083" s="7">
        <v>-1.4990516053215155E-2</v>
      </c>
      <c r="F1083" s="8">
        <v>0</v>
      </c>
      <c r="G1083" s="8">
        <v>0</v>
      </c>
      <c r="H1083" s="33">
        <v>-2.0521745021313972E-2</v>
      </c>
      <c r="I1083" s="7">
        <v>2.2872089329671663E-2</v>
      </c>
      <c r="J1083" s="7">
        <v>0</v>
      </c>
      <c r="K1083" s="7">
        <v>0</v>
      </c>
      <c r="M1083">
        <f t="shared" ref="M1083" si="807">MDETERM(B1083:D1085)</f>
        <v>-2.0926527595589359</v>
      </c>
      <c r="N1083">
        <f t="shared" ref="N1083" si="808">MDETERM(E1083:G1085)</f>
        <v>-3.3686023826032914E-6</v>
      </c>
      <c r="P1083">
        <f t="array" ref="P1083:R1085">SVDD(B1083:D1085)</f>
        <v>3.5000570370775606</v>
      </c>
      <c r="Q1083">
        <v>0</v>
      </c>
      <c r="R1083">
        <v>0</v>
      </c>
      <c r="S1083" s="3">
        <f t="shared" ref="S1083" si="809">MAX(P1083,Q1084,R1085)/MIN(P1083,Q1084,R1085)</f>
        <v>12.100449578887144</v>
      </c>
    </row>
    <row r="1084" spans="1:19">
      <c r="A1084" s="7" t="s">
        <v>286</v>
      </c>
      <c r="B1084" s="8">
        <v>-1.3773893306068323</v>
      </c>
      <c r="C1084" s="8">
        <v>-1.5521003879162059</v>
      </c>
      <c r="D1084" s="8">
        <v>0.65590292152571228</v>
      </c>
      <c r="E1084" s="7">
        <v>0</v>
      </c>
      <c r="F1084" s="7">
        <v>-1.4990516053215155E-2</v>
      </c>
      <c r="G1084" s="8">
        <v>0</v>
      </c>
      <c r="H1084" s="8">
        <v>-2.0521745021313972E-2</v>
      </c>
      <c r="I1084" s="33">
        <v>0</v>
      </c>
      <c r="J1084" s="7">
        <v>2.2385887789414392E-2</v>
      </c>
      <c r="K1084" s="7">
        <v>0</v>
      </c>
      <c r="P1084">
        <v>0</v>
      </c>
      <c r="Q1084">
        <v>2.0670378703544543</v>
      </c>
      <c r="R1084">
        <v>0</v>
      </c>
    </row>
    <row r="1085" spans="1:19">
      <c r="A1085" s="7"/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8">
        <v>0</v>
      </c>
      <c r="G1085" s="7">
        <v>-1.4990516053215155E-2</v>
      </c>
      <c r="H1085" s="8">
        <v>-2.0521745021313972E-2</v>
      </c>
      <c r="I1085" s="8">
        <v>0</v>
      </c>
      <c r="J1085" s="33">
        <v>0</v>
      </c>
      <c r="K1085" s="33">
        <v>1.6236379226863738E-2</v>
      </c>
      <c r="P1085">
        <v>0</v>
      </c>
      <c r="Q1085">
        <v>0</v>
      </c>
      <c r="R1085">
        <v>0.28925016498432071</v>
      </c>
    </row>
    <row r="1086" spans="1:19">
      <c r="A1086" s="7"/>
      <c r="B1086" s="8"/>
      <c r="C1086" s="8"/>
      <c r="D1086" s="8"/>
      <c r="E1086" s="7"/>
      <c r="F1086" s="7"/>
      <c r="G1086" s="7"/>
      <c r="H1086" s="7"/>
      <c r="I1086" s="7"/>
      <c r="J1086" s="7"/>
      <c r="K1086" s="7"/>
    </row>
    <row r="1087" spans="1:19">
      <c r="A1087" s="7"/>
      <c r="B1087" s="8">
        <v>1.0673702345396179</v>
      </c>
      <c r="C1087" s="8">
        <v>-2.4075843796929846</v>
      </c>
      <c r="D1087" s="8">
        <v>0.708799578341892</v>
      </c>
      <c r="E1087" s="7">
        <v>-1.4990516053215155E-2</v>
      </c>
      <c r="F1087" s="8">
        <v>0</v>
      </c>
      <c r="G1087" s="8">
        <v>0</v>
      </c>
      <c r="H1087" s="33">
        <v>-2.0521745021313972E-2</v>
      </c>
      <c r="I1087" s="7">
        <v>2.2872089329671663E-2</v>
      </c>
      <c r="J1087" s="7">
        <v>0</v>
      </c>
      <c r="K1087" s="7">
        <v>0</v>
      </c>
      <c r="M1087">
        <f t="shared" ref="M1087" si="810">MDETERM(B1087:D1089)</f>
        <v>-2.8818949898130115</v>
      </c>
      <c r="N1087">
        <f t="shared" ref="N1087" si="811">MDETERM(E1087:G1089)</f>
        <v>-3.3686023826032914E-6</v>
      </c>
      <c r="P1087">
        <f t="array" ref="P1087:R1089">SVDD(B1087:D1089)</f>
        <v>3.061181665535972</v>
      </c>
      <c r="Q1087">
        <v>0</v>
      </c>
      <c r="R1087">
        <v>0</v>
      </c>
      <c r="S1087" s="3">
        <f t="shared" ref="S1087" si="812">MAX(P1087,Q1088,R1089)/MIN(P1087,Q1088,R1089)</f>
        <v>6.7197741867997447</v>
      </c>
    </row>
    <row r="1088" spans="1:19">
      <c r="A1088" s="7" t="s">
        <v>287</v>
      </c>
      <c r="B1088" s="8">
        <v>-1.3773893306068323</v>
      </c>
      <c r="C1088" s="8">
        <v>-1.5521003879162059</v>
      </c>
      <c r="D1088" s="8">
        <v>0.65590292152571228</v>
      </c>
      <c r="E1088" s="7">
        <v>0</v>
      </c>
      <c r="F1088" s="7">
        <v>-1.4990516053215155E-2</v>
      </c>
      <c r="G1088" s="8">
        <v>0</v>
      </c>
      <c r="H1088" s="8">
        <v>-2.0521745021313972E-2</v>
      </c>
      <c r="I1088" s="33">
        <v>0</v>
      </c>
      <c r="J1088" s="7">
        <v>2.2385887789414392E-2</v>
      </c>
      <c r="K1088" s="7">
        <v>0</v>
      </c>
      <c r="P1088">
        <v>0</v>
      </c>
      <c r="Q1088">
        <v>2.0665914300438915</v>
      </c>
      <c r="R1088">
        <v>0</v>
      </c>
    </row>
    <row r="1089" spans="1:19">
      <c r="A1089" s="7"/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8">
        <v>0</v>
      </c>
      <c r="G1089" s="7">
        <v>-1.4990516053215155E-2</v>
      </c>
      <c r="H1089" s="8">
        <v>-2.0521745021313972E-2</v>
      </c>
      <c r="I1089" s="8">
        <v>0</v>
      </c>
      <c r="J1089" s="33">
        <v>0</v>
      </c>
      <c r="K1089" s="33">
        <v>1.5970575730977998E-2</v>
      </c>
      <c r="P1089">
        <v>0</v>
      </c>
      <c r="Q1089">
        <v>0</v>
      </c>
      <c r="R1089">
        <v>0.45554829380268846</v>
      </c>
    </row>
    <row r="1090" spans="1:19">
      <c r="A1090" s="7"/>
      <c r="B1090" s="8"/>
      <c r="C1090" s="8"/>
      <c r="D1090" s="8"/>
      <c r="E1090" s="7"/>
      <c r="F1090" s="7"/>
      <c r="G1090" s="7"/>
      <c r="H1090" s="7"/>
      <c r="I1090" s="7"/>
      <c r="J1090" s="7"/>
      <c r="K1090" s="7"/>
    </row>
    <row r="1091" spans="1:19">
      <c r="A1091" s="7"/>
      <c r="B1091" s="8">
        <v>1.0673702345396179</v>
      </c>
      <c r="C1091" s="8">
        <v>-2.4075843796929846</v>
      </c>
      <c r="D1091" s="8">
        <v>0.708799578341892</v>
      </c>
      <c r="E1091" s="7">
        <v>-1.4990516053215155E-2</v>
      </c>
      <c r="F1091" s="8">
        <v>0</v>
      </c>
      <c r="G1091" s="8">
        <v>0</v>
      </c>
      <c r="H1091" s="33">
        <v>0</v>
      </c>
      <c r="I1091" s="7">
        <v>0</v>
      </c>
      <c r="J1091" s="7">
        <v>0</v>
      </c>
      <c r="K1091" s="7">
        <v>0</v>
      </c>
      <c r="M1091">
        <f t="shared" ref="M1091" si="813">MDETERM(B1091:D1093)</f>
        <v>-3.2394770526391397</v>
      </c>
      <c r="N1091">
        <f t="shared" ref="N1091" si="814">MDETERM(E1091:G1093)</f>
        <v>-3.3686023826032914E-6</v>
      </c>
      <c r="P1091">
        <f t="array" ref="P1091:R1093">SVDD(B1091:D1093)</f>
        <v>3.070748910281913</v>
      </c>
      <c r="Q1091">
        <v>0</v>
      </c>
      <c r="R1091">
        <v>0</v>
      </c>
      <c r="S1091" s="3">
        <f t="shared" ref="S1091" si="815">MAX(P1091,Q1092,R1093)/MIN(P1091,Q1092,R1093)</f>
        <v>5.3162933238372769</v>
      </c>
    </row>
    <row r="1092" spans="1:19">
      <c r="A1092" s="7" t="s">
        <v>288</v>
      </c>
      <c r="B1092" s="8">
        <v>-1.3773893306068323</v>
      </c>
      <c r="C1092" s="8">
        <v>-1.5521003879162059</v>
      </c>
      <c r="D1092" s="8">
        <v>0.65590292152571228</v>
      </c>
      <c r="E1092" s="7">
        <v>0</v>
      </c>
      <c r="F1092" s="7">
        <v>-1.4990516053215155E-2</v>
      </c>
      <c r="G1092" s="8">
        <v>0</v>
      </c>
      <c r="H1092" s="8">
        <v>0</v>
      </c>
      <c r="I1092" s="33">
        <v>0</v>
      </c>
      <c r="J1092" s="7">
        <v>0</v>
      </c>
      <c r="K1092" s="7">
        <v>0</v>
      </c>
      <c r="P1092">
        <v>0</v>
      </c>
      <c r="Q1092">
        <v>1.8263971887695858</v>
      </c>
      <c r="R1092">
        <v>0</v>
      </c>
    </row>
    <row r="1093" spans="1:19">
      <c r="A1093" s="7"/>
      <c r="B1093" s="8">
        <v>0.60912970227287866</v>
      </c>
      <c r="C1093" s="8">
        <v>-0.28261535739067112</v>
      </c>
      <c r="D1093" s="8">
        <v>0.68802996689194662</v>
      </c>
      <c r="E1093" s="7">
        <v>0</v>
      </c>
      <c r="F1093" s="8">
        <v>0</v>
      </c>
      <c r="G1093" s="7">
        <v>-1.4990516053215155E-2</v>
      </c>
      <c r="H1093" s="8">
        <v>0</v>
      </c>
      <c r="I1093" s="8">
        <v>0</v>
      </c>
      <c r="J1093" s="33">
        <v>0</v>
      </c>
      <c r="K1093" s="33">
        <v>0</v>
      </c>
      <c r="P1093">
        <v>0</v>
      </c>
      <c r="Q1093">
        <v>0</v>
      </c>
      <c r="R1093">
        <v>0.57761088849504261</v>
      </c>
    </row>
    <row r="1094" spans="1:19">
      <c r="A1094" s="7"/>
      <c r="B1094" s="8"/>
      <c r="C1094" s="8"/>
      <c r="D1094" s="8"/>
      <c r="E1094" s="7"/>
      <c r="F1094" s="7"/>
      <c r="G1094" s="7"/>
      <c r="H1094" s="7"/>
      <c r="I1094" s="7"/>
      <c r="J1094" s="7"/>
      <c r="K1094" s="7"/>
    </row>
    <row r="1095" spans="1:19">
      <c r="A1095" s="7"/>
      <c r="B1095" s="8">
        <v>1.0673702345396179</v>
      </c>
      <c r="C1095" s="8">
        <v>-2.4075843796929846</v>
      </c>
      <c r="D1095" s="8">
        <v>0.708799578341892</v>
      </c>
      <c r="E1095" s="7">
        <v>-1.4990516053215155E-2</v>
      </c>
      <c r="F1095" s="8">
        <v>0</v>
      </c>
      <c r="G1095" s="8">
        <v>0</v>
      </c>
      <c r="H1095" s="33">
        <v>-2.0521745021313972E-2</v>
      </c>
      <c r="I1095" s="7">
        <v>2.2872089329671663E-2</v>
      </c>
      <c r="J1095" s="7">
        <v>0</v>
      </c>
      <c r="K1095" s="7">
        <v>0</v>
      </c>
      <c r="M1095">
        <f t="shared" ref="M1095" si="816">MDETERM(B1095:D1097)</f>
        <v>2.3700193625278949</v>
      </c>
      <c r="N1095">
        <f t="shared" ref="N1095" si="817">MDETERM(E1095:G1097)</f>
        <v>-3.3686023826032914E-6</v>
      </c>
      <c r="P1095">
        <f t="array" ref="P1095:R1097">SVDD(B1095:D1097)</f>
        <v>3.3793887183855067</v>
      </c>
      <c r="Q1095">
        <v>0</v>
      </c>
      <c r="R1095">
        <v>0</v>
      </c>
      <c r="S1095" s="3">
        <f t="shared" ref="S1095" si="818">MAX(P1095,Q1096,R1097)/MIN(P1095,Q1096,R1097)</f>
        <v>6.5721137062563466</v>
      </c>
    </row>
    <row r="1096" spans="1:19">
      <c r="A1096" s="7" t="s">
        <v>289</v>
      </c>
      <c r="B1096" s="8">
        <v>1.4675604394566215</v>
      </c>
      <c r="C1096" s="8">
        <v>-1.3235781323919831</v>
      </c>
      <c r="D1096" s="8">
        <v>0.72564008456612294</v>
      </c>
      <c r="E1096" s="7">
        <v>0</v>
      </c>
      <c r="F1096" s="7">
        <v>-1.4990516053215155E-2</v>
      </c>
      <c r="G1096" s="8">
        <v>0</v>
      </c>
      <c r="H1096" s="8">
        <v>-2.0521745021313972E-2</v>
      </c>
      <c r="I1096" s="33">
        <v>0</v>
      </c>
      <c r="J1096" s="7">
        <v>1.6236379226863738E-2</v>
      </c>
      <c r="K1096" s="7">
        <v>0</v>
      </c>
      <c r="P1096">
        <v>0</v>
      </c>
      <c r="Q1096">
        <v>1.3638941386139694</v>
      </c>
      <c r="R1096">
        <v>0</v>
      </c>
    </row>
    <row r="1097" spans="1:19">
      <c r="A1097" s="7"/>
      <c r="B1097" s="8">
        <v>-1.0097006711160386</v>
      </c>
      <c r="C1097" s="8">
        <v>-0.26302086313966178</v>
      </c>
      <c r="D1097" s="8">
        <v>0.76545275918666766</v>
      </c>
      <c r="E1097" s="7">
        <v>0</v>
      </c>
      <c r="F1097" s="8">
        <v>0</v>
      </c>
      <c r="G1097" s="7">
        <v>-1.4990516053215155E-2</v>
      </c>
      <c r="H1097" s="8">
        <v>-2.0521745021313972E-2</v>
      </c>
      <c r="I1097" s="8">
        <v>0</v>
      </c>
      <c r="J1097" s="33">
        <v>0</v>
      </c>
      <c r="K1097" s="33">
        <v>1.5970575730977998E-2</v>
      </c>
      <c r="P1097">
        <v>0</v>
      </c>
      <c r="Q1097">
        <v>0</v>
      </c>
      <c r="R1097">
        <v>0.51420119453631574</v>
      </c>
    </row>
    <row r="1098" spans="1:19">
      <c r="A1098" s="7"/>
      <c r="B1098" s="8"/>
      <c r="C1098" s="8"/>
      <c r="D1098" s="8"/>
      <c r="E1098" s="7"/>
      <c r="F1098" s="7"/>
      <c r="G1098" s="7"/>
      <c r="H1098" s="7"/>
      <c r="I1098" s="7"/>
      <c r="J1098" s="7"/>
      <c r="K1098" s="7"/>
    </row>
    <row r="1099" spans="1:19">
      <c r="A1099" s="7"/>
      <c r="B1099" s="8">
        <v>1.0673702345396179</v>
      </c>
      <c r="C1099" s="8">
        <v>-2.4075843796929846</v>
      </c>
      <c r="D1099" s="8">
        <v>0.708799578341892</v>
      </c>
      <c r="E1099" s="7">
        <v>-1.4990516053215155E-2</v>
      </c>
      <c r="F1099" s="8">
        <v>0</v>
      </c>
      <c r="G1099" s="8">
        <v>0</v>
      </c>
      <c r="H1099" s="33">
        <v>0</v>
      </c>
      <c r="I1099" s="7">
        <v>0</v>
      </c>
      <c r="J1099" s="7">
        <v>0</v>
      </c>
      <c r="K1099" s="7">
        <v>0</v>
      </c>
      <c r="M1099">
        <f t="shared" ref="M1099" si="819">MDETERM(B1099:D1101)</f>
        <v>0.8911836881287496</v>
      </c>
      <c r="N1099">
        <f t="shared" ref="N1099" si="820">MDETERM(E1099:G1101)</f>
        <v>-3.3686023826032914E-6</v>
      </c>
      <c r="P1099">
        <f t="array" ref="P1099:R1101">SVDD(B1099:D1101)</f>
        <v>3.4620030538804016</v>
      </c>
      <c r="Q1099">
        <v>0</v>
      </c>
      <c r="R1099">
        <v>0</v>
      </c>
      <c r="S1099" s="3">
        <f t="shared" ref="S1099" si="821">MAX(P1099,Q1100,R1101)/MIN(P1099,Q1100,R1101)</f>
        <v>11.385227489967416</v>
      </c>
    </row>
    <row r="1100" spans="1:19">
      <c r="A1100" s="7" t="s">
        <v>290</v>
      </c>
      <c r="B1100" s="8">
        <v>1.4675604394566215</v>
      </c>
      <c r="C1100" s="8">
        <v>-1.3235781323919831</v>
      </c>
      <c r="D1100" s="8">
        <v>0.72564008456612294</v>
      </c>
      <c r="E1100" s="7">
        <v>0</v>
      </c>
      <c r="F1100" s="7">
        <v>-1.4990516053215155E-2</v>
      </c>
      <c r="G1100" s="8">
        <v>0</v>
      </c>
      <c r="H1100" s="8">
        <v>0</v>
      </c>
      <c r="I1100" s="33">
        <v>0</v>
      </c>
      <c r="J1100" s="7">
        <v>0</v>
      </c>
      <c r="K1100" s="7">
        <v>0</v>
      </c>
      <c r="P1100">
        <v>0</v>
      </c>
      <c r="Q1100">
        <v>0.84655279556349683</v>
      </c>
      <c r="R1100">
        <v>0</v>
      </c>
    </row>
    <row r="1101" spans="1:19">
      <c r="A1101" s="7"/>
      <c r="B1101" s="8">
        <v>0.60912970227287866</v>
      </c>
      <c r="C1101" s="8">
        <v>-0.28261535739067112</v>
      </c>
      <c r="D1101" s="8">
        <v>0.68802996689194662</v>
      </c>
      <c r="E1101" s="7">
        <v>0</v>
      </c>
      <c r="F1101" s="8">
        <v>0</v>
      </c>
      <c r="G1101" s="7">
        <v>-1.4990516053215155E-2</v>
      </c>
      <c r="H1101" s="8">
        <v>0</v>
      </c>
      <c r="I1101" s="8">
        <v>0</v>
      </c>
      <c r="J1101" s="33">
        <v>0</v>
      </c>
      <c r="K1101" s="33">
        <v>0</v>
      </c>
      <c r="P1101">
        <v>0</v>
      </c>
      <c r="Q1101">
        <v>0</v>
      </c>
      <c r="R1101">
        <v>0.30407851375223682</v>
      </c>
    </row>
    <row r="1102" spans="1:19">
      <c r="A1102" s="7"/>
      <c r="B1102" s="8"/>
      <c r="C1102" s="8"/>
      <c r="D1102" s="8"/>
      <c r="E1102" s="7"/>
      <c r="F1102" s="7"/>
      <c r="G1102" s="7"/>
      <c r="H1102" s="7"/>
      <c r="I1102" s="7"/>
      <c r="J1102" s="7"/>
      <c r="K1102" s="7"/>
    </row>
    <row r="1103" spans="1:19">
      <c r="A1103" s="7"/>
      <c r="B1103" s="8">
        <v>1.0673702345396179</v>
      </c>
      <c r="C1103" s="8">
        <v>-2.4075843796929846</v>
      </c>
      <c r="D1103" s="8">
        <v>0.708799578341892</v>
      </c>
      <c r="E1103" s="7">
        <v>-1.4990516053215155E-2</v>
      </c>
      <c r="F1103" s="8">
        <v>0</v>
      </c>
      <c r="G1103" s="8">
        <v>0</v>
      </c>
      <c r="H1103" s="33">
        <v>0</v>
      </c>
      <c r="I1103" s="7">
        <v>0</v>
      </c>
      <c r="J1103" s="7">
        <v>0</v>
      </c>
      <c r="K1103" s="7">
        <v>0</v>
      </c>
      <c r="M1103">
        <f t="shared" ref="M1103" si="822">MDETERM(B1103:D1105)</f>
        <v>-2.4415543907414032</v>
      </c>
      <c r="N1103">
        <f t="shared" ref="N1103" si="823">MDETERM(E1103:G1105)</f>
        <v>-3.3686023826032914E-6</v>
      </c>
      <c r="P1103">
        <f t="array" ref="P1103:R1105">SVDD(B1103:D1105)</f>
        <v>2.8129435835585523</v>
      </c>
      <c r="Q1103">
        <v>0</v>
      </c>
      <c r="R1103">
        <v>0</v>
      </c>
      <c r="S1103" s="3">
        <f t="shared" ref="S1103" si="824">MAX(P1103,Q1104,R1105)/MIN(P1103,Q1104,R1105)</f>
        <v>4.1936501463501141</v>
      </c>
    </row>
    <row r="1104" spans="1:19">
      <c r="A1104" s="7" t="s">
        <v>291</v>
      </c>
      <c r="B1104" s="8">
        <v>-1.0097006711160386</v>
      </c>
      <c r="C1104" s="8">
        <v>-0.26302086313966178</v>
      </c>
      <c r="D1104" s="8">
        <v>0.76545275918666766</v>
      </c>
      <c r="E1104" s="7">
        <v>0</v>
      </c>
      <c r="F1104" s="7">
        <v>-1.4990516053215155E-2</v>
      </c>
      <c r="G1104" s="8">
        <v>0</v>
      </c>
      <c r="H1104" s="8">
        <v>0</v>
      </c>
      <c r="I1104" s="33">
        <v>0</v>
      </c>
      <c r="J1104" s="7">
        <v>0</v>
      </c>
      <c r="K1104" s="7">
        <v>0</v>
      </c>
      <c r="P1104">
        <v>0</v>
      </c>
      <c r="Q1104">
        <v>1.2940067931857282</v>
      </c>
      <c r="R1104">
        <v>0</v>
      </c>
    </row>
    <row r="1105" spans="1:19">
      <c r="A1105" s="7"/>
      <c r="B1105" s="8">
        <v>0.60912970227287866</v>
      </c>
      <c r="C1105" s="8">
        <v>-0.28261535739067112</v>
      </c>
      <c r="D1105" s="8">
        <v>0.68802996689194662</v>
      </c>
      <c r="E1105" s="7">
        <v>0</v>
      </c>
      <c r="F1105" s="8">
        <v>0</v>
      </c>
      <c r="G1105" s="7">
        <v>-1.4990516053215155E-2</v>
      </c>
      <c r="H1105" s="8">
        <v>0</v>
      </c>
      <c r="I1105" s="8">
        <v>0</v>
      </c>
      <c r="J1105" s="33">
        <v>0</v>
      </c>
      <c r="K1105" s="33">
        <v>0</v>
      </c>
      <c r="P1105">
        <v>0</v>
      </c>
      <c r="Q1105">
        <v>0</v>
      </c>
      <c r="R1105">
        <v>0.67076257803879014</v>
      </c>
    </row>
    <row r="1106" spans="1:19">
      <c r="A1106" s="7"/>
      <c r="B1106" s="8"/>
      <c r="C1106" s="8"/>
      <c r="D1106" s="8"/>
      <c r="E1106" s="7"/>
      <c r="F1106" s="7"/>
      <c r="G1106" s="7"/>
      <c r="H1106" s="7"/>
      <c r="I1106" s="7"/>
      <c r="J1106" s="7"/>
      <c r="K1106" s="7"/>
    </row>
    <row r="1107" spans="1:19">
      <c r="A1107" s="7"/>
      <c r="B1107" s="8">
        <v>-1.3773893306068323</v>
      </c>
      <c r="C1107" s="8">
        <v>-1.5521003879162059</v>
      </c>
      <c r="D1107" s="8">
        <v>0.65590292152571228</v>
      </c>
      <c r="E1107" s="7">
        <v>-1.4990516053215155E-2</v>
      </c>
      <c r="F1107" s="8">
        <v>0</v>
      </c>
      <c r="G1107" s="8">
        <v>0</v>
      </c>
      <c r="H1107" s="33">
        <v>-2.0521745021313972E-2</v>
      </c>
      <c r="I1107" s="7">
        <v>2.2385887789414392E-2</v>
      </c>
      <c r="J1107" s="7">
        <v>0</v>
      </c>
      <c r="K1107" s="7">
        <v>0</v>
      </c>
      <c r="M1107">
        <f t="shared" ref="M1107" si="825">MDETERM(B1107:D1109)</f>
        <v>2.8835997956298036</v>
      </c>
      <c r="N1107">
        <f t="shared" ref="N1107" si="826">MDETERM(E1107:G1109)</f>
        <v>-3.3686023826032914E-6</v>
      </c>
      <c r="P1107">
        <f t="array" ref="P1107:R1109">SVDD(B1107:D1109)</f>
        <v>2.4475358135177725</v>
      </c>
      <c r="Q1107">
        <v>0</v>
      </c>
      <c r="R1107">
        <v>0</v>
      </c>
      <c r="S1107" s="3">
        <f t="shared" ref="S1107" si="827">MAX(P1107,Q1108,R1109)/MIN(P1107,Q1108,R1109)</f>
        <v>4.4300562065933597</v>
      </c>
    </row>
    <row r="1108" spans="1:19">
      <c r="A1108" s="7" t="s">
        <v>292</v>
      </c>
      <c r="B1108" s="8">
        <v>1.4675604394566215</v>
      </c>
      <c r="C1108" s="8">
        <v>-1.3235781323919831</v>
      </c>
      <c r="D1108" s="8">
        <v>0.72564008456612294</v>
      </c>
      <c r="E1108" s="7">
        <v>0</v>
      </c>
      <c r="F1108" s="7">
        <v>-1.4990516053215155E-2</v>
      </c>
      <c r="G1108" s="8">
        <v>0</v>
      </c>
      <c r="H1108" s="8">
        <v>-2.0521745021313972E-2</v>
      </c>
      <c r="I1108" s="33">
        <v>0</v>
      </c>
      <c r="J1108" s="7">
        <v>1.6236379226863738E-2</v>
      </c>
      <c r="K1108" s="7">
        <v>0</v>
      </c>
      <c r="P1108">
        <v>0</v>
      </c>
      <c r="Q1108">
        <v>2.1324856226655595</v>
      </c>
      <c r="R1108">
        <v>0</v>
      </c>
    </row>
    <row r="1109" spans="1:19">
      <c r="A1109" s="7"/>
      <c r="B1109" s="8">
        <v>-1.0097006711160386</v>
      </c>
      <c r="C1109" s="8">
        <v>-0.26302086313966178</v>
      </c>
      <c r="D1109" s="8">
        <v>0.76545275918666766</v>
      </c>
      <c r="E1109" s="7">
        <v>0</v>
      </c>
      <c r="F1109" s="8">
        <v>0</v>
      </c>
      <c r="G1109" s="7">
        <v>-1.4990516053215155E-2</v>
      </c>
      <c r="H1109" s="8">
        <v>-2.0521745021313972E-2</v>
      </c>
      <c r="I1109" s="8">
        <v>0</v>
      </c>
      <c r="J1109" s="33">
        <v>0</v>
      </c>
      <c r="K1109" s="33">
        <v>1.5970575730977998E-2</v>
      </c>
      <c r="P1109">
        <v>0</v>
      </c>
      <c r="Q1109">
        <v>0</v>
      </c>
      <c r="R1109">
        <v>0.55248414452959893</v>
      </c>
    </row>
    <row r="1110" spans="1:19">
      <c r="A1110" s="7"/>
      <c r="B1110" s="8"/>
      <c r="C1110" s="8"/>
      <c r="D1110" s="8"/>
      <c r="E1110" s="7"/>
      <c r="F1110" s="7"/>
      <c r="G1110" s="7"/>
      <c r="H1110" s="7"/>
      <c r="I1110" s="7"/>
      <c r="J1110" s="7"/>
      <c r="K1110" s="7"/>
    </row>
    <row r="1111" spans="1:19">
      <c r="A1111" s="7"/>
      <c r="B1111" s="8">
        <v>-1.3773893306068323</v>
      </c>
      <c r="C1111" s="8">
        <v>-1.5521003879162059</v>
      </c>
      <c r="D1111" s="8">
        <v>0.65590292152571228</v>
      </c>
      <c r="E1111" s="7">
        <v>-1.4990516053215155E-2</v>
      </c>
      <c r="F1111" s="8">
        <v>0</v>
      </c>
      <c r="G1111" s="8">
        <v>0</v>
      </c>
      <c r="H1111" s="33">
        <v>0</v>
      </c>
      <c r="I1111" s="7">
        <v>0</v>
      </c>
      <c r="J1111" s="7">
        <v>0</v>
      </c>
      <c r="K1111" s="7">
        <v>0</v>
      </c>
      <c r="M1111">
        <f t="shared" ref="M1111" si="828">MDETERM(B1111:D1113)</f>
        <v>2.1097876238997864</v>
      </c>
      <c r="N1111">
        <f t="shared" ref="N1111" si="829">MDETERM(E1111:G1113)</f>
        <v>-3.3686023826032914E-6</v>
      </c>
      <c r="P1111">
        <f t="array" ref="P1111:R1113">SVDD(B1111:D1113)</f>
        <v>2.3427192870917382</v>
      </c>
      <c r="Q1111">
        <v>0</v>
      </c>
      <c r="R1111">
        <v>0</v>
      </c>
      <c r="S1111" s="3">
        <f t="shared" ref="S1111" si="830">MAX(P1111,Q1112,R1113)/MIN(P1111,Q1112,R1113)</f>
        <v>5.4697357909735507</v>
      </c>
    </row>
    <row r="1112" spans="1:19">
      <c r="A1112" s="7" t="s">
        <v>293</v>
      </c>
      <c r="B1112" s="8">
        <v>1.4675604394566215</v>
      </c>
      <c r="C1112" s="8">
        <v>-1.3235781323919831</v>
      </c>
      <c r="D1112" s="8">
        <v>0.72564008456612294</v>
      </c>
      <c r="E1112" s="7">
        <v>0</v>
      </c>
      <c r="F1112" s="7">
        <v>-1.4990516053215155E-2</v>
      </c>
      <c r="G1112" s="8">
        <v>0</v>
      </c>
      <c r="H1112" s="8">
        <v>0</v>
      </c>
      <c r="I1112" s="33">
        <v>0</v>
      </c>
      <c r="J1112" s="7">
        <v>0</v>
      </c>
      <c r="K1112" s="7">
        <v>0</v>
      </c>
      <c r="P1112">
        <v>0</v>
      </c>
      <c r="Q1112">
        <v>2.1026383592298372</v>
      </c>
      <c r="R1112">
        <v>0</v>
      </c>
    </row>
    <row r="1113" spans="1:19">
      <c r="A1113" s="7"/>
      <c r="B1113" s="8">
        <v>0.60912970227287866</v>
      </c>
      <c r="C1113" s="8">
        <v>-0.28261535739067112</v>
      </c>
      <c r="D1113" s="8">
        <v>0.68802996689194662</v>
      </c>
      <c r="E1113" s="7">
        <v>0</v>
      </c>
      <c r="F1113" s="8">
        <v>0</v>
      </c>
      <c r="G1113" s="7">
        <v>-1.4990516053215155E-2</v>
      </c>
      <c r="H1113" s="8">
        <v>0</v>
      </c>
      <c r="I1113" s="8">
        <v>0</v>
      </c>
      <c r="J1113" s="33">
        <v>0</v>
      </c>
      <c r="K1113" s="33">
        <v>0</v>
      </c>
      <c r="P1113">
        <v>0</v>
      </c>
      <c r="Q1113">
        <v>0</v>
      </c>
      <c r="R1113">
        <v>0.42830574942172128</v>
      </c>
    </row>
    <row r="1114" spans="1:19">
      <c r="A1114" s="7"/>
      <c r="B1114" s="8"/>
      <c r="C1114" s="8"/>
      <c r="D1114" s="8"/>
      <c r="E1114" s="7"/>
      <c r="F1114" s="7"/>
      <c r="G1114" s="7"/>
      <c r="H1114" s="7"/>
      <c r="I1114" s="7"/>
      <c r="J1114" s="7"/>
      <c r="K1114" s="7"/>
    </row>
    <row r="1115" spans="1:19">
      <c r="A1115" s="7"/>
      <c r="B1115" s="8">
        <v>-1.3773893306068323</v>
      </c>
      <c r="C1115" s="8">
        <v>-1.5521003879162059</v>
      </c>
      <c r="D1115" s="8">
        <v>0.65590292152571228</v>
      </c>
      <c r="E1115" s="7">
        <v>-1.4990516053215155E-2</v>
      </c>
      <c r="F1115" s="8">
        <v>0</v>
      </c>
      <c r="G1115" s="8">
        <v>0</v>
      </c>
      <c r="H1115" s="33">
        <v>0</v>
      </c>
      <c r="I1115" s="7">
        <v>0</v>
      </c>
      <c r="J1115" s="7">
        <v>0</v>
      </c>
      <c r="K1115" s="7">
        <v>0</v>
      </c>
      <c r="M1115">
        <f t="shared" ref="M1115" si="831">MDETERM(B1115:D1117)</f>
        <v>-1.558389928359982</v>
      </c>
      <c r="N1115">
        <f t="shared" ref="N1115" si="832">MDETERM(E1115:G1117)</f>
        <v>-3.3686023826032914E-6</v>
      </c>
      <c r="P1115">
        <f t="array" ref="P1115:R1117">SVDD(B1115:D1117)</f>
        <v>2.4432740653509919</v>
      </c>
      <c r="Q1115">
        <v>0</v>
      </c>
      <c r="R1115">
        <v>0</v>
      </c>
      <c r="S1115" s="3">
        <f t="shared" ref="S1115" si="833">MAX(P1115,Q1116,R1117)/MIN(P1115,Q1116,R1117)</f>
        <v>3.6876331792039538</v>
      </c>
    </row>
    <row r="1116" spans="1:19">
      <c r="A1116" s="7" t="s">
        <v>294</v>
      </c>
      <c r="B1116" s="8">
        <v>-1.0097006711160386</v>
      </c>
      <c r="C1116" s="8">
        <v>-0.26302086313966178</v>
      </c>
      <c r="D1116" s="8">
        <v>0.76545275918666766</v>
      </c>
      <c r="E1116" s="7">
        <v>0</v>
      </c>
      <c r="F1116" s="7">
        <v>-1.4990516053215155E-2</v>
      </c>
      <c r="G1116" s="8">
        <v>0</v>
      </c>
      <c r="H1116" s="8">
        <v>0</v>
      </c>
      <c r="I1116" s="33">
        <v>0</v>
      </c>
      <c r="J1116" s="7">
        <v>0</v>
      </c>
      <c r="K1116" s="7">
        <v>0</v>
      </c>
      <c r="P1116">
        <v>0</v>
      </c>
      <c r="Q1116">
        <v>0.96267451848498797</v>
      </c>
      <c r="R1116">
        <v>0</v>
      </c>
    </row>
    <row r="1117" spans="1:19">
      <c r="A1117" s="7"/>
      <c r="B1117" s="8">
        <v>0.60912970227287866</v>
      </c>
      <c r="C1117" s="8">
        <v>-0.28261535739067112</v>
      </c>
      <c r="D1117" s="8">
        <v>0.68802996689194662</v>
      </c>
      <c r="E1117" s="7">
        <v>0</v>
      </c>
      <c r="F1117" s="8">
        <v>0</v>
      </c>
      <c r="G1117" s="7">
        <v>-1.4990516053215155E-2</v>
      </c>
      <c r="H1117" s="8">
        <v>0</v>
      </c>
      <c r="I1117" s="8">
        <v>0</v>
      </c>
      <c r="J1117" s="33">
        <v>0</v>
      </c>
      <c r="K1117" s="33">
        <v>0</v>
      </c>
      <c r="P1117">
        <v>0</v>
      </c>
      <c r="Q1117">
        <v>0</v>
      </c>
      <c r="R1117">
        <v>0.66255886814599585</v>
      </c>
    </row>
    <row r="1118" spans="1:19">
      <c r="A1118" s="7"/>
      <c r="B1118" s="8"/>
      <c r="C1118" s="8"/>
      <c r="D1118" s="8"/>
      <c r="E1118" s="7"/>
      <c r="F1118" s="7"/>
      <c r="G1118" s="7"/>
      <c r="H1118" s="7"/>
      <c r="I1118" s="7"/>
      <c r="J1118" s="7"/>
      <c r="K1118" s="7"/>
    </row>
    <row r="1119" spans="1:19">
      <c r="A1119" s="7"/>
      <c r="B1119" s="8">
        <v>1.4675604394566215</v>
      </c>
      <c r="C1119" s="8">
        <v>-1.3235781323919831</v>
      </c>
      <c r="D1119" s="8">
        <v>0.72564008456612294</v>
      </c>
      <c r="E1119" s="7">
        <v>-1.4990516053215155E-2</v>
      </c>
      <c r="F1119" s="8">
        <v>0</v>
      </c>
      <c r="G1119" s="8">
        <v>0</v>
      </c>
      <c r="H1119" s="33">
        <v>0</v>
      </c>
      <c r="I1119" s="7">
        <v>0</v>
      </c>
      <c r="J1119" s="7">
        <v>0</v>
      </c>
      <c r="K1119" s="7">
        <v>0</v>
      </c>
      <c r="M1119">
        <f t="shared" ref="M1119" si="834">MDETERM(B1119:D1121)</f>
        <v>-1.1614064528411259</v>
      </c>
      <c r="N1119">
        <f t="shared" ref="N1119" si="835">MDETERM(E1119:G1121)</f>
        <v>-3.3686023826032914E-6</v>
      </c>
      <c r="P1119">
        <f t="array" ref="P1119:R1121">SVDD(B1119:D1121)</f>
        <v>2.2912032620870262</v>
      </c>
      <c r="Q1119">
        <v>0</v>
      </c>
      <c r="R1119">
        <v>0</v>
      </c>
      <c r="S1119" s="3">
        <f t="shared" ref="S1119" si="836">MAX(P1119,Q1120,R1121)/MIN(P1119,Q1120,R1121)</f>
        <v>5.7586173410951851</v>
      </c>
    </row>
    <row r="1120" spans="1:19">
      <c r="A1120" s="7" t="s">
        <v>295</v>
      </c>
      <c r="B1120" s="8">
        <v>-1.0097006711160386</v>
      </c>
      <c r="C1120" s="8">
        <v>-0.26302086313966178</v>
      </c>
      <c r="D1120" s="8">
        <v>0.76545275918666766</v>
      </c>
      <c r="E1120" s="7">
        <v>0</v>
      </c>
      <c r="F1120" s="7">
        <v>-1.4990516053215155E-2</v>
      </c>
      <c r="G1120" s="8">
        <v>0</v>
      </c>
      <c r="H1120" s="8">
        <v>0</v>
      </c>
      <c r="I1120" s="33">
        <v>0</v>
      </c>
      <c r="J1120" s="7">
        <v>0</v>
      </c>
      <c r="K1120" s="7">
        <v>0</v>
      </c>
      <c r="P1120">
        <v>0</v>
      </c>
      <c r="Q1120">
        <v>1.2740169835065172</v>
      </c>
      <c r="R1120">
        <v>0</v>
      </c>
    </row>
    <row r="1121" spans="1:18">
      <c r="A1121" s="7"/>
      <c r="B1121" s="8">
        <v>0.60912970227287866</v>
      </c>
      <c r="C1121" s="8">
        <v>-0.28261535739067112</v>
      </c>
      <c r="D1121" s="8">
        <v>0.68802996689194662</v>
      </c>
      <c r="E1121" s="7">
        <v>0</v>
      </c>
      <c r="F1121" s="8">
        <v>0</v>
      </c>
      <c r="G1121" s="7">
        <v>-1.4990516053215155E-2</v>
      </c>
      <c r="H1121" s="8">
        <v>0</v>
      </c>
      <c r="I1121" s="8">
        <v>0</v>
      </c>
      <c r="J1121" s="33">
        <v>0</v>
      </c>
      <c r="K1121" s="33">
        <v>0</v>
      </c>
      <c r="P1121">
        <v>0</v>
      </c>
      <c r="Q1121">
        <v>0</v>
      </c>
      <c r="R1121">
        <v>0.39787385172067724</v>
      </c>
    </row>
    <row r="1122" spans="1:18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9" baseType="lpstr">
      <vt:lpstr>Matrix_Konfiguration</vt:lpstr>
      <vt:lpstr>SolutionViaSolver</vt:lpstr>
      <vt:lpstr>Auswertung</vt:lpstr>
      <vt:lpstr>NormeriungsPlayground</vt:lpstr>
      <vt:lpstr>Konditionsbetrachtung</vt:lpstr>
      <vt:lpstr>DeterminantenAnalyse</vt:lpstr>
      <vt:lpstr>KonditionsplotA</vt:lpstr>
      <vt:lpstr>KonditionsplotB</vt:lpstr>
      <vt:lpstr>Matrix_Konfiguration!Druckbereich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2013-06-21T07:13:35Z</dcterms:modified>
</cp:coreProperties>
</file>