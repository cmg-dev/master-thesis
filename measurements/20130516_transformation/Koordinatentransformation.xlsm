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DieseArbeitsmappe" defaultThemeVersion="124226"/>
  <bookViews>
    <workbookView xWindow="30" yWindow="30" windowWidth="22695" windowHeight="12705" activeTab="1"/>
  </bookViews>
  <sheets>
    <sheet name="Messaufbau_Messdaten" sheetId="1" r:id="rId1"/>
    <sheet name="num.-Neues-Modell" sheetId="18" r:id="rId2"/>
    <sheet name="numerisch" sheetId="15" r:id="rId3"/>
    <sheet name="analytisch" sheetId="14" r:id="rId4"/>
    <sheet name="Modell+Rechnung" sheetId="4" r:id="rId5"/>
  </sheets>
  <definedNames>
    <definedName name="A_1">'num.-Neues-Modell'!$E$8</definedName>
    <definedName name="A_2">'num.-Neues-Modell'!$F$8</definedName>
    <definedName name="d_10">Messaufbau_Messdaten!$I$9</definedName>
    <definedName name="d_20">Messaufbau_Messdaten!$I$10</definedName>
    <definedName name="d_30">Messaufbau_Messdaten!$I$11</definedName>
    <definedName name="OFFSET">Messaufbau_Messdaten!$I$4</definedName>
    <definedName name="solver_adj" localSheetId="1" hidden="1">'num.-Neues-Modell'!$D$16:$D$22</definedName>
    <definedName name="solver_adj" localSheetId="2" hidden="1">numerisch!$K$18:$K$20</definedName>
    <definedName name="solver_cvg" localSheetId="1" hidden="1">0.0001</definedName>
    <definedName name="solver_cvg" localSheetId="2" hidden="1">0.0001</definedName>
    <definedName name="solver_drv" localSheetId="1" hidden="1">1</definedName>
    <definedName name="solver_drv" localSheetId="2" hidden="1">1</definedName>
    <definedName name="solver_est" localSheetId="1" hidden="1">1</definedName>
    <definedName name="solver_est" localSheetId="2" hidden="1">1</definedName>
    <definedName name="solver_itr" localSheetId="1" hidden="1">100</definedName>
    <definedName name="solver_itr" localSheetId="2" hidden="1">100</definedName>
    <definedName name="solver_lhs1" localSheetId="1" hidden="1">'num.-Neues-Modell'!$D$16:$D$19</definedName>
    <definedName name="solver_lhs1" localSheetId="2" hidden="1">numerisch!$K$20</definedName>
    <definedName name="solver_lhs10" localSheetId="2" hidden="1">numerisch!$E$18</definedName>
    <definedName name="solver_lhs11" localSheetId="2" hidden="1">numerisch!$F$18</definedName>
    <definedName name="solver_lhs12" localSheetId="2" hidden="1">numerisch!$G$18</definedName>
    <definedName name="solver_lhs13" localSheetId="2" hidden="1">numerisch!$H$18</definedName>
    <definedName name="solver_lhs14" localSheetId="2" hidden="1">numerisch!$ID$18</definedName>
    <definedName name="solver_lhs15" localSheetId="2" hidden="1">numerisch!$J$18</definedName>
    <definedName name="solver_lhs16" localSheetId="2" hidden="1">numerisch!$K$18</definedName>
    <definedName name="solver_lhs17" localSheetId="2" hidden="1">numerisch!$D$18</definedName>
    <definedName name="solver_lhs18" localSheetId="2" hidden="1">numerisch!$E$18</definedName>
    <definedName name="solver_lhs19" localSheetId="2" hidden="1">numerisch!$F$18</definedName>
    <definedName name="solver_lhs2" localSheetId="1" hidden="1">'num.-Neues-Modell'!$D$16:$D$19</definedName>
    <definedName name="solver_lhs2" localSheetId="2" hidden="1">numerisch!$E$18</definedName>
    <definedName name="solver_lhs20" localSheetId="2" hidden="1">numerisch!$G$18</definedName>
    <definedName name="solver_lhs21" localSheetId="2" hidden="1">numerisch!$H$18</definedName>
    <definedName name="solver_lhs22" localSheetId="2" hidden="1">numerisch!$ID$18</definedName>
    <definedName name="solver_lhs23" localSheetId="2" hidden="1">numerisch!$J$18</definedName>
    <definedName name="solver_lhs24" localSheetId="2" hidden="1">numerisch!$K$18</definedName>
    <definedName name="solver_lhs3" localSheetId="1" hidden="1">'num.-Neues-Modell'!$D$38:$D$40</definedName>
    <definedName name="solver_lhs3" localSheetId="2" hidden="1">numerisch!$F$18</definedName>
    <definedName name="solver_lhs4" localSheetId="1" hidden="1">'num.-Neues-Modell'!$D$19</definedName>
    <definedName name="solver_lhs4" localSheetId="2" hidden="1">numerisch!$G$18</definedName>
    <definedName name="solver_lhs5" localSheetId="2" hidden="1">numerisch!$H$18</definedName>
    <definedName name="solver_lhs6" localSheetId="2" hidden="1">numerisch!$ID$18</definedName>
    <definedName name="solver_lhs7" localSheetId="2" hidden="1">numerisch!$J$18</definedName>
    <definedName name="solver_lhs8" localSheetId="2" hidden="1">numerisch!$K$18</definedName>
    <definedName name="solver_lhs9" localSheetId="2" hidden="1">numerisch!$D$18</definedName>
    <definedName name="solver_lin" localSheetId="1" hidden="1">2</definedName>
    <definedName name="solver_lin" localSheetId="2" hidden="1">2</definedName>
    <definedName name="solver_neg" localSheetId="1" hidden="1">2</definedName>
    <definedName name="solver_neg" localSheetId="2" hidden="1">2</definedName>
    <definedName name="solver_num" localSheetId="1" hidden="1">1</definedName>
    <definedName name="solver_num" localSheetId="2" hidden="1">1</definedName>
    <definedName name="solver_nwt" localSheetId="1" hidden="1">1</definedName>
    <definedName name="solver_nwt" localSheetId="2" hidden="1">1</definedName>
    <definedName name="solver_opt" localSheetId="1" hidden="1">'num.-Neues-Modell'!$D$34</definedName>
    <definedName name="solver_opt" localSheetId="2" hidden="1">numerisch!$K$14</definedName>
    <definedName name="solver_pre" localSheetId="1" hidden="1">0.001</definedName>
    <definedName name="solver_pre" localSheetId="2" hidden="1">0.000001</definedName>
    <definedName name="solver_rel1" localSheetId="1" hidden="1">3</definedName>
    <definedName name="solver_rel1" localSheetId="2" hidden="1">3</definedName>
    <definedName name="solver_rel10" localSheetId="2" hidden="1">3</definedName>
    <definedName name="solver_rel11" localSheetId="2" hidden="1">3</definedName>
    <definedName name="solver_rel12" localSheetId="2" hidden="1">3</definedName>
    <definedName name="solver_rel13" localSheetId="2" hidden="1">3</definedName>
    <definedName name="solver_rel14" localSheetId="2" hidden="1">3</definedName>
    <definedName name="solver_rel15" localSheetId="2" hidden="1">3</definedName>
    <definedName name="solver_rel16" localSheetId="2" hidden="1">3</definedName>
    <definedName name="solver_rel17" localSheetId="2" hidden="1">3</definedName>
    <definedName name="solver_rel18" localSheetId="2" hidden="1">3</definedName>
    <definedName name="solver_rel19" localSheetId="2" hidden="1">3</definedName>
    <definedName name="solver_rel2" localSheetId="1" hidden="1">3</definedName>
    <definedName name="solver_rel2" localSheetId="2" hidden="1">3</definedName>
    <definedName name="solver_rel20" localSheetId="2" hidden="1">3</definedName>
    <definedName name="solver_rel21" localSheetId="2" hidden="1">3</definedName>
    <definedName name="solver_rel22" localSheetId="2" hidden="1">3</definedName>
    <definedName name="solver_rel23" localSheetId="2" hidden="1">3</definedName>
    <definedName name="solver_rel24" localSheetId="2" hidden="1">3</definedName>
    <definedName name="solver_rel3" localSheetId="1" hidden="1">4</definedName>
    <definedName name="solver_rel3" localSheetId="2" hidden="1">3</definedName>
    <definedName name="solver_rel4" localSheetId="1" hidden="1">3</definedName>
    <definedName name="solver_rel4" localSheetId="2" hidden="1">3</definedName>
    <definedName name="solver_rel5" localSheetId="2" hidden="1">3</definedName>
    <definedName name="solver_rel6" localSheetId="2" hidden="1">3</definedName>
    <definedName name="solver_rel7" localSheetId="2" hidden="1">3</definedName>
    <definedName name="solver_rel8" localSheetId="2" hidden="1">3</definedName>
    <definedName name="solver_rel9" localSheetId="2" hidden="1">3</definedName>
    <definedName name="solver_rhs1" localSheetId="1" hidden="1">0</definedName>
    <definedName name="solver_rhs1" localSheetId="2" hidden="1">0</definedName>
    <definedName name="solver_rhs10" localSheetId="2" hidden="1">0</definedName>
    <definedName name="solver_rhs11" localSheetId="2" hidden="1">0</definedName>
    <definedName name="solver_rhs12" localSheetId="2" hidden="1">0</definedName>
    <definedName name="solver_rhs13" localSheetId="2" hidden="1">0</definedName>
    <definedName name="solver_rhs14" localSheetId="2" hidden="1">0</definedName>
    <definedName name="solver_rhs15" localSheetId="2" hidden="1">0</definedName>
    <definedName name="solver_rhs16" localSheetId="2" hidden="1">0</definedName>
    <definedName name="solver_rhs17" localSheetId="2" hidden="1">0</definedName>
    <definedName name="solver_rhs18" localSheetId="2" hidden="1">0</definedName>
    <definedName name="solver_rhs19" localSheetId="2" hidden="1">0</definedName>
    <definedName name="solver_rhs2" localSheetId="1" hidden="1">3</definedName>
    <definedName name="solver_rhs2" localSheetId="2" hidden="1">0</definedName>
    <definedName name="solver_rhs20" localSheetId="2" hidden="1">0</definedName>
    <definedName name="solver_rhs21" localSheetId="2" hidden="1">0</definedName>
    <definedName name="solver_rhs22" localSheetId="2" hidden="1">0</definedName>
    <definedName name="solver_rhs23" localSheetId="2" hidden="1">0</definedName>
    <definedName name="solver_rhs24" localSheetId="2" hidden="1">0</definedName>
    <definedName name="solver_rhs3" localSheetId="1" hidden="1">Ganzzahlig</definedName>
    <definedName name="solver_rhs3" localSheetId="2" hidden="1">0</definedName>
    <definedName name="solver_rhs4" localSheetId="1" hidden="1">0</definedName>
    <definedName name="solver_rhs4" localSheetId="2" hidden="1">0</definedName>
    <definedName name="solver_rhs5" localSheetId="2" hidden="1">0</definedName>
    <definedName name="solver_rhs6" localSheetId="2" hidden="1">0</definedName>
    <definedName name="solver_rhs7" localSheetId="2" hidden="1">0</definedName>
    <definedName name="solver_rhs8" localSheetId="2" hidden="1">0</definedName>
    <definedName name="solver_rhs9" localSheetId="2" hidden="1">0</definedName>
    <definedName name="solver_scl" localSheetId="1" hidden="1">2</definedName>
    <definedName name="solver_scl" localSheetId="2" hidden="1">2</definedName>
    <definedName name="solver_sho" localSheetId="1" hidden="1">2</definedName>
    <definedName name="solver_sho" localSheetId="2" hidden="1">2</definedName>
    <definedName name="solver_tim" localSheetId="1" hidden="1">100</definedName>
    <definedName name="solver_tim" localSheetId="2" hidden="1">100</definedName>
    <definedName name="solver_tol" localSheetId="1" hidden="1">0.05</definedName>
    <definedName name="solver_tol" localSheetId="2" hidden="1">0.05</definedName>
    <definedName name="solver_typ" localSheetId="1" hidden="1">2</definedName>
    <definedName name="solver_typ" localSheetId="2" hidden="1">2</definedName>
    <definedName name="solver_val" localSheetId="1" hidden="1">0</definedName>
    <definedName name="solver_val" localSheetId="2" hidden="1">0</definedName>
    <definedName name="THETA_0">'num.-Neues-Modell'!$H$11</definedName>
    <definedName name="THETA_1">'num.-Neues-Modell'!$H$8</definedName>
    <definedName name="THETA_2">'num.-Neues-Modell'!$H$9</definedName>
    <definedName name="THETA_3">'num.-Neues-Modell'!$H$10</definedName>
    <definedName name="Theta_A0">Messaufbau_Messdaten!$I$51</definedName>
    <definedName name="Theta_A1">Messaufbau_Messdaten!$I$52</definedName>
    <definedName name="Theta_A2">Messaufbau_Messdaten!$I$53</definedName>
    <definedName name="Theta_A3">Messaufbau_Messdaten!$I$54</definedName>
    <definedName name="Theta_A4">Messaufbau_Messdaten!$I$55</definedName>
    <definedName name="Theta_A5">Messaufbau_Messdaten!$I$56</definedName>
    <definedName name="Theta_A6">Messaufbau_Messdaten!$I$57</definedName>
    <definedName name="Theta_A7">Messaufbau_Messdaten!$I$58</definedName>
  </definedNames>
  <calcPr calcId="124519"/>
</workbook>
</file>

<file path=xl/calcChain.xml><?xml version="1.0" encoding="utf-8"?>
<calcChain xmlns="http://schemas.openxmlformats.org/spreadsheetml/2006/main">
  <c r="G10" i="18"/>
  <c r="G9"/>
  <c r="G8"/>
  <c r="N69"/>
  <c r="O69"/>
  <c r="P69"/>
  <c r="Q69"/>
  <c r="R69"/>
  <c r="S69"/>
  <c r="N70"/>
  <c r="O70"/>
  <c r="P70"/>
  <c r="Q70"/>
  <c r="R70"/>
  <c r="S70"/>
  <c r="N71"/>
  <c r="O71"/>
  <c r="P71"/>
  <c r="Q71"/>
  <c r="R71"/>
  <c r="S71"/>
  <c r="M70"/>
  <c r="M71"/>
  <c r="M69"/>
  <c r="E8"/>
  <c r="F8"/>
  <c r="P26"/>
  <c r="P25" a="1"/>
  <c r="P25" s="1"/>
  <c r="P24" a="1"/>
  <c r="P24" s="1"/>
  <c r="P23"/>
  <c r="D57"/>
  <c r="J10" s="1"/>
  <c r="D33"/>
  <c r="D32"/>
  <c r="D31"/>
  <c r="E75"/>
  <c r="D75"/>
  <c r="C75"/>
  <c r="E74"/>
  <c r="D74"/>
  <c r="C74"/>
  <c r="B26" s="1"/>
  <c r="E73"/>
  <c r="D73"/>
  <c r="C25" s="1"/>
  <c r="C73"/>
  <c r="D39"/>
  <c r="D40"/>
  <c r="D38"/>
  <c r="D42"/>
  <c r="D43"/>
  <c r="D41"/>
  <c r="D56"/>
  <c r="J9" s="1"/>
  <c r="C27"/>
  <c r="D25"/>
  <c r="D26"/>
  <c r="B27"/>
  <c r="B25"/>
  <c r="D55"/>
  <c r="J8" s="1"/>
  <c r="C26"/>
  <c r="H9"/>
  <c r="H10"/>
  <c r="H8"/>
  <c r="H11"/>
  <c r="M17"/>
  <c r="M18"/>
  <c r="M19"/>
  <c r="M20"/>
  <c r="M21"/>
  <c r="M22"/>
  <c r="M16"/>
  <c r="N11" i="15"/>
  <c r="M20"/>
  <c r="M19"/>
  <c r="M18"/>
  <c r="E55" i="18"/>
  <c r="F55"/>
  <c r="G55"/>
  <c r="H55"/>
  <c r="I55"/>
  <c r="J55"/>
  <c r="K55"/>
  <c r="E56"/>
  <c r="F56"/>
  <c r="G56"/>
  <c r="H56"/>
  <c r="I56"/>
  <c r="J56"/>
  <c r="K56"/>
  <c r="E57"/>
  <c r="F57"/>
  <c r="G57"/>
  <c r="H57"/>
  <c r="I57"/>
  <c r="J57"/>
  <c r="K57"/>
  <c r="C5"/>
  <c r="E11" i="15"/>
  <c r="F11"/>
  <c r="G11"/>
  <c r="H11"/>
  <c r="I11"/>
  <c r="J11"/>
  <c r="K11"/>
  <c r="E12"/>
  <c r="F12"/>
  <c r="G12"/>
  <c r="H12"/>
  <c r="I12"/>
  <c r="J12"/>
  <c r="K12"/>
  <c r="E13"/>
  <c r="F13"/>
  <c r="G13"/>
  <c r="H13"/>
  <c r="I13"/>
  <c r="J13"/>
  <c r="K13"/>
  <c r="D34"/>
  <c r="E34"/>
  <c r="D35"/>
  <c r="E35"/>
  <c r="D33"/>
  <c r="D12"/>
  <c r="D13"/>
  <c r="D11"/>
  <c r="K27" i="1"/>
  <c r="L27"/>
  <c r="M27"/>
  <c r="N27"/>
  <c r="O27"/>
  <c r="P27"/>
  <c r="Q27"/>
  <c r="K28"/>
  <c r="L28"/>
  <c r="M28"/>
  <c r="N28"/>
  <c r="O28"/>
  <c r="P28"/>
  <c r="Q28"/>
  <c r="J27"/>
  <c r="I45"/>
  <c r="I39"/>
  <c r="I37"/>
  <c r="J28"/>
  <c r="J29"/>
  <c r="K29"/>
  <c r="L29"/>
  <c r="M29"/>
  <c r="N29"/>
  <c r="O29"/>
  <c r="P29"/>
  <c r="Q29"/>
  <c r="J30"/>
  <c r="J31" s="1"/>
  <c r="K30"/>
  <c r="K31" s="1"/>
  <c r="L30"/>
  <c r="L31" s="1"/>
  <c r="M30"/>
  <c r="M31" s="1"/>
  <c r="N30"/>
  <c r="N31" s="1"/>
  <c r="O30"/>
  <c r="O31" s="1"/>
  <c r="P30"/>
  <c r="P31" s="1"/>
  <c r="Q30"/>
  <c r="J15" i="4"/>
  <c r="L73" i="18" l="1"/>
  <c r="Q73"/>
  <c r="M73"/>
  <c r="P73"/>
  <c r="D10" s="1"/>
  <c r="R73"/>
  <c r="N73"/>
  <c r="D8" s="1"/>
  <c r="S73"/>
  <c r="O73"/>
  <c r="D9" s="1"/>
  <c r="K62"/>
  <c r="D44"/>
  <c r="D27"/>
  <c r="G32" s="1"/>
  <c r="F33"/>
  <c r="H32"/>
  <c r="E33"/>
  <c r="J62"/>
  <c r="I62"/>
  <c r="F62"/>
  <c r="G62"/>
  <c r="E62"/>
  <c r="H62"/>
  <c r="D62"/>
  <c r="D22" i="15"/>
  <c r="E14"/>
  <c r="G61" i="18"/>
  <c r="K61"/>
  <c r="F61"/>
  <c r="J61"/>
  <c r="E61"/>
  <c r="I61"/>
  <c r="H61"/>
  <c r="K17" i="14"/>
  <c r="G17"/>
  <c r="J16"/>
  <c r="F16"/>
  <c r="I15"/>
  <c r="E15"/>
  <c r="I32"/>
  <c r="E32"/>
  <c r="G22" i="15"/>
  <c r="K22"/>
  <c r="G23"/>
  <c r="K23"/>
  <c r="G24"/>
  <c r="K24"/>
  <c r="G39"/>
  <c r="K39"/>
  <c r="D17" i="14"/>
  <c r="H17"/>
  <c r="K16"/>
  <c r="G16"/>
  <c r="J15"/>
  <c r="F15"/>
  <c r="J32"/>
  <c r="F32"/>
  <c r="F22" i="15"/>
  <c r="J22"/>
  <c r="F23"/>
  <c r="J23"/>
  <c r="F24"/>
  <c r="J24"/>
  <c r="F39"/>
  <c r="J39"/>
  <c r="D16" i="14"/>
  <c r="I17"/>
  <c r="E17"/>
  <c r="H16"/>
  <c r="K15"/>
  <c r="G15"/>
  <c r="K32"/>
  <c r="G32"/>
  <c r="I22" i="15"/>
  <c r="I23"/>
  <c r="I24"/>
  <c r="E39"/>
  <c r="I39"/>
  <c r="D15" i="14"/>
  <c r="J17"/>
  <c r="J11" s="1"/>
  <c r="J28" s="1"/>
  <c r="F17"/>
  <c r="F11" s="1"/>
  <c r="F28" s="1"/>
  <c r="I16"/>
  <c r="I11" s="1"/>
  <c r="I28" s="1"/>
  <c r="E16"/>
  <c r="H15"/>
  <c r="D32"/>
  <c r="H32"/>
  <c r="H22" i="15"/>
  <c r="D23"/>
  <c r="H23"/>
  <c r="D24"/>
  <c r="H24"/>
  <c r="D39"/>
  <c r="H39"/>
  <c r="E11" i="14"/>
  <c r="E28" s="1"/>
  <c r="I9"/>
  <c r="I26" s="1"/>
  <c r="E9"/>
  <c r="E26" s="1"/>
  <c r="J9"/>
  <c r="J26" s="1"/>
  <c r="F9"/>
  <c r="F26" s="1"/>
  <c r="K10"/>
  <c r="K27" s="1"/>
  <c r="G10"/>
  <c r="G27" s="1"/>
  <c r="H11"/>
  <c r="H28" s="1"/>
  <c r="D11"/>
  <c r="D28" s="1"/>
  <c r="H10"/>
  <c r="H27" s="1"/>
  <c r="K9"/>
  <c r="K26" s="1"/>
  <c r="G9"/>
  <c r="G26" s="1"/>
  <c r="I10"/>
  <c r="I27" s="1"/>
  <c r="E10"/>
  <c r="E27" s="1"/>
  <c r="H9"/>
  <c r="H26" s="1"/>
  <c r="K11"/>
  <c r="K28" s="1"/>
  <c r="G11"/>
  <c r="G28" s="1"/>
  <c r="J10"/>
  <c r="J27" s="1"/>
  <c r="F10"/>
  <c r="F27" s="1"/>
  <c r="Q31" i="1"/>
  <c r="G24" i="4"/>
  <c r="H10" s="1"/>
  <c r="G23"/>
  <c r="H9" s="1"/>
  <c r="G25"/>
  <c r="H11" s="1"/>
  <c r="K64" i="18" l="1"/>
  <c r="D45"/>
  <c r="D46"/>
  <c r="J33"/>
  <c r="F32"/>
  <c r="I33"/>
  <c r="G31"/>
  <c r="E32"/>
  <c r="K31"/>
  <c r="I32"/>
  <c r="K33"/>
  <c r="H31"/>
  <c r="J32"/>
  <c r="G33"/>
  <c r="E31"/>
  <c r="I31"/>
  <c r="F31"/>
  <c r="K32"/>
  <c r="H33"/>
  <c r="J31"/>
  <c r="J64"/>
  <c r="H64"/>
  <c r="I64"/>
  <c r="F64"/>
  <c r="G64"/>
  <c r="E64"/>
  <c r="D64"/>
  <c r="J11" s="1"/>
  <c r="D14" i="15"/>
  <c r="G39" i="18"/>
  <c r="K39"/>
  <c r="G40"/>
  <c r="K40"/>
  <c r="H38"/>
  <c r="F39"/>
  <c r="J39"/>
  <c r="F40"/>
  <c r="J40"/>
  <c r="G38"/>
  <c r="K38"/>
  <c r="E39"/>
  <c r="I39"/>
  <c r="E40"/>
  <c r="I40"/>
  <c r="F38"/>
  <c r="J38"/>
  <c r="H39"/>
  <c r="H40"/>
  <c r="E38"/>
  <c r="I38"/>
  <c r="I63"/>
  <c r="I65" s="1"/>
  <c r="I14" i="15"/>
  <c r="F14"/>
  <c r="G14"/>
  <c r="D63" i="18"/>
  <c r="D65" s="1"/>
  <c r="G63"/>
  <c r="G65" s="1"/>
  <c r="D10" i="14"/>
  <c r="D27" s="1"/>
  <c r="D9"/>
  <c r="D26" s="1"/>
  <c r="D33" s="1"/>
  <c r="D35" s="1"/>
  <c r="J14" i="15"/>
  <c r="K14"/>
  <c r="H63" i="18"/>
  <c r="H65" s="1"/>
  <c r="E63"/>
  <c r="E65" s="1"/>
  <c r="F63"/>
  <c r="F65" s="1"/>
  <c r="K63"/>
  <c r="K65" s="1"/>
  <c r="H14" i="15"/>
  <c r="J63" i="18"/>
  <c r="J65" s="1"/>
  <c r="E33" i="15"/>
  <c r="F35"/>
  <c r="F34"/>
  <c r="F33"/>
  <c r="G35"/>
  <c r="G34"/>
  <c r="G33"/>
  <c r="H35"/>
  <c r="H34"/>
  <c r="H33"/>
  <c r="I35"/>
  <c r="I34"/>
  <c r="I33"/>
  <c r="J35"/>
  <c r="J34"/>
  <c r="J33"/>
  <c r="K35"/>
  <c r="K34"/>
  <c r="K33"/>
  <c r="H33" i="14"/>
  <c r="H34" s="1"/>
  <c r="K33"/>
  <c r="K35" s="1"/>
  <c r="G33"/>
  <c r="G34" s="1"/>
  <c r="J33"/>
  <c r="J35" s="1"/>
  <c r="F33"/>
  <c r="F35" s="1"/>
  <c r="I33"/>
  <c r="I35" s="1"/>
  <c r="E33"/>
  <c r="E35" s="1"/>
  <c r="D17" i="4"/>
  <c r="D36" s="1"/>
  <c r="D16"/>
  <c r="D35" s="1"/>
  <c r="D15"/>
  <c r="D34" i="18" l="1"/>
  <c r="P22" s="1"/>
  <c r="G35" i="14"/>
  <c r="H35"/>
  <c r="H42" i="18"/>
  <c r="H45" s="1"/>
  <c r="H43"/>
  <c r="H46" s="1"/>
  <c r="E41"/>
  <c r="E44" s="1"/>
  <c r="I41"/>
  <c r="I44" s="1"/>
  <c r="K43"/>
  <c r="K46" s="1"/>
  <c r="G42"/>
  <c r="G45" s="1"/>
  <c r="K42"/>
  <c r="K45" s="1"/>
  <c r="G43"/>
  <c r="G46" s="1"/>
  <c r="H41"/>
  <c r="H44" s="1"/>
  <c r="F42"/>
  <c r="F45" s="1"/>
  <c r="J42"/>
  <c r="J45" s="1"/>
  <c r="F43"/>
  <c r="F46" s="1"/>
  <c r="J43"/>
  <c r="J46" s="1"/>
  <c r="G41"/>
  <c r="G44" s="1"/>
  <c r="K41"/>
  <c r="K44" s="1"/>
  <c r="I43"/>
  <c r="I46" s="1"/>
  <c r="J41"/>
  <c r="J44" s="1"/>
  <c r="E42"/>
  <c r="E45" s="1"/>
  <c r="I42"/>
  <c r="I45" s="1"/>
  <c r="E43"/>
  <c r="E46" s="1"/>
  <c r="F41"/>
  <c r="F44" s="1"/>
  <c r="F40" i="15"/>
  <c r="J40"/>
  <c r="I40"/>
  <c r="I42" s="1"/>
  <c r="E40"/>
  <c r="E42" s="1"/>
  <c r="H40"/>
  <c r="H42" s="1"/>
  <c r="D40"/>
  <c r="D42" s="1"/>
  <c r="K40"/>
  <c r="K42" s="1"/>
  <c r="G40"/>
  <c r="G42" s="1"/>
  <c r="K34" i="14"/>
  <c r="D34"/>
  <c r="I34"/>
  <c r="F34"/>
  <c r="E34"/>
  <c r="J34"/>
  <c r="J18" i="4"/>
  <c r="D34"/>
  <c r="J19"/>
  <c r="J20"/>
  <c r="J41" i="15" l="1"/>
  <c r="J43" s="1"/>
  <c r="J42"/>
  <c r="F41"/>
  <c r="F43" s="1"/>
  <c r="F42"/>
  <c r="J34" i="18"/>
  <c r="J35"/>
  <c r="H35"/>
  <c r="H34"/>
  <c r="D35"/>
  <c r="F34"/>
  <c r="F35"/>
  <c r="G34"/>
  <c r="G35"/>
  <c r="E35"/>
  <c r="E34"/>
  <c r="I34"/>
  <c r="I35"/>
  <c r="K35"/>
  <c r="K34"/>
  <c r="I41" i="15"/>
  <c r="I43" s="1"/>
  <c r="E41"/>
  <c r="E43" s="1"/>
  <c r="K41"/>
  <c r="K43" s="1"/>
  <c r="H41"/>
  <c r="H43" s="1"/>
  <c r="G41"/>
  <c r="G43" s="1"/>
  <c r="D41"/>
  <c r="D43" s="1"/>
</calcChain>
</file>

<file path=xl/sharedStrings.xml><?xml version="1.0" encoding="utf-8"?>
<sst xmlns="http://schemas.openxmlformats.org/spreadsheetml/2006/main" count="267" uniqueCount="130">
  <si>
    <t>(0,0)</t>
  </si>
  <si>
    <t>(1,0)</t>
  </si>
  <si>
    <t>(0,1)</t>
  </si>
  <si>
    <t>(x_0,y_0,z_0)</t>
  </si>
  <si>
    <t>R_0</t>
  </si>
  <si>
    <t>Referenzpunkt</t>
  </si>
  <si>
    <t>Reproduzierbare Aufstellung</t>
  </si>
  <si>
    <t>A_j</t>
  </si>
  <si>
    <t>P_i</t>
  </si>
  <si>
    <t>Antennen Anordnung</t>
  </si>
  <si>
    <t>Modell</t>
  </si>
  <si>
    <t>y-y_j</t>
  </si>
  <si>
    <t>z-z_j</t>
  </si>
  <si>
    <t>x-x_j</t>
  </si>
  <si>
    <t>c_1j</t>
  </si>
  <si>
    <t>c_3j</t>
  </si>
  <si>
    <t>c_2j</t>
  </si>
  <si>
    <t>x_1-x_0</t>
  </si>
  <si>
    <t>x_2-x_0</t>
  </si>
  <si>
    <t>x_3-x_0</t>
  </si>
  <si>
    <t>y_1-y_0</t>
  </si>
  <si>
    <t>z_1-z_0</t>
  </si>
  <si>
    <t>y_2-y_0</t>
  </si>
  <si>
    <t>y_3-y_0</t>
  </si>
  <si>
    <t>z_3-z_0</t>
  </si>
  <si>
    <t>z_2-z_0</t>
  </si>
  <si>
    <t>c_bj</t>
  </si>
  <si>
    <t>=</t>
  </si>
  <si>
    <t>1/2[-r_j^2-r_ab^2+d_bj^2]</t>
  </si>
  <si>
    <t>d_10</t>
  </si>
  <si>
    <t>d_20</t>
  </si>
  <si>
    <t>d_30</t>
  </si>
  <si>
    <t>Offset</t>
  </si>
  <si>
    <t>m</t>
  </si>
  <si>
    <t>Originaldaten</t>
  </si>
  <si>
    <t>Daten + Offset</t>
  </si>
  <si>
    <t>d_10=d_01</t>
  </si>
  <si>
    <t>d_12=d_21</t>
  </si>
  <si>
    <t>d_13=d_31</t>
  </si>
  <si>
    <t>d_20=d_02</t>
  </si>
  <si>
    <t>d_30=d_03</t>
  </si>
  <si>
    <t>d_23=d_32</t>
  </si>
  <si>
    <t>c_30</t>
  </si>
  <si>
    <t>c_20</t>
  </si>
  <si>
    <t>1/2[-r_0^2-r_1^2+d_10^2]</t>
  </si>
  <si>
    <t>c_10</t>
  </si>
  <si>
    <t>z-z_</t>
  </si>
  <si>
    <t>y-y_0</t>
  </si>
  <si>
    <t>x-x_0</t>
  </si>
  <si>
    <t>1/2[-r_0^2-r_2^2+d_20^2]</t>
  </si>
  <si>
    <t>1/2[-r_0^2-r_3^2+d_30^2]</t>
  </si>
  <si>
    <t>LSG</t>
  </si>
  <si>
    <t>z-z_0</t>
  </si>
  <si>
    <t>x_0</t>
  </si>
  <si>
    <t>y_0</t>
  </si>
  <si>
    <t>z_0</t>
  </si>
  <si>
    <t>x</t>
  </si>
  <si>
    <t>y</t>
  </si>
  <si>
    <t>z</t>
  </si>
  <si>
    <t>x_i</t>
  </si>
  <si>
    <t>y_i</t>
  </si>
  <si>
    <t>z_i</t>
  </si>
  <si>
    <t>Inertialkoordinaten von x_0</t>
  </si>
  <si>
    <t>*</t>
  </si>
  <si>
    <t>Ermittelte Koordinaten</t>
  </si>
  <si>
    <t>Lineare Modell für die Koordinatenberechnung</t>
  </si>
  <si>
    <t>Lösung des Modells</t>
  </si>
  <si>
    <t>Fehlerbetrachtung</t>
  </si>
  <si>
    <t>Fehler %</t>
  </si>
  <si>
    <t>Fehler ABS [m]</t>
  </si>
  <si>
    <t>berechnet [m]</t>
  </si>
  <si>
    <t>gemessen [m]</t>
  </si>
  <si>
    <t>c_k0</t>
  </si>
  <si>
    <t>1/2[r_0^2-r_k^2+d_k0^2]</t>
  </si>
  <si>
    <t>error</t>
  </si>
  <si>
    <t>a_1</t>
  </si>
  <si>
    <t>a_2</t>
  </si>
  <si>
    <t>a_0k</t>
  </si>
  <si>
    <t>k</t>
  </si>
  <si>
    <t>a_3k0</t>
  </si>
  <si>
    <t>Theta_k</t>
  </si>
  <si>
    <t>n_0</t>
  </si>
  <si>
    <t>n_1</t>
  </si>
  <si>
    <t>n_2</t>
  </si>
  <si>
    <t>n_3</t>
  </si>
  <si>
    <t>Variabel</t>
  </si>
  <si>
    <t>TermB_1</t>
  </si>
  <si>
    <t>TermA_1</t>
  </si>
  <si>
    <t>TermA_2</t>
  </si>
  <si>
    <t>TermA_3</t>
  </si>
  <si>
    <t>TermB_3</t>
  </si>
  <si>
    <t>TermB_2</t>
  </si>
  <si>
    <t>predicted_c_10</t>
  </si>
  <si>
    <t>predicted_c_20</t>
  </si>
  <si>
    <t>predicted_c_30</t>
  </si>
  <si>
    <t>error^2</t>
  </si>
  <si>
    <t>For Debugging only</t>
  </si>
  <si>
    <t xml:space="preserve">c_0 </t>
  </si>
  <si>
    <t>[m/s]</t>
  </si>
  <si>
    <t xml:space="preserve">f_mess </t>
  </si>
  <si>
    <t>[1/s]</t>
  </si>
  <si>
    <t xml:space="preserve">lambda </t>
  </si>
  <si>
    <t>[m]</t>
  </si>
  <si>
    <t>Der Solver variiert hier</t>
  </si>
  <si>
    <t>-</t>
  </si>
  <si>
    <t>xxx</t>
  </si>
  <si>
    <t>Fehler^2</t>
  </si>
  <si>
    <t>b</t>
  </si>
  <si>
    <t>A</t>
  </si>
  <si>
    <t>Lineares Modell für die Koordinatenberechnung</t>
  </si>
  <si>
    <t>c_10'</t>
  </si>
  <si>
    <t>c_20'</t>
  </si>
  <si>
    <t>c_30'</t>
  </si>
  <si>
    <t>Vorhersage vom Solver</t>
  </si>
  <si>
    <t>x_k</t>
  </si>
  <si>
    <t>b_k</t>
  </si>
  <si>
    <t>y_k</t>
  </si>
  <si>
    <t>z_k</t>
  </si>
  <si>
    <t>Messung vom 22.5.2013</t>
  </si>
  <si>
    <t>Messung vom 15.5.2013</t>
  </si>
  <si>
    <t>Alte Messungen</t>
  </si>
  <si>
    <t>A0</t>
  </si>
  <si>
    <t>A1</t>
  </si>
  <si>
    <t>A2</t>
  </si>
  <si>
    <t>A3</t>
  </si>
  <si>
    <t>A7</t>
  </si>
  <si>
    <t>A6</t>
  </si>
  <si>
    <t>A5</t>
  </si>
  <si>
    <t>A4</t>
  </si>
  <si>
    <t>d_k0</t>
  </si>
</sst>
</file>

<file path=xl/styles.xml><?xml version="1.0" encoding="utf-8"?>
<styleSheet xmlns="http://schemas.openxmlformats.org/spreadsheetml/2006/main">
  <numFmts count="1">
    <numFmt numFmtId="164" formatCode="0.000"/>
  </numFmts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4"/>
      <color theme="0" tint="-0.34998626667073579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97">
    <xf numFmtId="0" fontId="0" fillId="0" borderId="0" xfId="0"/>
    <xf numFmtId="49" fontId="0" fillId="0" borderId="0" xfId="0" applyNumberFormat="1"/>
    <xf numFmtId="0" fontId="0" fillId="0" borderId="0" xfId="0" applyBorder="1"/>
    <xf numFmtId="0" fontId="0" fillId="0" borderId="1" xfId="0" applyBorder="1"/>
    <xf numFmtId="49" fontId="0" fillId="0" borderId="1" xfId="0" applyNumberFormat="1" applyBorder="1"/>
    <xf numFmtId="0" fontId="0" fillId="0" borderId="2" xfId="0" applyBorder="1"/>
    <xf numFmtId="49" fontId="0" fillId="0" borderId="2" xfId="0" applyNumberFormat="1" applyBorder="1"/>
    <xf numFmtId="0" fontId="0" fillId="0" borderId="3" xfId="0" applyBorder="1"/>
    <xf numFmtId="0" fontId="0" fillId="0" borderId="5" xfId="0" applyBorder="1"/>
    <xf numFmtId="0" fontId="0" fillId="0" borderId="4" xfId="0" applyBorder="1"/>
    <xf numFmtId="0" fontId="1" fillId="0" borderId="6" xfId="0" applyFont="1" applyBorder="1"/>
    <xf numFmtId="0" fontId="0" fillId="0" borderId="8" xfId="0" applyBorder="1"/>
    <xf numFmtId="0" fontId="1" fillId="0" borderId="7" xfId="0" applyFont="1" applyBorder="1"/>
    <xf numFmtId="0" fontId="2" fillId="0" borderId="0" xfId="0" applyFont="1"/>
    <xf numFmtId="49" fontId="2" fillId="0" borderId="0" xfId="0" applyNumberFormat="1" applyFont="1"/>
    <xf numFmtId="0" fontId="1" fillId="0" borderId="0" xfId="0" applyFont="1" applyAlignment="1">
      <alignment horizontal="center"/>
    </xf>
    <xf numFmtId="0" fontId="1" fillId="0" borderId="0" xfId="0" applyFont="1"/>
    <xf numFmtId="0" fontId="0" fillId="2" borderId="0" xfId="0" applyFill="1"/>
    <xf numFmtId="0" fontId="1" fillId="0" borderId="9" xfId="0" applyFont="1" applyFill="1" applyBorder="1"/>
    <xf numFmtId="0" fontId="1" fillId="0" borderId="6" xfId="0" applyFont="1" applyFill="1" applyBorder="1"/>
    <xf numFmtId="0" fontId="0" fillId="0" borderId="6" xfId="0" applyBorder="1"/>
    <xf numFmtId="0" fontId="0" fillId="0" borderId="7" xfId="0" applyBorder="1"/>
    <xf numFmtId="0" fontId="1" fillId="0" borderId="6" xfId="0" applyFont="1" applyBorder="1" applyAlignment="1">
      <alignment horizontal="center"/>
    </xf>
    <xf numFmtId="0" fontId="3" fillId="0" borderId="0" xfId="0" applyFont="1"/>
    <xf numFmtId="0" fontId="0" fillId="0" borderId="10" xfId="0" applyBorder="1"/>
    <xf numFmtId="0" fontId="2" fillId="0" borderId="0" xfId="0" applyFont="1" applyBorder="1"/>
    <xf numFmtId="0" fontId="1" fillId="0" borderId="0" xfId="0" applyFont="1" applyBorder="1"/>
    <xf numFmtId="0" fontId="0" fillId="0" borderId="10" xfId="0" applyBorder="1" applyAlignment="1">
      <alignment horizontal="center" vertical="center"/>
    </xf>
    <xf numFmtId="0" fontId="3" fillId="0" borderId="10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10" xfId="0" applyFont="1" applyBorder="1" applyAlignment="1">
      <alignment horizontal="center"/>
    </xf>
    <xf numFmtId="164" fontId="0" fillId="0" borderId="0" xfId="0" applyNumberFormat="1" applyBorder="1"/>
    <xf numFmtId="164" fontId="0" fillId="0" borderId="0" xfId="0" applyNumberFormat="1" applyFont="1" applyBorder="1"/>
    <xf numFmtId="10" fontId="1" fillId="0" borderId="0" xfId="0" applyNumberFormat="1" applyFont="1" applyBorder="1"/>
    <xf numFmtId="0" fontId="1" fillId="0" borderId="0" xfId="0" applyFont="1" applyAlignment="1">
      <alignment horizontal="center"/>
    </xf>
    <xf numFmtId="164" fontId="0" fillId="0" borderId="0" xfId="0" applyNumberFormat="1"/>
    <xf numFmtId="164" fontId="0" fillId="3" borderId="0" xfId="0" applyNumberFormat="1" applyFill="1" applyBorder="1"/>
    <xf numFmtId="164" fontId="0" fillId="4" borderId="0" xfId="0" applyNumberFormat="1" applyFill="1" applyBorder="1"/>
    <xf numFmtId="164" fontId="0" fillId="5" borderId="0" xfId="0" applyNumberFormat="1" applyFill="1"/>
    <xf numFmtId="0" fontId="0" fillId="3" borderId="0" xfId="0" applyFill="1"/>
    <xf numFmtId="10" fontId="1" fillId="3" borderId="0" xfId="0" applyNumberFormat="1" applyFont="1" applyFill="1" applyBorder="1"/>
    <xf numFmtId="164" fontId="0" fillId="6" borderId="0" xfId="0" applyNumberFormat="1" applyFill="1" applyBorder="1"/>
    <xf numFmtId="11" fontId="0" fillId="0" borderId="0" xfId="0" applyNumberFormat="1"/>
    <xf numFmtId="0" fontId="0" fillId="0" borderId="11" xfId="0" applyBorder="1"/>
    <xf numFmtId="11" fontId="0" fillId="0" borderId="12" xfId="0" applyNumberFormat="1" applyBorder="1"/>
    <xf numFmtId="0" fontId="0" fillId="0" borderId="12" xfId="0" applyBorder="1"/>
    <xf numFmtId="0" fontId="0" fillId="0" borderId="9" xfId="0" applyBorder="1"/>
    <xf numFmtId="0" fontId="0" fillId="0" borderId="13" xfId="0" applyBorder="1"/>
    <xf numFmtId="11" fontId="0" fillId="0" borderId="0" xfId="0" applyNumberFormat="1" applyBorder="1"/>
    <xf numFmtId="0" fontId="1" fillId="0" borderId="8" xfId="0" applyFont="1" applyBorder="1"/>
    <xf numFmtId="0" fontId="0" fillId="0" borderId="14" xfId="0" applyBorder="1"/>
    <xf numFmtId="0" fontId="0" fillId="0" borderId="0" xfId="0" applyFill="1" applyBorder="1"/>
    <xf numFmtId="0" fontId="1" fillId="0" borderId="10" xfId="0" applyFont="1" applyBorder="1"/>
    <xf numFmtId="0" fontId="4" fillId="0" borderId="0" xfId="0" applyFont="1" applyBorder="1"/>
    <xf numFmtId="0" fontId="1" fillId="0" borderId="16" xfId="0" applyFont="1" applyBorder="1"/>
    <xf numFmtId="0" fontId="1" fillId="0" borderId="15" xfId="0" applyFont="1" applyBorder="1" applyAlignment="1">
      <alignment horizontal="right"/>
    </xf>
    <xf numFmtId="164" fontId="0" fillId="0" borderId="0" xfId="0" applyNumberFormat="1" applyBorder="1" applyAlignment="1">
      <alignment horizontal="right"/>
    </xf>
    <xf numFmtId="0" fontId="5" fillId="0" borderId="0" xfId="0" applyFont="1"/>
    <xf numFmtId="0" fontId="6" fillId="0" borderId="0" xfId="0" applyFont="1" applyBorder="1"/>
    <xf numFmtId="2" fontId="5" fillId="0" borderId="0" xfId="0" applyNumberFormat="1" applyFont="1" applyBorder="1" applyAlignment="1">
      <alignment horizontal="right"/>
    </xf>
    <xf numFmtId="0" fontId="5" fillId="0" borderId="0" xfId="0" applyFont="1" applyBorder="1"/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Border="1"/>
    <xf numFmtId="164" fontId="7" fillId="4" borderId="0" xfId="0" applyNumberFormat="1" applyFont="1" applyFill="1" applyBorder="1"/>
    <xf numFmtId="164" fontId="8" fillId="0" borderId="0" xfId="0" applyNumberFormat="1" applyFont="1" applyFill="1" applyBorder="1"/>
    <xf numFmtId="0" fontId="3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1" fillId="0" borderId="0" xfId="0" applyFont="1" applyAlignment="1"/>
    <xf numFmtId="0" fontId="1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Border="1" applyAlignment="1">
      <alignment horizontal="right"/>
    </xf>
    <xf numFmtId="0" fontId="1" fillId="0" borderId="0" xfId="0" applyFont="1" applyBorder="1" applyAlignment="1">
      <alignment horizontal="right"/>
    </xf>
    <xf numFmtId="0" fontId="3" fillId="0" borderId="0" xfId="0" applyFont="1" applyAlignment="1">
      <alignment horizontal="left"/>
    </xf>
    <xf numFmtId="0" fontId="0" fillId="0" borderId="0" xfId="0" applyAlignment="1">
      <alignment horizontal="left" vertical="center" textRotation="90" wrapText="1"/>
    </xf>
    <xf numFmtId="0" fontId="0" fillId="0" borderId="0" xfId="0" applyAlignment="1">
      <alignment horizontal="left"/>
    </xf>
    <xf numFmtId="0" fontId="0" fillId="0" borderId="0" xfId="0" applyFill="1" applyBorder="1" applyAlignment="1">
      <alignment horizontal="right"/>
    </xf>
    <xf numFmtId="0" fontId="0" fillId="0" borderId="0" xfId="0" applyAlignment="1"/>
    <xf numFmtId="49" fontId="2" fillId="0" borderId="0" xfId="0" applyNumberFormat="1" applyFont="1" applyBorder="1" applyAlignment="1">
      <alignment horizontal="left"/>
    </xf>
    <xf numFmtId="0" fontId="0" fillId="0" borderId="0" xfId="0" applyBorder="1" applyAlignment="1">
      <alignment horizontal="left"/>
    </xf>
    <xf numFmtId="0" fontId="10" fillId="0" borderId="7" xfId="0" applyFont="1" applyBorder="1"/>
    <xf numFmtId="164" fontId="8" fillId="4" borderId="0" xfId="0" applyNumberFormat="1" applyFont="1" applyFill="1" applyBorder="1"/>
    <xf numFmtId="164" fontId="8" fillId="5" borderId="0" xfId="0" applyNumberFormat="1" applyFont="1" applyFill="1"/>
    <xf numFmtId="164" fontId="8" fillId="6" borderId="0" xfId="0" applyNumberFormat="1" applyFont="1" applyFill="1" applyBorder="1"/>
    <xf numFmtId="164" fontId="8" fillId="0" borderId="0" xfId="0" applyNumberFormat="1" applyFont="1" applyBorder="1" applyAlignment="1">
      <alignment horizontal="right"/>
    </xf>
    <xf numFmtId="164" fontId="8" fillId="0" borderId="0" xfId="0" applyNumberFormat="1" applyFont="1" applyBorder="1"/>
    <xf numFmtId="0" fontId="8" fillId="3" borderId="0" xfId="0" applyFont="1" applyFill="1"/>
    <xf numFmtId="164" fontId="8" fillId="3" borderId="0" xfId="0" applyNumberFormat="1" applyFont="1" applyFill="1" applyBorder="1"/>
    <xf numFmtId="10" fontId="10" fillId="3" borderId="0" xfId="0" applyNumberFormat="1" applyFont="1" applyFill="1" applyBorder="1"/>
    <xf numFmtId="0" fontId="8" fillId="0" borderId="0" xfId="0" applyFont="1"/>
    <xf numFmtId="164" fontId="8" fillId="0" borderId="0" xfId="0" applyNumberFormat="1" applyFont="1"/>
    <xf numFmtId="164" fontId="1" fillId="0" borderId="0" xfId="0" applyNumberFormat="1" applyFont="1" applyAlignment="1">
      <alignment horizontal="center"/>
    </xf>
    <xf numFmtId="11" fontId="5" fillId="0" borderId="0" xfId="0" applyNumberFormat="1" applyFont="1" applyBorder="1" applyAlignment="1">
      <alignment horizontal="right"/>
    </xf>
    <xf numFmtId="10" fontId="0" fillId="0" borderId="0" xfId="0" applyNumberFormat="1" applyBorder="1"/>
  </cellXfs>
  <cellStyles count="1">
    <cellStyle name="Standard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742950</xdr:colOff>
      <xdr:row>3</xdr:row>
      <xdr:rowOff>0</xdr:rowOff>
    </xdr:from>
    <xdr:to>
      <xdr:col>7</xdr:col>
      <xdr:colOff>0</xdr:colOff>
      <xdr:row>6</xdr:row>
      <xdr:rowOff>180975</xdr:rowOff>
    </xdr:to>
    <xdr:cxnSp macro="">
      <xdr:nvCxnSpPr>
        <xdr:cNvPr id="3" name="Gerade Verbindung mit Pfeil 2"/>
        <xdr:cNvCxnSpPr/>
      </xdr:nvCxnSpPr>
      <xdr:spPr>
        <a:xfrm>
          <a:off x="3790950" y="571500"/>
          <a:ext cx="1543050" cy="7524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</xdr:colOff>
      <xdr:row>3</xdr:row>
      <xdr:rowOff>0</xdr:rowOff>
    </xdr:from>
    <xdr:to>
      <xdr:col>7</xdr:col>
      <xdr:colOff>0</xdr:colOff>
      <xdr:row>6</xdr:row>
      <xdr:rowOff>180975</xdr:rowOff>
    </xdr:to>
    <xdr:cxnSp macro="">
      <xdr:nvCxnSpPr>
        <xdr:cNvPr id="6" name="Gerade Verbindung mit Pfeil 5"/>
        <xdr:cNvCxnSpPr/>
      </xdr:nvCxnSpPr>
      <xdr:spPr>
        <a:xfrm>
          <a:off x="1533525" y="571500"/>
          <a:ext cx="2905125" cy="7524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752475</xdr:colOff>
      <xdr:row>6</xdr:row>
      <xdr:rowOff>180975</xdr:rowOff>
    </xdr:from>
    <xdr:to>
      <xdr:col>6</xdr:col>
      <xdr:colOff>752475</xdr:colOff>
      <xdr:row>11</xdr:row>
      <xdr:rowOff>180975</xdr:rowOff>
    </xdr:to>
    <xdr:cxnSp macro="">
      <xdr:nvCxnSpPr>
        <xdr:cNvPr id="7" name="Gerade Verbindung mit Pfeil 6"/>
        <xdr:cNvCxnSpPr/>
      </xdr:nvCxnSpPr>
      <xdr:spPr>
        <a:xfrm flipV="1">
          <a:off x="1514475" y="1323975"/>
          <a:ext cx="3810000" cy="9525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</xdr:col>
      <xdr:colOff>318879</xdr:colOff>
      <xdr:row>8</xdr:row>
      <xdr:rowOff>44726</xdr:rowOff>
    </xdr:from>
    <xdr:ext cx="432939" cy="264560"/>
    <xdr:sp macro="" textlink="">
      <xdr:nvSpPr>
        <xdr:cNvPr id="10" name="Textfeld 9"/>
        <xdr:cNvSpPr txBox="1"/>
      </xdr:nvSpPr>
      <xdr:spPr>
        <a:xfrm rot="20526684">
          <a:off x="2604879" y="1577009"/>
          <a:ext cx="43293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de-DE" sz="1100" b="1"/>
            <a:t>d_i0</a:t>
          </a:r>
        </a:p>
      </xdr:txBody>
    </xdr:sp>
    <xdr:clientData/>
  </xdr:oneCellAnchor>
  <xdr:twoCellAnchor>
    <xdr:from>
      <xdr:col>2</xdr:col>
      <xdr:colOff>342900</xdr:colOff>
      <xdr:row>23</xdr:row>
      <xdr:rowOff>26817</xdr:rowOff>
    </xdr:from>
    <xdr:to>
      <xdr:col>2</xdr:col>
      <xdr:colOff>388619</xdr:colOff>
      <xdr:row>23</xdr:row>
      <xdr:rowOff>72536</xdr:rowOff>
    </xdr:to>
    <xdr:sp macro="" textlink="">
      <xdr:nvSpPr>
        <xdr:cNvPr id="11" name="Ellipse 10"/>
        <xdr:cNvSpPr/>
      </xdr:nvSpPr>
      <xdr:spPr>
        <a:xfrm>
          <a:off x="1866900" y="4420223"/>
          <a:ext cx="45719" cy="4571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187569</xdr:colOff>
      <xdr:row>21</xdr:row>
      <xdr:rowOff>25352</xdr:rowOff>
    </xdr:from>
    <xdr:to>
      <xdr:col>3</xdr:col>
      <xdr:colOff>233288</xdr:colOff>
      <xdr:row>21</xdr:row>
      <xdr:rowOff>71071</xdr:rowOff>
    </xdr:to>
    <xdr:sp macro="" textlink="">
      <xdr:nvSpPr>
        <xdr:cNvPr id="12" name="Ellipse 11"/>
        <xdr:cNvSpPr/>
      </xdr:nvSpPr>
      <xdr:spPr>
        <a:xfrm>
          <a:off x="2473569" y="4033179"/>
          <a:ext cx="45719" cy="4571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237392</xdr:colOff>
      <xdr:row>24</xdr:row>
      <xdr:rowOff>75175</xdr:rowOff>
    </xdr:from>
    <xdr:to>
      <xdr:col>3</xdr:col>
      <xdr:colOff>283111</xdr:colOff>
      <xdr:row>24</xdr:row>
      <xdr:rowOff>120894</xdr:rowOff>
    </xdr:to>
    <xdr:sp macro="" textlink="">
      <xdr:nvSpPr>
        <xdr:cNvPr id="13" name="Ellipse 12"/>
        <xdr:cNvSpPr/>
      </xdr:nvSpPr>
      <xdr:spPr>
        <a:xfrm>
          <a:off x="2523392" y="4654502"/>
          <a:ext cx="45719" cy="4571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de-DE" sz="1100"/>
            <a:t>sasdas</a:t>
          </a:r>
        </a:p>
      </xdr:txBody>
    </xdr:sp>
    <xdr:clientData/>
  </xdr:twoCellAnchor>
  <xdr:twoCellAnchor>
    <xdr:from>
      <xdr:col>4</xdr:col>
      <xdr:colOff>433754</xdr:colOff>
      <xdr:row>23</xdr:row>
      <xdr:rowOff>59056</xdr:rowOff>
    </xdr:from>
    <xdr:to>
      <xdr:col>4</xdr:col>
      <xdr:colOff>479473</xdr:colOff>
      <xdr:row>23</xdr:row>
      <xdr:rowOff>104775</xdr:rowOff>
    </xdr:to>
    <xdr:sp macro="" textlink="">
      <xdr:nvSpPr>
        <xdr:cNvPr id="14" name="Ellipse 13"/>
        <xdr:cNvSpPr/>
      </xdr:nvSpPr>
      <xdr:spPr>
        <a:xfrm>
          <a:off x="3481754" y="4447883"/>
          <a:ext cx="45719" cy="4571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2</xdr:col>
      <xdr:colOff>1</xdr:colOff>
      <xdr:row>11</xdr:row>
      <xdr:rowOff>190499</xdr:rowOff>
    </xdr:from>
    <xdr:to>
      <xdr:col>2</xdr:col>
      <xdr:colOff>365761</xdr:colOff>
      <xdr:row>23</xdr:row>
      <xdr:rowOff>26816</xdr:rowOff>
    </xdr:to>
    <xdr:cxnSp macro="">
      <xdr:nvCxnSpPr>
        <xdr:cNvPr id="15" name="Gerade Verbindung mit Pfeil 14"/>
        <xdr:cNvCxnSpPr>
          <a:endCxn id="11" idx="0"/>
        </xdr:cNvCxnSpPr>
      </xdr:nvCxnSpPr>
      <xdr:spPr>
        <a:xfrm rot="16200000" flipH="1">
          <a:off x="645722" y="3173571"/>
          <a:ext cx="2122317" cy="365760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2</xdr:col>
      <xdr:colOff>4645</xdr:colOff>
      <xdr:row>2</xdr:row>
      <xdr:rowOff>195149</xdr:rowOff>
    </xdr:from>
    <xdr:to>
      <xdr:col>2</xdr:col>
      <xdr:colOff>349594</xdr:colOff>
      <xdr:row>23</xdr:row>
      <xdr:rowOff>33512</xdr:rowOff>
    </xdr:to>
    <xdr:cxnSp macro="">
      <xdr:nvCxnSpPr>
        <xdr:cNvPr id="19" name="Gerade Verbindung mit Pfeil 18"/>
        <xdr:cNvCxnSpPr>
          <a:endCxn id="11" idx="1"/>
        </xdr:cNvCxnSpPr>
      </xdr:nvCxnSpPr>
      <xdr:spPr>
        <a:xfrm rot="16200000" flipH="1">
          <a:off x="-222958" y="2327752"/>
          <a:ext cx="3848156" cy="344949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381924</xdr:colOff>
      <xdr:row>2</xdr:row>
      <xdr:rowOff>195149</xdr:rowOff>
    </xdr:from>
    <xdr:to>
      <xdr:col>4</xdr:col>
      <xdr:colOff>757354</xdr:colOff>
      <xdr:row>23</xdr:row>
      <xdr:rowOff>33512</xdr:rowOff>
    </xdr:to>
    <xdr:cxnSp macro="">
      <xdr:nvCxnSpPr>
        <xdr:cNvPr id="21" name="Gerade Verbindung mit Pfeil 20"/>
        <xdr:cNvCxnSpPr>
          <a:endCxn id="11" idx="7"/>
        </xdr:cNvCxnSpPr>
      </xdr:nvCxnSpPr>
      <xdr:spPr>
        <a:xfrm rot="5400000">
          <a:off x="931561" y="1550512"/>
          <a:ext cx="3848156" cy="1899430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oneCellAnchor>
    <xdr:from>
      <xdr:col>3</xdr:col>
      <xdr:colOff>337038</xdr:colOff>
      <xdr:row>20</xdr:row>
      <xdr:rowOff>109904</xdr:rowOff>
    </xdr:from>
    <xdr:ext cx="967957" cy="264560"/>
    <xdr:sp macro="" textlink="">
      <xdr:nvSpPr>
        <xdr:cNvPr id="26" name="Textfeld 25"/>
        <xdr:cNvSpPr txBox="1"/>
      </xdr:nvSpPr>
      <xdr:spPr>
        <a:xfrm>
          <a:off x="2623038" y="3927231"/>
          <a:ext cx="96795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de-DE" sz="1100"/>
            <a:t>Antennen A_j</a:t>
          </a:r>
        </a:p>
      </xdr:txBody>
    </xdr:sp>
    <xdr:clientData/>
  </xdr:oneCellAnchor>
  <xdr:oneCellAnchor>
    <xdr:from>
      <xdr:col>3</xdr:col>
      <xdr:colOff>240730</xdr:colOff>
      <xdr:row>12</xdr:row>
      <xdr:rowOff>88089</xdr:rowOff>
    </xdr:from>
    <xdr:ext cx="264560" cy="432939"/>
    <xdr:sp macro="" textlink="">
      <xdr:nvSpPr>
        <xdr:cNvPr id="27" name="Textfeld 26"/>
        <xdr:cNvSpPr txBox="1"/>
      </xdr:nvSpPr>
      <xdr:spPr>
        <a:xfrm rot="17792813">
          <a:off x="2442540" y="2466562"/>
          <a:ext cx="43293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de-DE" sz="1100" b="1"/>
            <a:t>r_ij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"/>
  <dimension ref="A1:AA58"/>
  <sheetViews>
    <sheetView topLeftCell="A16" zoomScale="85" zoomScaleNormal="85" workbookViewId="0">
      <selection activeCell="I53" sqref="I53:I55"/>
    </sheetView>
  </sheetViews>
  <sheetFormatPr baseColWidth="10" defaultRowHeight="15"/>
  <cols>
    <col min="6" max="7" width="4.7109375" customWidth="1"/>
    <col min="8" max="8" width="5.42578125" bestFit="1" customWidth="1"/>
  </cols>
  <sheetData>
    <row r="1" spans="2:27">
      <c r="B1" s="72" t="s">
        <v>6</v>
      </c>
      <c r="C1" s="72"/>
      <c r="D1" s="72"/>
      <c r="E1" s="72"/>
      <c r="G1" s="7"/>
    </row>
    <row r="2" spans="2:27">
      <c r="G2" s="7"/>
    </row>
    <row r="3" spans="2:27" ht="15.75" thickBot="1">
      <c r="B3" s="1" t="s">
        <v>0</v>
      </c>
      <c r="C3" s="3"/>
      <c r="D3" s="3"/>
      <c r="E3" s="4" t="s">
        <v>1</v>
      </c>
      <c r="G3" s="7"/>
      <c r="H3" t="s">
        <v>32</v>
      </c>
    </row>
    <row r="4" spans="2:27">
      <c r="B4" s="5"/>
      <c r="C4" s="2"/>
      <c r="D4" s="2"/>
      <c r="E4" s="2"/>
      <c r="G4" s="7"/>
      <c r="I4">
        <v>0.08</v>
      </c>
      <c r="J4" t="s">
        <v>33</v>
      </c>
    </row>
    <row r="5" spans="2:27">
      <c r="B5" s="5"/>
      <c r="C5" s="2"/>
      <c r="G5" s="7"/>
    </row>
    <row r="6" spans="2:27">
      <c r="B6" s="5"/>
      <c r="C6" s="2"/>
      <c r="G6" s="7"/>
      <c r="H6" s="71" t="s">
        <v>5</v>
      </c>
      <c r="I6" s="71"/>
    </row>
    <row r="7" spans="2:27">
      <c r="B7" s="5"/>
      <c r="C7" s="2"/>
      <c r="G7" s="7"/>
      <c r="H7" t="s">
        <v>4</v>
      </c>
      <c r="I7" t="s">
        <v>3</v>
      </c>
    </row>
    <row r="8" spans="2:27">
      <c r="B8" s="5"/>
      <c r="C8" s="2"/>
      <c r="G8" s="7"/>
    </row>
    <row r="9" spans="2:27">
      <c r="B9" s="5"/>
      <c r="C9" s="2"/>
      <c r="G9" s="7"/>
      <c r="H9" t="s">
        <v>29</v>
      </c>
      <c r="I9">
        <v>2.71</v>
      </c>
    </row>
    <row r="10" spans="2:27">
      <c r="B10" s="5"/>
      <c r="C10" s="2"/>
      <c r="G10" s="7"/>
      <c r="H10" t="s">
        <v>30</v>
      </c>
      <c r="I10">
        <v>1.972</v>
      </c>
    </row>
    <row r="11" spans="2:27">
      <c r="B11" s="5"/>
      <c r="C11" s="2"/>
      <c r="G11" s="7"/>
      <c r="H11" t="s">
        <v>31</v>
      </c>
      <c r="I11">
        <v>2.87</v>
      </c>
    </row>
    <row r="12" spans="2:27">
      <c r="B12" s="6" t="s">
        <v>2</v>
      </c>
      <c r="C12" s="2"/>
      <c r="G12" s="7"/>
    </row>
    <row r="13" spans="2:27">
      <c r="G13" s="7"/>
    </row>
    <row r="14" spans="2:27">
      <c r="G14" s="7"/>
    </row>
    <row r="15" spans="2:27">
      <c r="G15" s="7"/>
    </row>
    <row r="16" spans="2:27">
      <c r="G16" s="7"/>
      <c r="H16" t="s">
        <v>34</v>
      </c>
      <c r="T16" s="21" t="s">
        <v>120</v>
      </c>
      <c r="U16" s="21"/>
      <c r="V16" s="21"/>
      <c r="W16" s="21"/>
      <c r="X16" s="21"/>
      <c r="Y16" s="21"/>
      <c r="Z16" s="21"/>
      <c r="AA16" s="21"/>
    </row>
    <row r="17" spans="1:27">
      <c r="G17" s="7"/>
      <c r="J17" t="s">
        <v>7</v>
      </c>
    </row>
    <row r="18" spans="1:27">
      <c r="G18" s="7"/>
      <c r="I18" s="11" t="s">
        <v>8</v>
      </c>
      <c r="J18" s="12">
        <v>1</v>
      </c>
      <c r="K18" s="12">
        <v>2</v>
      </c>
      <c r="L18" s="12">
        <v>3</v>
      </c>
      <c r="M18" s="12">
        <v>4</v>
      </c>
      <c r="N18" s="12">
        <v>5</v>
      </c>
      <c r="O18" s="12">
        <v>6</v>
      </c>
      <c r="P18" s="12">
        <v>7</v>
      </c>
      <c r="Q18" s="12">
        <v>8</v>
      </c>
      <c r="T18" t="s">
        <v>119</v>
      </c>
    </row>
    <row r="19" spans="1:27">
      <c r="B19" s="72" t="s">
        <v>9</v>
      </c>
      <c r="C19" s="72"/>
      <c r="D19" s="72"/>
      <c r="E19" s="72"/>
      <c r="G19" s="7"/>
      <c r="I19" s="18">
        <v>1</v>
      </c>
      <c r="J19">
        <v>1.1200000000000001</v>
      </c>
      <c r="K19">
        <v>2.238</v>
      </c>
      <c r="L19">
        <v>1.843</v>
      </c>
      <c r="M19">
        <v>2.105</v>
      </c>
      <c r="N19">
        <v>1.7609999999999999</v>
      </c>
      <c r="O19">
        <v>2.1280000000000001</v>
      </c>
      <c r="P19">
        <v>1.7030000000000001</v>
      </c>
      <c r="Q19">
        <v>1.46</v>
      </c>
      <c r="T19" s="17">
        <v>1.04</v>
      </c>
      <c r="U19" s="17">
        <v>1.36</v>
      </c>
      <c r="V19" s="17">
        <v>1.89</v>
      </c>
      <c r="W19" s="17">
        <v>1.05</v>
      </c>
      <c r="X19" s="17">
        <v>1.96</v>
      </c>
      <c r="Y19" s="17">
        <v>1.25</v>
      </c>
      <c r="Z19" s="17">
        <v>1.56</v>
      </c>
      <c r="AA19" s="17">
        <v>1.35</v>
      </c>
    </row>
    <row r="20" spans="1:27">
      <c r="G20" s="7"/>
      <c r="I20" s="10">
        <v>2</v>
      </c>
      <c r="J20">
        <v>1.853</v>
      </c>
      <c r="K20">
        <v>2.3260000000000001</v>
      </c>
      <c r="L20">
        <v>2.6880000000000002</v>
      </c>
      <c r="M20">
        <v>1.8320000000000001</v>
      </c>
      <c r="N20">
        <v>2.4300000000000002</v>
      </c>
      <c r="O20">
        <v>1.4490000000000001</v>
      </c>
      <c r="P20">
        <v>1.6990000000000001</v>
      </c>
      <c r="Q20">
        <v>0.91200000000000003</v>
      </c>
      <c r="T20" s="17">
        <v>1.1200000000000001</v>
      </c>
      <c r="U20" s="17">
        <v>2.2400000000000002</v>
      </c>
      <c r="V20" s="17">
        <v>1.84</v>
      </c>
      <c r="W20" s="17">
        <v>2.1</v>
      </c>
      <c r="X20" s="17">
        <v>1.76</v>
      </c>
      <c r="Y20" s="17">
        <v>2.13</v>
      </c>
      <c r="Z20" s="17">
        <v>1.7</v>
      </c>
      <c r="AA20" s="17">
        <v>1.46</v>
      </c>
    </row>
    <row r="21" spans="1:27">
      <c r="G21" s="7"/>
      <c r="I21" s="19">
        <v>3</v>
      </c>
      <c r="J21">
        <v>1.04</v>
      </c>
      <c r="K21">
        <v>1.36</v>
      </c>
      <c r="L21">
        <v>1.89</v>
      </c>
      <c r="M21">
        <v>1.05</v>
      </c>
      <c r="N21">
        <v>1.96</v>
      </c>
      <c r="O21">
        <v>1.25</v>
      </c>
      <c r="P21">
        <v>1.56</v>
      </c>
      <c r="Q21">
        <v>1.35</v>
      </c>
      <c r="T21" s="17">
        <v>1.81</v>
      </c>
      <c r="U21" s="17">
        <v>2.29</v>
      </c>
      <c r="V21" s="17">
        <v>2.66</v>
      </c>
      <c r="W21" s="17">
        <v>1.8</v>
      </c>
      <c r="X21" s="17">
        <v>2.42</v>
      </c>
      <c r="Y21" s="17">
        <v>1.45</v>
      </c>
      <c r="Z21" s="17">
        <v>1.7</v>
      </c>
      <c r="AA21" s="17">
        <v>0.94</v>
      </c>
    </row>
    <row r="22" spans="1:27">
      <c r="G22" s="7"/>
      <c r="I22" s="10">
        <v>0</v>
      </c>
      <c r="J22">
        <v>1.179</v>
      </c>
      <c r="K22">
        <v>1.8140000000000001</v>
      </c>
      <c r="L22">
        <v>2.254</v>
      </c>
      <c r="M22">
        <v>1.581</v>
      </c>
      <c r="N22">
        <v>2.319</v>
      </c>
      <c r="O22">
        <v>1.7709999999999999</v>
      </c>
      <c r="P22">
        <v>1.9750000000000001</v>
      </c>
      <c r="Q22">
        <v>1.494</v>
      </c>
      <c r="T22" s="17">
        <v>1.18</v>
      </c>
      <c r="U22" s="17">
        <v>1.81</v>
      </c>
      <c r="V22" s="17">
        <v>2.2599999999999998</v>
      </c>
      <c r="W22" s="17">
        <v>1.58</v>
      </c>
      <c r="X22" s="17">
        <v>2.3199999999999998</v>
      </c>
      <c r="Y22" s="17">
        <v>1.71</v>
      </c>
      <c r="Z22" s="17">
        <v>1.95</v>
      </c>
      <c r="AA22" s="17">
        <v>1.49</v>
      </c>
    </row>
    <row r="23" spans="1:27">
      <c r="G23" s="7"/>
    </row>
    <row r="24" spans="1:27">
      <c r="G24" s="7"/>
      <c r="H24" t="s">
        <v>35</v>
      </c>
      <c r="T24" t="s">
        <v>118</v>
      </c>
    </row>
    <row r="25" spans="1:27">
      <c r="G25" s="7"/>
      <c r="J25" t="s">
        <v>7</v>
      </c>
      <c r="T25">
        <v>1.1200000000000001</v>
      </c>
      <c r="U25">
        <v>2.238</v>
      </c>
      <c r="V25">
        <v>1.843</v>
      </c>
      <c r="W25">
        <v>2.105</v>
      </c>
      <c r="X25">
        <v>1.7609999999999999</v>
      </c>
      <c r="Y25">
        <v>2.1280000000000001</v>
      </c>
      <c r="Z25">
        <v>1.7030000000000001</v>
      </c>
      <c r="AA25">
        <v>1.46</v>
      </c>
    </row>
    <row r="26" spans="1:27">
      <c r="G26" s="7"/>
      <c r="I26" s="11" t="s">
        <v>8</v>
      </c>
      <c r="J26" s="12">
        <v>1</v>
      </c>
      <c r="K26" s="12">
        <v>2</v>
      </c>
      <c r="L26" s="12">
        <v>3</v>
      </c>
      <c r="M26" s="12">
        <v>4</v>
      </c>
      <c r="N26" s="12">
        <v>5</v>
      </c>
      <c r="O26" s="12">
        <v>6</v>
      </c>
      <c r="P26" s="12">
        <v>7</v>
      </c>
      <c r="Q26" s="12">
        <v>8</v>
      </c>
      <c r="T26">
        <v>1.853</v>
      </c>
      <c r="U26">
        <v>2.3260000000000001</v>
      </c>
      <c r="V26">
        <v>2.6880000000000002</v>
      </c>
      <c r="W26">
        <v>1.8320000000000001</v>
      </c>
      <c r="X26">
        <v>2.4300000000000002</v>
      </c>
      <c r="Y26">
        <v>1.4490000000000001</v>
      </c>
      <c r="Z26">
        <v>1.6990000000000001</v>
      </c>
      <c r="AA26">
        <v>0.91200000000000003</v>
      </c>
    </row>
    <row r="27" spans="1:27" ht="15.75" thickBot="1">
      <c r="A27" s="8"/>
      <c r="B27" s="8"/>
      <c r="C27" s="8"/>
      <c r="D27" s="8"/>
      <c r="E27" s="8"/>
      <c r="F27" s="8"/>
      <c r="G27" s="9"/>
      <c r="I27" s="18">
        <v>1</v>
      </c>
      <c r="J27">
        <f t="shared" ref="J27:Q30" si="0">J19+OFFSET</f>
        <v>1.2000000000000002</v>
      </c>
      <c r="K27">
        <f t="shared" si="0"/>
        <v>2.3180000000000001</v>
      </c>
      <c r="L27">
        <f t="shared" si="0"/>
        <v>1.923</v>
      </c>
      <c r="M27">
        <f t="shared" si="0"/>
        <v>2.1850000000000001</v>
      </c>
      <c r="N27">
        <f t="shared" si="0"/>
        <v>1.841</v>
      </c>
      <c r="O27">
        <f t="shared" si="0"/>
        <v>2.2080000000000002</v>
      </c>
      <c r="P27">
        <f t="shared" si="0"/>
        <v>1.7830000000000001</v>
      </c>
      <c r="Q27">
        <f t="shared" si="0"/>
        <v>1.54</v>
      </c>
      <c r="T27">
        <v>1.04</v>
      </c>
      <c r="U27">
        <v>1.36</v>
      </c>
      <c r="V27">
        <v>1.89</v>
      </c>
      <c r="W27">
        <v>1.05</v>
      </c>
      <c r="X27">
        <v>1.96</v>
      </c>
      <c r="Y27">
        <v>1.25</v>
      </c>
      <c r="Z27">
        <v>1.56</v>
      </c>
      <c r="AA27">
        <v>1.35</v>
      </c>
    </row>
    <row r="28" spans="1:27" ht="15.75" thickTop="1">
      <c r="I28" s="10">
        <v>2</v>
      </c>
      <c r="J28">
        <f t="shared" si="0"/>
        <v>1.9330000000000001</v>
      </c>
      <c r="K28">
        <f t="shared" si="0"/>
        <v>2.4060000000000001</v>
      </c>
      <c r="L28">
        <f t="shared" si="0"/>
        <v>2.7680000000000002</v>
      </c>
      <c r="M28">
        <f t="shared" si="0"/>
        <v>1.9120000000000001</v>
      </c>
      <c r="N28">
        <f t="shared" si="0"/>
        <v>2.5100000000000002</v>
      </c>
      <c r="O28">
        <f t="shared" si="0"/>
        <v>1.5290000000000001</v>
      </c>
      <c r="P28">
        <f t="shared" si="0"/>
        <v>1.7790000000000001</v>
      </c>
      <c r="Q28">
        <f t="shared" si="0"/>
        <v>0.99199999999999999</v>
      </c>
      <c r="T28">
        <v>1.179</v>
      </c>
      <c r="U28">
        <v>1.8140000000000001</v>
      </c>
      <c r="V28">
        <v>2.254</v>
      </c>
      <c r="W28">
        <v>1.581</v>
      </c>
      <c r="X28">
        <v>2.319</v>
      </c>
      <c r="Y28">
        <v>1.7709999999999999</v>
      </c>
      <c r="Z28">
        <v>1.9750000000000001</v>
      </c>
      <c r="AA28">
        <v>1.494</v>
      </c>
    </row>
    <row r="29" spans="1:27">
      <c r="I29" s="10">
        <v>3</v>
      </c>
      <c r="J29">
        <f t="shared" si="0"/>
        <v>1.1200000000000001</v>
      </c>
      <c r="K29">
        <f t="shared" si="0"/>
        <v>1.4400000000000002</v>
      </c>
      <c r="L29">
        <f t="shared" si="0"/>
        <v>1.97</v>
      </c>
      <c r="M29">
        <f t="shared" si="0"/>
        <v>1.1300000000000001</v>
      </c>
      <c r="N29">
        <f t="shared" si="0"/>
        <v>2.04</v>
      </c>
      <c r="O29">
        <f t="shared" si="0"/>
        <v>1.33</v>
      </c>
      <c r="P29">
        <f t="shared" si="0"/>
        <v>1.6400000000000001</v>
      </c>
      <c r="Q29">
        <f t="shared" si="0"/>
        <v>1.4300000000000002</v>
      </c>
    </row>
    <row r="30" spans="1:27">
      <c r="I30" s="10">
        <v>0</v>
      </c>
      <c r="J30">
        <f t="shared" si="0"/>
        <v>1.2590000000000001</v>
      </c>
      <c r="K30">
        <f t="shared" si="0"/>
        <v>1.8940000000000001</v>
      </c>
      <c r="L30">
        <f t="shared" si="0"/>
        <v>2.3340000000000001</v>
      </c>
      <c r="M30">
        <f t="shared" si="0"/>
        <v>1.661</v>
      </c>
      <c r="N30">
        <f t="shared" si="0"/>
        <v>2.399</v>
      </c>
      <c r="O30">
        <f t="shared" si="0"/>
        <v>1.851</v>
      </c>
      <c r="P30">
        <f t="shared" si="0"/>
        <v>2.0550000000000002</v>
      </c>
      <c r="Q30">
        <f t="shared" si="0"/>
        <v>1.5740000000000001</v>
      </c>
    </row>
    <row r="31" spans="1:27">
      <c r="J31" s="16">
        <f>J30*J30</f>
        <v>1.5850810000000004</v>
      </c>
      <c r="K31" s="16">
        <f t="shared" ref="K31:Q31" si="1">K30*K30</f>
        <v>3.5872360000000003</v>
      </c>
      <c r="L31" s="16">
        <f t="shared" si="1"/>
        <v>5.4475560000000005</v>
      </c>
      <c r="M31" s="16">
        <f t="shared" si="1"/>
        <v>2.758921</v>
      </c>
      <c r="N31" s="16">
        <f t="shared" si="1"/>
        <v>5.7552010000000005</v>
      </c>
      <c r="O31" s="16">
        <f t="shared" si="1"/>
        <v>3.4262009999999998</v>
      </c>
      <c r="P31" s="16">
        <f t="shared" si="1"/>
        <v>4.2230250000000007</v>
      </c>
      <c r="Q31" s="16">
        <f t="shared" si="1"/>
        <v>2.4774760000000002</v>
      </c>
    </row>
    <row r="34" spans="9:23">
      <c r="I34" s="16" t="s">
        <v>36</v>
      </c>
    </row>
    <row r="35" spans="9:23">
      <c r="I35">
        <v>0.77</v>
      </c>
      <c r="J35" t="s">
        <v>33</v>
      </c>
    </row>
    <row r="36" spans="9:23">
      <c r="I36" s="16" t="s">
        <v>37</v>
      </c>
    </row>
    <row r="37" spans="9:23">
      <c r="I37">
        <f>SQRT(0.77^2+0.77^2)</f>
        <v>1.0889444430272832</v>
      </c>
      <c r="J37" t="s">
        <v>33</v>
      </c>
    </row>
    <row r="38" spans="9:23">
      <c r="I38" s="16" t="s">
        <v>38</v>
      </c>
    </row>
    <row r="39" spans="9:23">
      <c r="I39">
        <f>SQRT(0.77^2+0.8^2)</f>
        <v>1.1103603018840327</v>
      </c>
      <c r="J39" t="s">
        <v>33</v>
      </c>
    </row>
    <row r="40" spans="9:23">
      <c r="I40" s="16" t="s">
        <v>39</v>
      </c>
    </row>
    <row r="41" spans="9:23">
      <c r="I41">
        <v>0.77</v>
      </c>
      <c r="J41" t="s">
        <v>33</v>
      </c>
    </row>
    <row r="42" spans="9:23">
      <c r="I42" s="16" t="s">
        <v>40</v>
      </c>
    </row>
    <row r="43" spans="9:23">
      <c r="I43">
        <v>0.8</v>
      </c>
      <c r="J43" t="s">
        <v>33</v>
      </c>
    </row>
    <row r="44" spans="9:23">
      <c r="I44" s="16" t="s">
        <v>41</v>
      </c>
    </row>
    <row r="45" spans="9:23">
      <c r="I45">
        <f>SQRT(0.77^2+0.8^2)</f>
        <v>1.1103603018840327</v>
      </c>
      <c r="J45" t="s">
        <v>33</v>
      </c>
    </row>
    <row r="48" spans="9:23">
      <c r="I48" t="s">
        <v>121</v>
      </c>
      <c r="K48" t="s">
        <v>122</v>
      </c>
      <c r="M48" t="s">
        <v>123</v>
      </c>
      <c r="O48" t="s">
        <v>124</v>
      </c>
      <c r="Q48" t="s">
        <v>128</v>
      </c>
      <c r="S48" t="s">
        <v>127</v>
      </c>
      <c r="U48" t="s">
        <v>126</v>
      </c>
      <c r="W48" t="s">
        <v>125</v>
      </c>
    </row>
    <row r="49" spans="8:24">
      <c r="I49">
        <v>-30.441860465116278</v>
      </c>
      <c r="J49">
        <v>-16.380549682875266</v>
      </c>
      <c r="K49" t="e">
        <v>#DIV/0!</v>
      </c>
      <c r="L49" t="e">
        <v>#DIV/0!</v>
      </c>
      <c r="M49">
        <v>-12.232758620689655</v>
      </c>
      <c r="N49">
        <v>3.6724137931034484</v>
      </c>
      <c r="O49">
        <v>-4.4375</v>
      </c>
      <c r="P49">
        <v>-0.34375</v>
      </c>
      <c r="Q49">
        <v>14.42443729903537</v>
      </c>
      <c r="R49">
        <v>-14.260450160771704</v>
      </c>
      <c r="S49">
        <v>38.125</v>
      </c>
      <c r="T49">
        <v>-29.387681159420289</v>
      </c>
      <c r="U49" t="e">
        <v>#DIV/0!</v>
      </c>
      <c r="V49" t="e">
        <v>#DIV/0!</v>
      </c>
      <c r="W49">
        <v>-18.798816568047336</v>
      </c>
      <c r="X49">
        <v>-30.363905325443788</v>
      </c>
    </row>
    <row r="51" spans="8:24">
      <c r="H51" t="s">
        <v>121</v>
      </c>
      <c r="I51">
        <v>-30.441860465116278</v>
      </c>
    </row>
    <row r="52" spans="8:24">
      <c r="H52" t="s">
        <v>122</v>
      </c>
      <c r="I52" t="e">
        <v>#DIV/0!</v>
      </c>
    </row>
    <row r="53" spans="8:24">
      <c r="H53" t="s">
        <v>123</v>
      </c>
      <c r="I53">
        <v>-12.232758620689655</v>
      </c>
    </row>
    <row r="54" spans="8:24">
      <c r="H54" t="s">
        <v>124</v>
      </c>
      <c r="I54">
        <v>-4.4375</v>
      </c>
    </row>
    <row r="55" spans="8:24">
      <c r="H55" t="s">
        <v>128</v>
      </c>
      <c r="I55">
        <v>14.42443729903537</v>
      </c>
    </row>
    <row r="56" spans="8:24">
      <c r="H56" t="s">
        <v>127</v>
      </c>
      <c r="I56">
        <v>38.125</v>
      </c>
    </row>
    <row r="57" spans="8:24">
      <c r="H57" t="s">
        <v>126</v>
      </c>
      <c r="I57" t="e">
        <v>#DIV/0!</v>
      </c>
    </row>
    <row r="58" spans="8:24">
      <c r="H58" t="s">
        <v>125</v>
      </c>
      <c r="I58">
        <v>-18.798816568047336</v>
      </c>
    </row>
  </sheetData>
  <mergeCells count="3">
    <mergeCell ref="H6:I6"/>
    <mergeCell ref="B1:E1"/>
    <mergeCell ref="B19:E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2"/>
  <dimension ref="A2:S79"/>
  <sheetViews>
    <sheetView tabSelected="1" workbookViewId="0">
      <selection activeCell="E16" sqref="E16"/>
    </sheetView>
  </sheetViews>
  <sheetFormatPr baseColWidth="10" defaultRowHeight="15"/>
  <sheetData>
    <row r="2" spans="1:15">
      <c r="A2" s="76">
        <v>0</v>
      </c>
      <c r="B2" s="76"/>
      <c r="C2" s="76"/>
      <c r="D2" s="76"/>
      <c r="E2" s="76"/>
      <c r="F2" s="76"/>
      <c r="G2" s="76"/>
      <c r="H2" s="76"/>
      <c r="I2" s="76"/>
      <c r="J2" s="76"/>
      <c r="K2" s="76"/>
    </row>
    <row r="3" spans="1:15">
      <c r="B3" s="43" t="s">
        <v>97</v>
      </c>
      <c r="C3" s="44">
        <v>300000000</v>
      </c>
      <c r="D3" s="45" t="s">
        <v>98</v>
      </c>
      <c r="E3" s="45"/>
      <c r="F3" s="45"/>
      <c r="G3" s="45"/>
      <c r="H3" s="45"/>
      <c r="I3" s="45"/>
      <c r="J3" s="45"/>
      <c r="K3" s="46"/>
    </row>
    <row r="4" spans="1:15">
      <c r="B4" s="47" t="s">
        <v>99</v>
      </c>
      <c r="C4" s="48">
        <v>866300000</v>
      </c>
      <c r="D4" s="2" t="s">
        <v>100</v>
      </c>
      <c r="E4" s="2"/>
      <c r="F4" s="2"/>
      <c r="G4" s="2"/>
      <c r="H4" s="2"/>
      <c r="I4" s="2"/>
      <c r="J4" s="2"/>
      <c r="K4" s="20"/>
    </row>
    <row r="5" spans="1:15">
      <c r="B5" s="47" t="s">
        <v>101</v>
      </c>
      <c r="C5" s="2">
        <f>$C$3/$C$4</f>
        <v>0.34630035784370311</v>
      </c>
      <c r="D5" s="2" t="s">
        <v>102</v>
      </c>
      <c r="E5" s="2"/>
      <c r="F5" s="2"/>
      <c r="G5" s="2"/>
      <c r="H5" s="2"/>
      <c r="I5" s="2"/>
      <c r="J5" s="2"/>
      <c r="K5" s="20"/>
    </row>
    <row r="6" spans="1:15">
      <c r="B6" s="47"/>
      <c r="C6" s="2"/>
      <c r="I6" s="2"/>
      <c r="J6" s="2"/>
      <c r="K6" s="20"/>
    </row>
    <row r="7" spans="1:15">
      <c r="A7" s="20"/>
      <c r="B7" s="55" t="s">
        <v>78</v>
      </c>
      <c r="C7" s="21"/>
      <c r="D7" s="12" t="s">
        <v>77</v>
      </c>
      <c r="E7" s="12" t="s">
        <v>75</v>
      </c>
      <c r="F7" s="12" t="s">
        <v>76</v>
      </c>
      <c r="G7" s="12" t="s">
        <v>79</v>
      </c>
      <c r="H7" s="12" t="s">
        <v>80</v>
      </c>
      <c r="I7" s="12"/>
      <c r="J7" s="12"/>
      <c r="K7" s="49"/>
    </row>
    <row r="8" spans="1:15">
      <c r="A8" s="20"/>
      <c r="B8" s="54">
        <v>1</v>
      </c>
      <c r="C8" s="2"/>
      <c r="D8" s="2">
        <f>0.5*N73^2</f>
        <v>0.84198942471462679</v>
      </c>
      <c r="E8" s="2">
        <f>$C$5^2/8</f>
        <v>1.4990492230334603E-2</v>
      </c>
      <c r="F8" s="2">
        <f>E$8/PI()</f>
        <v>4.7716218756768064E-3</v>
      </c>
      <c r="G8" s="2">
        <f>A_1*(1/(2*PI())^2)*($H$11^2-$H8^2)</f>
        <v>0.29506271563788528</v>
      </c>
      <c r="H8" s="2">
        <f>Theta_A2</f>
        <v>-12.232758620689655</v>
      </c>
      <c r="I8" s="2"/>
      <c r="J8" s="31">
        <f>D55</f>
        <v>1.9646380832332878E-2</v>
      </c>
      <c r="K8" s="20"/>
      <c r="L8" s="2"/>
      <c r="M8" s="2"/>
      <c r="N8" s="2"/>
      <c r="O8" s="2"/>
    </row>
    <row r="9" spans="1:15">
      <c r="A9" s="20"/>
      <c r="B9" s="52">
        <v>2</v>
      </c>
      <c r="C9" s="2"/>
      <c r="D9" s="2">
        <f>0.5*O73^2</f>
        <v>1.5747328563547551</v>
      </c>
      <c r="E9" s="63" t="s">
        <v>105</v>
      </c>
      <c r="F9" s="63" t="s">
        <v>105</v>
      </c>
      <c r="G9" s="2">
        <f>A_1*(1/(2*PI())^2)*($H$11^2-$H9^2)</f>
        <v>0.34440611012014449</v>
      </c>
      <c r="H9" s="2">
        <f>Theta_A3</f>
        <v>-4.4375</v>
      </c>
      <c r="I9" s="2"/>
      <c r="J9" s="31">
        <f t="shared" ref="J9:J10" si="0">D56</f>
        <v>0.95415902672697173</v>
      </c>
      <c r="K9" s="20"/>
      <c r="L9" s="2"/>
      <c r="M9" s="2"/>
      <c r="N9" s="2"/>
      <c r="O9" s="2"/>
    </row>
    <row r="10" spans="1:15">
      <c r="A10" s="20"/>
      <c r="B10" s="52">
        <v>3</v>
      </c>
      <c r="C10" s="2"/>
      <c r="D10" s="2">
        <f>0.5*P73^2</f>
        <v>1.8954667052703305</v>
      </c>
      <c r="E10" s="63" t="s">
        <v>105</v>
      </c>
      <c r="F10" s="63" t="s">
        <v>105</v>
      </c>
      <c r="G10" s="2">
        <f>A_1*(1/(2*PI())^2)*($H$11^2-$H10^2)</f>
        <v>0.27287832502747572</v>
      </c>
      <c r="H10" s="2">
        <f>Theta_A4</f>
        <v>14.42443729903537</v>
      </c>
      <c r="I10" s="2"/>
      <c r="J10" s="31">
        <f t="shared" si="0"/>
        <v>0.6710122758922904</v>
      </c>
      <c r="K10" s="20"/>
      <c r="L10" s="2"/>
      <c r="M10" s="2"/>
      <c r="N10" s="2"/>
      <c r="O10" s="2"/>
    </row>
    <row r="11" spans="1:15">
      <c r="A11" s="20"/>
      <c r="B11" s="52">
        <v>0</v>
      </c>
      <c r="C11" s="53"/>
      <c r="D11" s="63"/>
      <c r="E11" s="63"/>
      <c r="F11" s="63"/>
      <c r="G11" s="63"/>
      <c r="H11" s="2">
        <f>Theta_A0</f>
        <v>-30.441860465116278</v>
      </c>
      <c r="I11" s="2"/>
      <c r="J11" s="96">
        <f>D64</f>
        <v>9.9824675096210624E-3</v>
      </c>
      <c r="K11" s="20"/>
      <c r="L11" s="2"/>
      <c r="M11" s="2"/>
      <c r="N11" s="2"/>
      <c r="O11" s="2"/>
    </row>
    <row r="12" spans="1:15">
      <c r="B12" s="50"/>
      <c r="C12" s="21"/>
      <c r="D12" s="21"/>
      <c r="E12" s="21"/>
      <c r="F12" s="21"/>
      <c r="G12" s="21"/>
      <c r="H12" s="21"/>
      <c r="I12" s="21"/>
      <c r="J12" s="21"/>
      <c r="K12" s="11"/>
    </row>
    <row r="13" spans="1:15">
      <c r="B13" s="2"/>
      <c r="C13" s="2"/>
      <c r="D13" s="2"/>
      <c r="E13" s="2"/>
      <c r="F13" s="2"/>
      <c r="G13" s="2"/>
      <c r="H13" s="2"/>
      <c r="I13" s="2"/>
      <c r="J13" s="2"/>
      <c r="K13" s="2"/>
    </row>
    <row r="14" spans="1:15">
      <c r="A14" s="23" t="s">
        <v>85</v>
      </c>
      <c r="B14" s="2"/>
      <c r="C14" s="2"/>
      <c r="D14" s="2"/>
      <c r="E14" s="2"/>
      <c r="F14" s="2"/>
      <c r="G14" s="2"/>
      <c r="H14" s="2"/>
      <c r="I14" s="2"/>
      <c r="J14" s="2"/>
      <c r="K14" s="2"/>
    </row>
    <row r="15" spans="1:15">
      <c r="B15" s="2"/>
      <c r="C15" s="2"/>
      <c r="D15" s="12">
        <v>1</v>
      </c>
      <c r="E15" s="83">
        <v>2</v>
      </c>
      <c r="F15" s="83">
        <v>3</v>
      </c>
      <c r="G15" s="83">
        <v>4</v>
      </c>
      <c r="H15" s="83">
        <v>5</v>
      </c>
      <c r="I15" s="83">
        <v>6</v>
      </c>
      <c r="J15" s="83">
        <v>7</v>
      </c>
      <c r="K15" s="83">
        <v>8</v>
      </c>
    </row>
    <row r="16" spans="1:15">
      <c r="B16" s="2" t="s">
        <v>81</v>
      </c>
      <c r="C16" s="2"/>
      <c r="D16" s="37">
        <v>0.33558801511757935</v>
      </c>
      <c r="E16" s="84">
        <v>-9.3216133798131873E-2</v>
      </c>
      <c r="F16" s="84">
        <v>-8.8317720590116444E-2</v>
      </c>
      <c r="G16" s="84">
        <v>-0.21929072207749112</v>
      </c>
      <c r="H16" s="84">
        <v>-0.12084477486609924</v>
      </c>
      <c r="I16" s="84">
        <v>-0.15855509315995797</v>
      </c>
      <c r="J16" s="84">
        <v>-0.85603789680002773</v>
      </c>
      <c r="K16" s="84">
        <v>0.65342120690916317</v>
      </c>
      <c r="L16" s="77" t="s">
        <v>103</v>
      </c>
      <c r="M16" s="93">
        <f ca="1">RAND()-RAND()</f>
        <v>0.15077255421800895</v>
      </c>
    </row>
    <row r="17" spans="1:16">
      <c r="B17" s="2" t="s">
        <v>82</v>
      </c>
      <c r="C17" s="2"/>
      <c r="D17" s="37">
        <v>0</v>
      </c>
      <c r="E17" s="84">
        <v>0.3060532730390344</v>
      </c>
      <c r="F17" s="84">
        <v>0.61898698429640664</v>
      </c>
      <c r="G17" s="84">
        <v>-0.43073573334008786</v>
      </c>
      <c r="H17" s="84">
        <v>-0.38790552640477483</v>
      </c>
      <c r="I17" s="84">
        <v>-0.3582528703161334</v>
      </c>
      <c r="J17" s="84">
        <v>0.54958182007341416</v>
      </c>
      <c r="K17" s="84">
        <v>-0.40737763775813596</v>
      </c>
      <c r="L17" s="77"/>
      <c r="M17" s="93">
        <f t="shared" ref="M17:M22" ca="1" si="1">RAND()-RAND()</f>
        <v>-0.44537756665942241</v>
      </c>
      <c r="P17">
        <v>1</v>
      </c>
    </row>
    <row r="18" spans="1:16">
      <c r="B18" s="2" t="s">
        <v>83</v>
      </c>
      <c r="C18" s="2"/>
      <c r="D18" s="37">
        <v>0</v>
      </c>
      <c r="E18" s="84">
        <v>-0.25323499761841628</v>
      </c>
      <c r="F18" s="84">
        <v>6.756707140216367E-2</v>
      </c>
      <c r="G18" s="84">
        <v>-0.10480046905550622</v>
      </c>
      <c r="H18" s="84">
        <v>-0.50740922953524525</v>
      </c>
      <c r="I18" s="84">
        <v>-2.4909669184959959E-2</v>
      </c>
      <c r="J18" s="84">
        <v>-0.36477405011057273</v>
      </c>
      <c r="K18" s="84">
        <v>0.20797765241452781</v>
      </c>
      <c r="L18" s="77"/>
      <c r="M18" s="93">
        <f t="shared" ca="1" si="1"/>
        <v>-0.22512236229636717</v>
      </c>
      <c r="P18">
        <v>10</v>
      </c>
    </row>
    <row r="19" spans="1:16">
      <c r="B19" s="51" t="s">
        <v>84</v>
      </c>
      <c r="C19" s="2" t="s">
        <v>27</v>
      </c>
      <c r="D19" s="37">
        <v>0</v>
      </c>
      <c r="E19" s="84">
        <v>0.93219855017337472</v>
      </c>
      <c r="F19" s="84">
        <v>-0.58844359274459124</v>
      </c>
      <c r="G19" s="84">
        <v>-0.51819376499424674</v>
      </c>
      <c r="H19" s="84">
        <v>7.986653659087839E-2</v>
      </c>
      <c r="I19" s="84">
        <v>-0.60127917735887881</v>
      </c>
      <c r="J19" s="84">
        <v>7.3809363778690518E-2</v>
      </c>
      <c r="K19" s="84">
        <v>0.45904960287541474</v>
      </c>
      <c r="L19" s="77"/>
      <c r="M19" s="93">
        <f t="shared" ca="1" si="1"/>
        <v>6.3980017327449623E-2</v>
      </c>
    </row>
    <row r="20" spans="1:16">
      <c r="B20" s="2" t="s">
        <v>48</v>
      </c>
      <c r="C20" s="2"/>
      <c r="D20" s="37">
        <v>1.9646380832332878E-2</v>
      </c>
      <c r="E20" s="84">
        <v>-0.10603450214582377</v>
      </c>
      <c r="F20" s="84">
        <v>0.14331316621447576</v>
      </c>
      <c r="G20" s="84">
        <v>7.7141449428672626E-3</v>
      </c>
      <c r="H20" s="84">
        <v>0.84183401653698287</v>
      </c>
      <c r="I20" s="84">
        <v>-0.64147819789622496</v>
      </c>
      <c r="J20" s="84">
        <v>-2.6436636559469484E-2</v>
      </c>
      <c r="K20" s="84">
        <v>-1.0305960682470916E-2</v>
      </c>
      <c r="L20" s="77"/>
      <c r="M20" s="93">
        <f t="shared" ca="1" si="1"/>
        <v>-0.79056798085334545</v>
      </c>
    </row>
    <row r="21" spans="1:16">
      <c r="B21" t="s">
        <v>47</v>
      </c>
      <c r="D21" s="37">
        <v>0.95415902672697173</v>
      </c>
      <c r="E21" s="84">
        <v>-0.26963600672495058</v>
      </c>
      <c r="F21" s="84">
        <v>0.3856849692485721</v>
      </c>
      <c r="G21" s="84">
        <v>6.6646048457388307E-2</v>
      </c>
      <c r="H21" s="84">
        <v>-0.54280733632221545</v>
      </c>
      <c r="I21" s="84">
        <v>4.8639647915487139E-2</v>
      </c>
      <c r="J21" s="84">
        <v>-0.42478485919807984</v>
      </c>
      <c r="K21" s="84">
        <v>5.2954891334215048E-2</v>
      </c>
      <c r="L21" s="77"/>
      <c r="M21" s="93">
        <f t="shared" ca="1" si="1"/>
        <v>0.69790372676159595</v>
      </c>
    </row>
    <row r="22" spans="1:16">
      <c r="B22" t="s">
        <v>52</v>
      </c>
      <c r="C22" s="2"/>
      <c r="D22" s="37">
        <v>0.6710122758922904</v>
      </c>
      <c r="E22" s="84">
        <v>-0.47465763827885898</v>
      </c>
      <c r="F22" s="84">
        <v>0.71384773975903304</v>
      </c>
      <c r="G22" s="84">
        <v>0.56301461040131273</v>
      </c>
      <c r="H22" s="84">
        <v>-0.15886633847001885</v>
      </c>
      <c r="I22" s="84">
        <v>-0.12219530665103107</v>
      </c>
      <c r="J22" s="84">
        <v>-0.2246402934383831</v>
      </c>
      <c r="K22" s="84">
        <v>-9.8948905880472005E-2</v>
      </c>
      <c r="L22" s="77"/>
      <c r="M22" s="93">
        <f t="shared" ca="1" si="1"/>
        <v>-0.35067446638774435</v>
      </c>
      <c r="P22" s="35">
        <f>MIN($D$34)</f>
        <v>3.3944403044904912E-13</v>
      </c>
    </row>
    <row r="23" spans="1:16">
      <c r="B23" s="2"/>
      <c r="C23" s="2"/>
      <c r="D23" s="2"/>
      <c r="E23" s="2"/>
      <c r="F23" s="2"/>
      <c r="G23" s="2"/>
      <c r="H23" s="2"/>
      <c r="I23" s="2"/>
      <c r="J23" s="2"/>
      <c r="K23" s="2"/>
      <c r="P23">
        <f>COUNT($D$16:$D$22)</f>
        <v>7</v>
      </c>
    </row>
    <row r="24" spans="1:16">
      <c r="A24" s="76" t="s">
        <v>65</v>
      </c>
      <c r="B24" s="76"/>
      <c r="C24" s="76"/>
      <c r="D24" s="76"/>
      <c r="E24" s="76"/>
      <c r="F24" s="76"/>
      <c r="G24" s="76"/>
      <c r="H24" s="76"/>
      <c r="I24" s="76"/>
      <c r="J24" s="76"/>
      <c r="K24" s="76"/>
      <c r="P24" t="b">
        <f t="array" ref="P24">$D$16:$D$19&gt;=0</f>
        <v>1</v>
      </c>
    </row>
    <row r="25" spans="1:16">
      <c r="A25" s="20"/>
      <c r="B25" s="94">
        <f>C73</f>
        <v>1.0419123890112216</v>
      </c>
      <c r="C25" s="94">
        <f t="shared" ref="C25:D25" si="2">D73</f>
        <v>-4.0818532431212473E-2</v>
      </c>
      <c r="D25" s="94">
        <f t="shared" si="2"/>
        <v>0.77248383184656022</v>
      </c>
      <c r="E25" s="24"/>
      <c r="F25" s="28" t="s">
        <v>48</v>
      </c>
      <c r="G25" s="20"/>
      <c r="H25" s="30" t="s">
        <v>45</v>
      </c>
      <c r="P25" t="b">
        <f t="array" ref="P25">$D$16:$D$19=INT($D$16:$D$19)</f>
        <v>0</v>
      </c>
    </row>
    <row r="26" spans="1:16">
      <c r="A26" s="20"/>
      <c r="B26" s="94">
        <f t="shared" ref="B26:D26" si="3">C74</f>
        <v>-1.4028471761352286</v>
      </c>
      <c r="C26" s="94">
        <f t="shared" si="3"/>
        <v>0.814665459345566</v>
      </c>
      <c r="D26" s="94">
        <f t="shared" si="3"/>
        <v>0.7195871750303805</v>
      </c>
      <c r="E26" s="27" t="s">
        <v>63</v>
      </c>
      <c r="F26" s="28" t="s">
        <v>47</v>
      </c>
      <c r="G26" s="61" t="s">
        <v>104</v>
      </c>
      <c r="H26" s="30" t="s">
        <v>43</v>
      </c>
      <c r="I26" s="62" t="s">
        <v>27</v>
      </c>
      <c r="J26">
        <v>0</v>
      </c>
      <c r="P26">
        <f>{100;100;0.001;0.05;FALSE;FALSE;FALSE;1;1;1;0.0001;FALSE}</f>
        <v>100</v>
      </c>
    </row>
    <row r="27" spans="1:16">
      <c r="A27" s="20"/>
      <c r="B27" s="94">
        <f t="shared" ref="B27:D27" si="4">C75</f>
        <v>1.4421025939282253</v>
      </c>
      <c r="C27" s="94">
        <f t="shared" si="4"/>
        <v>1.0431877148697888</v>
      </c>
      <c r="D27" s="94">
        <f t="shared" si="4"/>
        <v>0.78932433807079116</v>
      </c>
      <c r="E27" s="24"/>
      <c r="F27" s="28" t="s">
        <v>52</v>
      </c>
      <c r="G27" s="20"/>
      <c r="H27" s="30" t="s">
        <v>42</v>
      </c>
    </row>
    <row r="28" spans="1:16">
      <c r="D28" s="2"/>
      <c r="E28" s="2"/>
      <c r="F28" s="2"/>
      <c r="G28" s="2"/>
      <c r="H28" s="2"/>
    </row>
    <row r="29" spans="1:16">
      <c r="D29" s="2"/>
      <c r="E29" s="2"/>
      <c r="F29" s="2"/>
      <c r="G29" s="2"/>
      <c r="H29" s="2"/>
    </row>
    <row r="30" spans="1:16">
      <c r="D30" s="12">
        <v>1</v>
      </c>
      <c r="E30" s="83">
        <v>2</v>
      </c>
      <c r="F30" s="83">
        <v>3</v>
      </c>
      <c r="G30" s="83">
        <v>4</v>
      </c>
      <c r="H30" s="83">
        <v>5</v>
      </c>
      <c r="I30" s="83">
        <v>6</v>
      </c>
      <c r="J30" s="83">
        <v>7</v>
      </c>
      <c r="K30" s="83">
        <v>8</v>
      </c>
    </row>
    <row r="31" spans="1:16">
      <c r="B31" t="s">
        <v>92</v>
      </c>
      <c r="D31" s="38">
        <f>INDEX(MMULT($B$25:$D$27,D$20:D$22),ROW($A1))</f>
        <v>0.49986857050880895</v>
      </c>
      <c r="E31" s="85">
        <f t="shared" ref="D31:K33" si="5">INDEX(MMULT($B$25:$D$27,E$20:E$22),ROW($A1))</f>
        <v>-0.46613786659613721</v>
      </c>
      <c r="F31" s="85">
        <f t="shared" si="5"/>
        <v>0.68501250632584665</v>
      </c>
      <c r="G31" s="85">
        <f t="shared" si="5"/>
        <v>0.44023675292463588</v>
      </c>
      <c r="H31" s="85">
        <f t="shared" si="5"/>
        <v>0.77655221228977567</v>
      </c>
      <c r="I31" s="85">
        <f t="shared" si="5"/>
        <v>-0.76474337943000381</v>
      </c>
      <c r="J31" s="85">
        <f t="shared" si="5"/>
        <v>-0.18373655926605126</v>
      </c>
      <c r="K31" s="85">
        <f t="shared" si="5"/>
        <v>-8.9335879036617633E-2</v>
      </c>
      <c r="M31" s="31"/>
    </row>
    <row r="32" spans="1:16">
      <c r="B32" t="s">
        <v>93</v>
      </c>
      <c r="D32" s="38">
        <f>INDEX(MMULT($B$25:$D$27,D$20:D$22),ROW($A2))</f>
        <v>1.2326113599453707</v>
      </c>
      <c r="E32" s="85">
        <f t="shared" si="5"/>
        <v>-0.41247048840218858</v>
      </c>
      <c r="F32" s="85">
        <f t="shared" si="5"/>
        <v>0.62683343056361729</v>
      </c>
      <c r="G32" s="85">
        <f t="shared" si="5"/>
        <v>0.44861056023021684</v>
      </c>
      <c r="H32" s="85">
        <f t="shared" si="5"/>
        <v>-1.7374890405616257</v>
      </c>
      <c r="I32" s="85">
        <f t="shared" si="5"/>
        <v>0.85159074406752489</v>
      </c>
      <c r="J32" s="85">
        <f t="shared" si="5"/>
        <v>-0.47061926565100198</v>
      </c>
      <c r="K32" s="85">
        <f t="shared" si="5"/>
        <v>-1.3604154940728003E-2</v>
      </c>
      <c r="M32" s="31"/>
    </row>
    <row r="33" spans="1:16">
      <c r="B33" t="s">
        <v>94</v>
      </c>
      <c r="D33" s="38">
        <f>INDEX(MMULT($B$25:$D$27,D$20:D$22),ROW($A3))</f>
        <v>1.5533453919793576</v>
      </c>
      <c r="E33" s="85">
        <f t="shared" si="5"/>
        <v>-0.80885242643710198</v>
      </c>
      <c r="F33" s="85">
        <f t="shared" si="5"/>
        <v>1.172471505140634</v>
      </c>
      <c r="G33" s="85">
        <f t="shared" si="5"/>
        <v>0.52505006210661187</v>
      </c>
      <c r="H33" s="85">
        <f t="shared" si="5"/>
        <v>0.52236400665789273</v>
      </c>
      <c r="I33" s="85">
        <f t="shared" si="5"/>
        <v>-0.97078881951120377</v>
      </c>
      <c r="J33" s="85">
        <f t="shared" si="5"/>
        <v>-0.65856873965755858</v>
      </c>
      <c r="K33" s="85">
        <f t="shared" si="5"/>
        <v>-3.7723140187928418E-2</v>
      </c>
      <c r="M33" s="31"/>
    </row>
    <row r="34" spans="1:16">
      <c r="B34" t="s">
        <v>95</v>
      </c>
      <c r="D34" s="41">
        <f>(D$44-D$31)^2+(D$45-D$32)^2+(D$46-D$33)^2</f>
        <v>3.3944403044904912E-13</v>
      </c>
      <c r="E34" s="86">
        <f t="shared" ref="D34:K34" si="6">(E$31-E$44)^2+(E$32-E$45)^2+(E$33-E$46)^2</f>
        <v>8.4825081727245859</v>
      </c>
      <c r="F34" s="86">
        <f t="shared" si="6"/>
        <v>0.48229205913702528</v>
      </c>
      <c r="G34" s="86">
        <f t="shared" si="6"/>
        <v>1.2936573981552133</v>
      </c>
      <c r="H34" s="86">
        <f t="shared" si="6"/>
        <v>8.7693708865978532</v>
      </c>
      <c r="I34" s="86">
        <f t="shared" si="6"/>
        <v>8.0077488922398281</v>
      </c>
      <c r="J34" s="86">
        <f t="shared" si="6"/>
        <v>6.7119834938111538</v>
      </c>
      <c r="K34" s="86">
        <f t="shared" si="6"/>
        <v>3.8005927165349451</v>
      </c>
    </row>
    <row r="35" spans="1:16">
      <c r="D35" s="41">
        <f t="shared" ref="D35:K35" si="7">(D$31-D$44)+(D$32-D$45)+(D$33-D$46)</f>
        <v>-6.0134444218595817E-7</v>
      </c>
      <c r="E35" s="86">
        <f t="shared" si="7"/>
        <v>-5.0268435510397298</v>
      </c>
      <c r="F35" s="86">
        <f t="shared" si="7"/>
        <v>-0.91141616945355586</v>
      </c>
      <c r="G35" s="86">
        <f t="shared" si="7"/>
        <v>-1.9640750510379421</v>
      </c>
      <c r="H35" s="86">
        <f t="shared" si="7"/>
        <v>-3.8516069754336173</v>
      </c>
      <c r="I35" s="86">
        <f t="shared" si="7"/>
        <v>-4.2605412377728351</v>
      </c>
      <c r="J35" s="86">
        <f t="shared" si="7"/>
        <v>-4.4511711904652209</v>
      </c>
      <c r="K35" s="86">
        <f t="shared" si="7"/>
        <v>-3.3747678799071883</v>
      </c>
    </row>
    <row r="36" spans="1:16">
      <c r="D36" s="31"/>
      <c r="E36" s="31"/>
      <c r="F36" s="2"/>
      <c r="G36" s="2"/>
      <c r="H36" s="2"/>
    </row>
    <row r="37" spans="1:16">
      <c r="D37" s="31"/>
      <c r="E37" s="31"/>
      <c r="F37" s="2"/>
      <c r="G37" s="2"/>
      <c r="H37" s="2"/>
    </row>
    <row r="38" spans="1:16" ht="14.25" customHeight="1">
      <c r="B38" s="57" t="s">
        <v>87</v>
      </c>
      <c r="C38" s="58"/>
      <c r="D38" s="95">
        <f>A_1*($D$16^2-D17^2)</f>
        <v>1.688218979842988E-3</v>
      </c>
      <c r="E38" s="59">
        <f t="shared" ref="D38:K40" si="8">A_1*(E$16^2-E17^2)</f>
        <v>-1.2738824108991303E-3</v>
      </c>
      <c r="F38" s="59">
        <f t="shared" si="8"/>
        <v>-5.6266043118317639E-3</v>
      </c>
      <c r="G38" s="59">
        <f t="shared" si="8"/>
        <v>-2.0603659738145587E-3</v>
      </c>
      <c r="H38" s="59">
        <f t="shared" si="8"/>
        <v>-2.0367167726418047E-3</v>
      </c>
      <c r="I38" s="59">
        <f t="shared" si="8"/>
        <v>-1.5470997696558767E-3</v>
      </c>
      <c r="J38" s="59">
        <f t="shared" si="8"/>
        <v>6.4573149834864655E-3</v>
      </c>
      <c r="K38" s="59">
        <f t="shared" si="8"/>
        <v>3.9125594545225302E-3</v>
      </c>
      <c r="L38" s="77" t="s">
        <v>96</v>
      </c>
    </row>
    <row r="39" spans="1:16" ht="14.25" customHeight="1">
      <c r="B39" s="57" t="s">
        <v>88</v>
      </c>
      <c r="C39" s="58"/>
      <c r="D39" s="95">
        <f>A_1*($D$16^2-D18^2)</f>
        <v>1.688218979842988E-3</v>
      </c>
      <c r="E39" s="59">
        <f t="shared" si="8"/>
        <v>-8.3105364773166854E-4</v>
      </c>
      <c r="F39" s="59">
        <f t="shared" si="8"/>
        <v>4.8489904601905145E-5</v>
      </c>
      <c r="G39" s="59">
        <f t="shared" si="8"/>
        <v>5.5622644864605818E-4</v>
      </c>
      <c r="H39" s="59">
        <f t="shared" si="8"/>
        <v>-3.6406009357978293E-3</v>
      </c>
      <c r="I39" s="59">
        <f t="shared" si="8"/>
        <v>3.6755526606819416E-4</v>
      </c>
      <c r="J39" s="59">
        <f t="shared" si="8"/>
        <v>8.9904093997263575E-3</v>
      </c>
      <c r="K39" s="59">
        <f t="shared" si="8"/>
        <v>5.7519203713529404E-3</v>
      </c>
      <c r="L39" s="77"/>
    </row>
    <row r="40" spans="1:16" ht="14.25" customHeight="1">
      <c r="B40" s="57" t="s">
        <v>89</v>
      </c>
      <c r="C40" s="58"/>
      <c r="D40" s="95">
        <f>A_1*($D$16^2-D19^2)</f>
        <v>1.688218979842988E-3</v>
      </c>
      <c r="E40" s="59">
        <f t="shared" si="8"/>
        <v>-1.2896393759446151E-2</v>
      </c>
      <c r="F40" s="59">
        <f t="shared" si="8"/>
        <v>-5.0737695758129031E-3</v>
      </c>
      <c r="G40" s="59">
        <f t="shared" si="8"/>
        <v>-3.3044495012336883E-3</v>
      </c>
      <c r="H40" s="59">
        <f t="shared" si="8"/>
        <v>1.2329373971584748E-4</v>
      </c>
      <c r="I40" s="59">
        <f t="shared" si="8"/>
        <v>-5.0427555888347027E-3</v>
      </c>
      <c r="J40" s="59">
        <f t="shared" si="8"/>
        <v>1.0903380373299632E-2</v>
      </c>
      <c r="K40" s="59">
        <f t="shared" si="8"/>
        <v>3.2414351450327505E-3</v>
      </c>
      <c r="L40" s="77"/>
    </row>
    <row r="41" spans="1:16">
      <c r="B41" s="57" t="s">
        <v>86</v>
      </c>
      <c r="C41" s="60"/>
      <c r="D41" s="95">
        <f>A_2*(THETA_0*$D$16-THETA_1*D17)</f>
        <v>-4.8746524195868619E-2</v>
      </c>
      <c r="E41" s="59">
        <f t="shared" ref="D41:K43" si="9">A_2*($H$11*E$16^2-$H8*E17^2)</f>
        <v>4.2052713175892353E-3</v>
      </c>
      <c r="F41" s="59">
        <f t="shared" si="9"/>
        <v>2.1231196988631164E-2</v>
      </c>
      <c r="G41" s="59">
        <f t="shared" si="9"/>
        <v>3.8444133705045117E-3</v>
      </c>
      <c r="H41" s="59">
        <f t="shared" si="9"/>
        <v>6.6617340255855648E-3</v>
      </c>
      <c r="I41" s="59">
        <f t="shared" si="9"/>
        <v>3.8397961159782334E-3</v>
      </c>
      <c r="J41" s="59">
        <f t="shared" si="9"/>
        <v>-8.881437730049857E-2</v>
      </c>
      <c r="K41" s="59">
        <f t="shared" si="9"/>
        <v>-5.2331943825657402E-2</v>
      </c>
      <c r="L41" s="77"/>
      <c r="O41" s="35"/>
      <c r="P41" s="35"/>
    </row>
    <row r="42" spans="1:16">
      <c r="B42" s="57" t="s">
        <v>91</v>
      </c>
      <c r="C42" s="60" t="s">
        <v>27</v>
      </c>
      <c r="D42" s="95">
        <f>A_2*(THETA_0*$D$16-THETA_2*D18)</f>
        <v>-4.8746524195868619E-2</v>
      </c>
      <c r="E42" s="59">
        <f t="shared" si="9"/>
        <v>9.5675682100039518E-5</v>
      </c>
      <c r="F42" s="59">
        <f t="shared" si="9"/>
        <v>-1.0363416562305437E-3</v>
      </c>
      <c r="G42" s="59">
        <f t="shared" si="9"/>
        <v>-6.7526242524336985E-3</v>
      </c>
      <c r="H42" s="59">
        <f t="shared" si="9"/>
        <v>3.3303085406939394E-3</v>
      </c>
      <c r="I42" s="59">
        <f t="shared" si="9"/>
        <v>-3.6385828102690793E-3</v>
      </c>
      <c r="J42" s="59">
        <f t="shared" si="9"/>
        <v>-0.10362706791178558</v>
      </c>
      <c r="K42" s="59">
        <f t="shared" si="9"/>
        <v>-6.110296520164267E-2</v>
      </c>
      <c r="L42" s="77"/>
      <c r="O42" s="35"/>
      <c r="P42" s="35"/>
    </row>
    <row r="43" spans="1:16">
      <c r="B43" s="57" t="s">
        <v>90</v>
      </c>
      <c r="C43" s="60"/>
      <c r="D43" s="95">
        <f>A_2*(THETA_0*$D$16-THETA_3*D19)</f>
        <v>-4.8746524195868619E-2</v>
      </c>
      <c r="E43" s="59">
        <f t="shared" si="9"/>
        <v>-6.1073268634846738E-2</v>
      </c>
      <c r="F43" s="59">
        <f t="shared" si="9"/>
        <v>-2.4965780923239887E-2</v>
      </c>
      <c r="G43" s="59">
        <f t="shared" si="9"/>
        <v>-2.5467194849797987E-2</v>
      </c>
      <c r="H43" s="59">
        <f t="shared" si="9"/>
        <v>-2.5602858354316633E-3</v>
      </c>
      <c r="I43" s="59">
        <f t="shared" si="9"/>
        <v>-2.8535551371670825E-2</v>
      </c>
      <c r="J43" s="59">
        <f t="shared" si="9"/>
        <v>-0.1068194547111551</v>
      </c>
      <c r="K43" s="59">
        <f t="shared" si="9"/>
        <v>-7.6522721259230153E-2</v>
      </c>
      <c r="L43" s="77"/>
      <c r="O43" s="35"/>
      <c r="P43" s="35"/>
    </row>
    <row r="44" spans="1:16">
      <c r="B44" t="s">
        <v>45</v>
      </c>
      <c r="C44" s="2"/>
      <c r="D44" s="56">
        <f>$D8+D38+D41-$G$8</f>
        <v>0.49986840386071579</v>
      </c>
      <c r="E44" s="87">
        <f t="shared" ref="E44:K44" si="10">$D$8+$G$8+E38+E41</f>
        <v>1.1399835292592022</v>
      </c>
      <c r="F44" s="87">
        <f t="shared" si="10"/>
        <v>1.1526567330293114</v>
      </c>
      <c r="G44" s="87">
        <f t="shared" si="10"/>
        <v>1.1388361877492019</v>
      </c>
      <c r="H44" s="87">
        <f t="shared" si="10"/>
        <v>1.1416771576054559</v>
      </c>
      <c r="I44" s="87">
        <f t="shared" si="10"/>
        <v>1.1393448366988344</v>
      </c>
      <c r="J44" s="87">
        <f t="shared" si="10"/>
        <v>1.0546950780355</v>
      </c>
      <c r="K44" s="87">
        <f t="shared" si="10"/>
        <v>1.0886327559813773</v>
      </c>
      <c r="O44" s="35"/>
    </row>
    <row r="45" spans="1:16">
      <c r="B45" t="s">
        <v>43</v>
      </c>
      <c r="D45" s="56">
        <f>$D9+D39+D42-$G$8</f>
        <v>1.2326118355008442</v>
      </c>
      <c r="E45" s="87">
        <f t="shared" ref="D45:K46" si="11">$D$8+$G$8+E39+E42</f>
        <v>1.1363167623868804</v>
      </c>
      <c r="F45" s="87">
        <f t="shared" si="11"/>
        <v>1.1360642886008834</v>
      </c>
      <c r="G45" s="87">
        <f t="shared" si="11"/>
        <v>1.1308557425487245</v>
      </c>
      <c r="H45" s="87">
        <f t="shared" si="11"/>
        <v>1.1367418479574081</v>
      </c>
      <c r="I45" s="87">
        <f t="shared" si="11"/>
        <v>1.1337811128083111</v>
      </c>
      <c r="J45" s="87">
        <f t="shared" si="11"/>
        <v>1.0424154818404527</v>
      </c>
      <c r="K45" s="87">
        <f t="shared" si="11"/>
        <v>1.0817010955222224</v>
      </c>
      <c r="O45" s="35"/>
    </row>
    <row r="46" spans="1:16">
      <c r="B46" t="s">
        <v>42</v>
      </c>
      <c r="C46" s="2"/>
      <c r="D46" s="56">
        <f>$D10+D40+D43-$G$8</f>
        <v>1.5533456844164195</v>
      </c>
      <c r="E46" s="87">
        <f t="shared" si="11"/>
        <v>1.0630824779582191</v>
      </c>
      <c r="F46" s="87">
        <f t="shared" si="11"/>
        <v>1.1070125898534591</v>
      </c>
      <c r="G46" s="87">
        <f t="shared" si="11"/>
        <v>1.1082804960014803</v>
      </c>
      <c r="H46" s="87">
        <f t="shared" si="11"/>
        <v>1.1346151482567961</v>
      </c>
      <c r="I46" s="87">
        <f t="shared" si="11"/>
        <v>1.1034738333920067</v>
      </c>
      <c r="J46" s="87">
        <f t="shared" si="11"/>
        <v>1.0411360660146565</v>
      </c>
      <c r="K46" s="87">
        <f t="shared" si="11"/>
        <v>1.0637708542383146</v>
      </c>
    </row>
    <row r="47" spans="1:16">
      <c r="C47" s="2"/>
      <c r="D47" s="2"/>
      <c r="E47" s="2"/>
      <c r="F47" s="2"/>
      <c r="G47" s="2"/>
      <c r="H47" s="2"/>
      <c r="I47" s="2"/>
      <c r="J47" s="2"/>
      <c r="K47" s="2"/>
    </row>
    <row r="48" spans="1:16">
      <c r="A48" s="76" t="s">
        <v>62</v>
      </c>
      <c r="B48" s="78"/>
      <c r="C48" s="78"/>
      <c r="D48" s="78"/>
      <c r="E48" s="78"/>
      <c r="F48" s="78"/>
      <c r="G48" s="78"/>
      <c r="H48" s="78"/>
      <c r="I48" s="78"/>
      <c r="J48" s="78"/>
      <c r="K48" s="78"/>
    </row>
    <row r="49" spans="1:11">
      <c r="B49" t="s">
        <v>53</v>
      </c>
      <c r="C49" s="2" t="s">
        <v>27</v>
      </c>
      <c r="D49" s="35">
        <v>0</v>
      </c>
      <c r="E49" s="2" t="s">
        <v>33</v>
      </c>
      <c r="F49" s="2"/>
      <c r="G49" s="2"/>
      <c r="H49" s="2"/>
      <c r="I49" s="2"/>
      <c r="J49" s="2"/>
      <c r="K49" s="2"/>
    </row>
    <row r="50" spans="1:11">
      <c r="B50" t="s">
        <v>54</v>
      </c>
      <c r="C50" s="2" t="s">
        <v>27</v>
      </c>
      <c r="D50" s="35">
        <v>0</v>
      </c>
      <c r="E50" s="2" t="s">
        <v>33</v>
      </c>
      <c r="F50" s="2"/>
      <c r="G50" s="2"/>
      <c r="H50" s="2"/>
      <c r="I50" s="2"/>
      <c r="J50" s="2"/>
      <c r="K50" s="2"/>
    </row>
    <row r="51" spans="1:11">
      <c r="B51" t="s">
        <v>55</v>
      </c>
      <c r="C51" s="2" t="s">
        <v>27</v>
      </c>
      <c r="D51" s="35">
        <v>0</v>
      </c>
      <c r="E51" s="2" t="s">
        <v>33</v>
      </c>
      <c r="F51" s="2"/>
      <c r="G51" s="2"/>
      <c r="H51" s="2"/>
      <c r="I51" s="2"/>
      <c r="J51" s="2"/>
      <c r="K51" s="2"/>
    </row>
    <row r="52" spans="1:11">
      <c r="C52" s="2"/>
      <c r="D52" s="2"/>
      <c r="E52" s="2"/>
      <c r="F52" s="2"/>
      <c r="G52" s="2"/>
      <c r="H52" s="2"/>
      <c r="I52" s="2"/>
      <c r="J52" s="2"/>
      <c r="K52" s="2"/>
    </row>
    <row r="53" spans="1:11">
      <c r="A53" s="76" t="s">
        <v>64</v>
      </c>
      <c r="B53" s="78"/>
      <c r="C53" s="78"/>
      <c r="D53" s="78"/>
      <c r="E53" s="78"/>
      <c r="F53" s="78"/>
      <c r="G53" s="78"/>
      <c r="H53" s="78"/>
      <c r="I53" s="78"/>
      <c r="J53" s="78"/>
      <c r="K53" s="78"/>
    </row>
    <row r="54" spans="1:11">
      <c r="A54" s="23"/>
      <c r="B54" s="21"/>
      <c r="C54" s="21"/>
      <c r="D54" s="12">
        <v>1</v>
      </c>
      <c r="E54" s="83">
        <v>2</v>
      </c>
      <c r="F54" s="83">
        <v>3</v>
      </c>
      <c r="G54" s="83">
        <v>4</v>
      </c>
      <c r="H54" s="83">
        <v>5</v>
      </c>
      <c r="I54" s="83">
        <v>6</v>
      </c>
      <c r="J54" s="83">
        <v>7</v>
      </c>
      <c r="K54" s="83">
        <v>8</v>
      </c>
    </row>
    <row r="55" spans="1:11">
      <c r="B55" s="26" t="s">
        <v>59</v>
      </c>
      <c r="C55" s="26" t="s">
        <v>27</v>
      </c>
      <c r="D55" s="32">
        <f>D20+$D49</f>
        <v>1.9646380832332878E-2</v>
      </c>
      <c r="E55" s="88">
        <f t="shared" ref="E55:K55" si="12">E20+$D$49</f>
        <v>-0.10603450214582377</v>
      </c>
      <c r="F55" s="88">
        <f t="shared" si="12"/>
        <v>0.14331316621447576</v>
      </c>
      <c r="G55" s="88">
        <f t="shared" si="12"/>
        <v>7.7141449428672626E-3</v>
      </c>
      <c r="H55" s="88">
        <f t="shared" si="12"/>
        <v>0.84183401653698287</v>
      </c>
      <c r="I55" s="88">
        <f t="shared" si="12"/>
        <v>-0.64147819789622496</v>
      </c>
      <c r="J55" s="88">
        <f t="shared" si="12"/>
        <v>-2.6436636559469484E-2</v>
      </c>
      <c r="K55" s="88">
        <f t="shared" si="12"/>
        <v>-1.0305960682470916E-2</v>
      </c>
    </row>
    <row r="56" spans="1:11">
      <c r="B56" s="26" t="s">
        <v>60</v>
      </c>
      <c r="C56" s="26" t="s">
        <v>27</v>
      </c>
      <c r="D56" s="32">
        <f>D21+$D50</f>
        <v>0.95415902672697173</v>
      </c>
      <c r="E56" s="88">
        <f t="shared" ref="D56:K57" si="13">E21+$D$49</f>
        <v>-0.26963600672495058</v>
      </c>
      <c r="F56" s="88">
        <f t="shared" si="13"/>
        <v>0.3856849692485721</v>
      </c>
      <c r="G56" s="88">
        <f t="shared" si="13"/>
        <v>6.6646048457388307E-2</v>
      </c>
      <c r="H56" s="88">
        <f t="shared" si="13"/>
        <v>-0.54280733632221545</v>
      </c>
      <c r="I56" s="88">
        <f t="shared" si="13"/>
        <v>4.8639647915487139E-2</v>
      </c>
      <c r="J56" s="88">
        <f t="shared" si="13"/>
        <v>-0.42478485919807984</v>
      </c>
      <c r="K56" s="88">
        <f t="shared" si="13"/>
        <v>5.2954891334215048E-2</v>
      </c>
    </row>
    <row r="57" spans="1:11">
      <c r="B57" s="26" t="s">
        <v>61</v>
      </c>
      <c r="C57" s="26" t="s">
        <v>27</v>
      </c>
      <c r="D57" s="32">
        <f t="shared" ref="D56:D57" si="14">D22+$D51</f>
        <v>0.6710122758922904</v>
      </c>
      <c r="E57" s="88">
        <f t="shared" si="13"/>
        <v>-0.47465763827885898</v>
      </c>
      <c r="F57" s="88">
        <f t="shared" si="13"/>
        <v>0.71384773975903304</v>
      </c>
      <c r="G57" s="88">
        <f t="shared" si="13"/>
        <v>0.56301461040131273</v>
      </c>
      <c r="H57" s="88">
        <f t="shared" si="13"/>
        <v>-0.15886633847001885</v>
      </c>
      <c r="I57" s="88">
        <f t="shared" si="13"/>
        <v>-0.12219530665103107</v>
      </c>
      <c r="J57" s="88">
        <f t="shared" si="13"/>
        <v>-0.2246402934383831</v>
      </c>
      <c r="K57" s="88">
        <f t="shared" si="13"/>
        <v>-9.8948905880472005E-2</v>
      </c>
    </row>
    <row r="58" spans="1:11">
      <c r="B58" s="2"/>
      <c r="C58" s="2"/>
      <c r="D58" s="2"/>
      <c r="E58" s="2"/>
      <c r="F58" s="2"/>
      <c r="G58" s="2"/>
      <c r="H58" s="2"/>
      <c r="I58" s="2"/>
      <c r="J58" s="2"/>
      <c r="K58" s="2"/>
    </row>
    <row r="59" spans="1:11">
      <c r="A59" s="76" t="s">
        <v>67</v>
      </c>
      <c r="B59" s="76"/>
      <c r="C59" s="76"/>
      <c r="D59" s="76"/>
      <c r="E59" s="76"/>
      <c r="F59" s="76"/>
      <c r="G59" s="76"/>
      <c r="H59" s="76"/>
      <c r="I59" s="76"/>
      <c r="J59" s="76"/>
      <c r="K59" s="76"/>
    </row>
    <row r="60" spans="1:11">
      <c r="B60" s="21"/>
      <c r="C60" s="21"/>
      <c r="D60" s="12">
        <v>1</v>
      </c>
      <c r="E60" s="83">
        <v>2</v>
      </c>
      <c r="F60" s="83">
        <v>3</v>
      </c>
      <c r="G60" s="83">
        <v>4</v>
      </c>
      <c r="H60" s="83">
        <v>5</v>
      </c>
      <c r="I60" s="83">
        <v>6</v>
      </c>
      <c r="J60" s="83">
        <v>7</v>
      </c>
      <c r="K60" s="83">
        <v>8</v>
      </c>
    </row>
    <row r="61" spans="1:11">
      <c r="B61" s="73" t="s">
        <v>71</v>
      </c>
      <c r="C61" s="73"/>
      <c r="D61" s="39">
        <v>1.155</v>
      </c>
      <c r="E61" s="89">
        <f>Messaufbau_Messdaten!K30</f>
        <v>1.8940000000000001</v>
      </c>
      <c r="F61" s="89">
        <f>Messaufbau_Messdaten!L30</f>
        <v>2.3340000000000001</v>
      </c>
      <c r="G61" s="89">
        <f>Messaufbau_Messdaten!M30</f>
        <v>1.661</v>
      </c>
      <c r="H61" s="89">
        <f>Messaufbau_Messdaten!N30</f>
        <v>2.399</v>
      </c>
      <c r="I61" s="89">
        <f>Messaufbau_Messdaten!O30</f>
        <v>1.851</v>
      </c>
      <c r="J61" s="89">
        <f>Messaufbau_Messdaten!P30</f>
        <v>2.0550000000000002</v>
      </c>
      <c r="K61" s="89">
        <f>Messaufbau_Messdaten!Q30</f>
        <v>1.5740000000000001</v>
      </c>
    </row>
    <row r="62" spans="1:11">
      <c r="B62" s="74" t="s">
        <v>70</v>
      </c>
      <c r="C62" s="74"/>
      <c r="D62" s="36">
        <f>SQRT(D55^2+D56^2+D57^2)</f>
        <v>1.166646005848613</v>
      </c>
      <c r="E62" s="90">
        <f t="shared" ref="E62:K62" si="15">SQRT(E55^2+E56^2+E57^2)</f>
        <v>0.55609960020157767</v>
      </c>
      <c r="F62" s="90">
        <f t="shared" si="15"/>
        <v>0.82393577096383552</v>
      </c>
      <c r="G62" s="90">
        <f t="shared" si="15"/>
        <v>0.56699793238822849</v>
      </c>
      <c r="H62" s="90">
        <f t="shared" si="15"/>
        <v>1.0141808661490703</v>
      </c>
      <c r="I62" s="90">
        <f t="shared" si="15"/>
        <v>0.65482195037511559</v>
      </c>
      <c r="J62" s="90">
        <f t="shared" si="15"/>
        <v>0.48125287925641846</v>
      </c>
      <c r="K62" s="90">
        <f t="shared" si="15"/>
        <v>0.1127001300653627</v>
      </c>
    </row>
    <row r="63" spans="1:11">
      <c r="B63" s="74" t="s">
        <v>69</v>
      </c>
      <c r="C63" s="74"/>
      <c r="D63" s="36">
        <f>D62-D61</f>
        <v>1.1646005848612972E-2</v>
      </c>
      <c r="E63" s="90">
        <f t="shared" ref="E63:K63" si="16">E62-E61</f>
        <v>-1.3379003997984225</v>
      </c>
      <c r="F63" s="90">
        <f t="shared" si="16"/>
        <v>-1.5100642290361646</v>
      </c>
      <c r="G63" s="90">
        <f t="shared" si="16"/>
        <v>-1.0940020676117714</v>
      </c>
      <c r="H63" s="90">
        <f t="shared" si="16"/>
        <v>-1.3848191338509297</v>
      </c>
      <c r="I63" s="90">
        <f t="shared" si="16"/>
        <v>-1.1961780496248844</v>
      </c>
      <c r="J63" s="90">
        <f t="shared" si="16"/>
        <v>-1.5737471207435818</v>
      </c>
      <c r="K63" s="90">
        <f t="shared" si="16"/>
        <v>-1.4612998699346373</v>
      </c>
    </row>
    <row r="64" spans="1:11">
      <c r="B64" s="75" t="s">
        <v>68</v>
      </c>
      <c r="C64" s="75"/>
      <c r="D64" s="40">
        <f>1-D61/D62</f>
        <v>9.9824675096210624E-3</v>
      </c>
      <c r="E64" s="91">
        <f t="shared" ref="E64:K64" si="17">1-E61/E62</f>
        <v>-2.405864703577298</v>
      </c>
      <c r="F64" s="91">
        <f t="shared" si="17"/>
        <v>-1.8327450782598014</v>
      </c>
      <c r="G64" s="91">
        <f t="shared" si="17"/>
        <v>-1.9294639453159395</v>
      </c>
      <c r="H64" s="91">
        <f t="shared" si="17"/>
        <v>-1.3654557880875862</v>
      </c>
      <c r="I64" s="91">
        <f t="shared" si="17"/>
        <v>-1.8267225906823255</v>
      </c>
      <c r="J64" s="91">
        <f t="shared" si="17"/>
        <v>-3.2701043226487725</v>
      </c>
      <c r="K64" s="91">
        <f t="shared" si="17"/>
        <v>-12.966266046783861</v>
      </c>
    </row>
    <row r="65" spans="1:19">
      <c r="D65">
        <f>D63*D63</f>
        <v>1.3562945222592756E-4</v>
      </c>
      <c r="E65" s="92">
        <f t="shared" ref="E65:K65" si="18">E63*E63</f>
        <v>1.7899774797807786</v>
      </c>
      <c r="F65" s="92">
        <f t="shared" si="18"/>
        <v>2.2802939758145859</v>
      </c>
      <c r="G65" s="92">
        <f t="shared" si="18"/>
        <v>1.1968405239388309</v>
      </c>
      <c r="H65" s="92">
        <f t="shared" si="18"/>
        <v>1.917724033479639</v>
      </c>
      <c r="I65" s="92">
        <f t="shared" si="18"/>
        <v>1.4308419264043923</v>
      </c>
      <c r="J65" s="92">
        <f t="shared" si="18"/>
        <v>2.4766800000487139</v>
      </c>
      <c r="K65" s="92">
        <f t="shared" si="18"/>
        <v>2.1353973098709882</v>
      </c>
    </row>
    <row r="68" spans="1:19">
      <c r="C68">
        <v>1</v>
      </c>
      <c r="D68">
        <v>2</v>
      </c>
      <c r="E68">
        <v>3</v>
      </c>
      <c r="F68">
        <v>4</v>
      </c>
      <c r="G68">
        <v>5</v>
      </c>
      <c r="H68">
        <v>6</v>
      </c>
      <c r="I68">
        <v>7</v>
      </c>
      <c r="J68">
        <v>8</v>
      </c>
      <c r="L68" s="16">
        <v>1</v>
      </c>
      <c r="M68" s="16">
        <v>2</v>
      </c>
      <c r="N68" s="16">
        <v>3</v>
      </c>
      <c r="O68" s="16">
        <v>4</v>
      </c>
      <c r="P68" s="16">
        <v>5</v>
      </c>
      <c r="Q68" s="16">
        <v>6</v>
      </c>
      <c r="R68" s="16">
        <v>7</v>
      </c>
      <c r="S68" s="16">
        <v>8</v>
      </c>
    </row>
    <row r="69" spans="1:19">
      <c r="A69" t="s">
        <v>114</v>
      </c>
      <c r="B69" t="s">
        <v>27</v>
      </c>
      <c r="C69" s="35">
        <v>0.47920829337661575</v>
      </c>
      <c r="D69" s="35">
        <v>-0.77466733619029227</v>
      </c>
      <c r="E69" s="35">
        <v>1.5211206823878374</v>
      </c>
      <c r="F69" s="35">
        <v>-0.92363888275861272</v>
      </c>
      <c r="G69" s="35">
        <v>1.921310887304841</v>
      </c>
      <c r="H69" s="35">
        <v>-0.55595022326781851</v>
      </c>
      <c r="I69" s="35">
        <v>1.0628801501210983</v>
      </c>
      <c r="J69" s="35">
        <v>0.45375044784821961</v>
      </c>
      <c r="L69" s="35">
        <v>0</v>
      </c>
      <c r="M69" s="35">
        <f>D69-$C69</f>
        <v>-1.253875629566908</v>
      </c>
      <c r="N69" s="35">
        <f t="shared" ref="N69:S71" si="19">E69-$C69</f>
        <v>1.0419123890112216</v>
      </c>
      <c r="O69" s="35">
        <f t="shared" si="19"/>
        <v>-1.4028471761352286</v>
      </c>
      <c r="P69" s="35">
        <f t="shared" si="19"/>
        <v>1.4421025939282253</v>
      </c>
      <c r="Q69" s="35">
        <f t="shared" si="19"/>
        <v>-1.0351585166444344</v>
      </c>
      <c r="R69" s="35">
        <f t="shared" si="19"/>
        <v>0.58367185674448252</v>
      </c>
      <c r="S69" s="35">
        <f t="shared" si="19"/>
        <v>-2.5457845528396139E-2</v>
      </c>
    </row>
    <row r="70" spans="1:19">
      <c r="A70" t="s">
        <v>116</v>
      </c>
      <c r="B70" t="s">
        <v>27</v>
      </c>
      <c r="C70" s="35">
        <v>-1.0120183213662168</v>
      </c>
      <c r="D70" s="35">
        <v>-1.0446104874939868</v>
      </c>
      <c r="E70" s="35">
        <v>-1.0528368537974293</v>
      </c>
      <c r="F70" s="35">
        <v>-0.1973528620206508</v>
      </c>
      <c r="G70" s="35">
        <v>3.1169393503572059E-2</v>
      </c>
      <c r="H70" s="35">
        <v>1.0917266627558933</v>
      </c>
      <c r="I70" s="35">
        <v>1.0721321685048839</v>
      </c>
      <c r="J70" s="35">
        <v>1.354747525895555</v>
      </c>
      <c r="L70" s="35">
        <v>0</v>
      </c>
      <c r="M70" s="35">
        <f t="shared" ref="M70:M71" si="20">D70-$C70</f>
        <v>-3.2592166127769939E-2</v>
      </c>
      <c r="N70" s="35">
        <f t="shared" si="19"/>
        <v>-4.0818532431212473E-2</v>
      </c>
      <c r="O70" s="35">
        <f t="shared" si="19"/>
        <v>0.814665459345566</v>
      </c>
      <c r="P70" s="35">
        <f t="shared" si="19"/>
        <v>1.0431877148697888</v>
      </c>
      <c r="Q70" s="35">
        <f t="shared" si="19"/>
        <v>2.1037449841221099</v>
      </c>
      <c r="R70" s="35">
        <f t="shared" si="19"/>
        <v>2.0841504898711007</v>
      </c>
      <c r="S70" s="35">
        <f t="shared" si="19"/>
        <v>2.3667658472617719</v>
      </c>
    </row>
    <row r="71" spans="1:19">
      <c r="A71" t="s">
        <v>117</v>
      </c>
      <c r="B71" t="s">
        <v>27</v>
      </c>
      <c r="C71" s="35">
        <v>0.60667574649490386</v>
      </c>
      <c r="D71" s="35">
        <v>1.3460223603321362</v>
      </c>
      <c r="E71" s="35">
        <v>1.3791595783414641</v>
      </c>
      <c r="F71" s="35">
        <v>1.3262629215252844</v>
      </c>
      <c r="G71" s="35">
        <v>1.396000084565695</v>
      </c>
      <c r="H71" s="35">
        <v>1.4358127591862397</v>
      </c>
      <c r="I71" s="35">
        <v>1.3583899668915187</v>
      </c>
      <c r="J71" s="35">
        <v>0.67035999999957208</v>
      </c>
      <c r="L71" s="35">
        <v>0</v>
      </c>
      <c r="M71" s="35">
        <f t="shared" si="20"/>
        <v>0.73934661383723232</v>
      </c>
      <c r="N71" s="35">
        <f t="shared" si="19"/>
        <v>0.77248383184656022</v>
      </c>
      <c r="O71" s="35">
        <f t="shared" si="19"/>
        <v>0.7195871750303805</v>
      </c>
      <c r="P71" s="35">
        <f t="shared" si="19"/>
        <v>0.78932433807079116</v>
      </c>
      <c r="Q71" s="35">
        <f t="shared" si="19"/>
        <v>0.82913701269133588</v>
      </c>
      <c r="R71" s="35">
        <f t="shared" si="19"/>
        <v>0.75171422039661484</v>
      </c>
      <c r="S71" s="35">
        <f t="shared" si="19"/>
        <v>6.368425350466822E-2</v>
      </c>
    </row>
    <row r="73" spans="1:19">
      <c r="C73" s="94">
        <f>$E$69-$C$69</f>
        <v>1.0419123890112216</v>
      </c>
      <c r="D73" s="94">
        <f>$E$70-$C$70</f>
        <v>-4.0818532431212473E-2</v>
      </c>
      <c r="E73" s="94">
        <f>$E$71-$C$71</f>
        <v>0.77248383184656022</v>
      </c>
      <c r="H73" s="94"/>
      <c r="I73" s="94"/>
      <c r="J73" s="94"/>
      <c r="K73" t="s">
        <v>129</v>
      </c>
      <c r="L73" s="35">
        <f>SQRT(L69^2+L70^2+L71^2)</f>
        <v>0</v>
      </c>
      <c r="M73" s="35">
        <f>SQRT(M69^2+M70^2+M71^2)</f>
        <v>1.4559875545853034</v>
      </c>
      <c r="N73" s="35">
        <f t="shared" ref="N73:S73" si="21">SQRT(N69^2+N70^2+N71^2)</f>
        <v>1.2976821064610753</v>
      </c>
      <c r="O73" s="35">
        <f t="shared" si="21"/>
        <v>1.7746734101545305</v>
      </c>
      <c r="P73" s="35">
        <f t="shared" si="21"/>
        <v>1.9470319490292554</v>
      </c>
      <c r="Q73" s="35">
        <f t="shared" si="21"/>
        <v>2.4869186353025614</v>
      </c>
      <c r="R73" s="35">
        <f t="shared" si="21"/>
        <v>2.2911635406343196</v>
      </c>
      <c r="S73" s="35">
        <f t="shared" si="21"/>
        <v>2.3677593547081863</v>
      </c>
    </row>
    <row r="74" spans="1:19">
      <c r="A74" t="s">
        <v>108</v>
      </c>
      <c r="B74" t="s">
        <v>27</v>
      </c>
      <c r="C74" s="94">
        <f>$F$69-$C$69</f>
        <v>-1.4028471761352286</v>
      </c>
      <c r="D74" s="94">
        <f>$F$70-$C$70</f>
        <v>0.814665459345566</v>
      </c>
      <c r="E74" s="94">
        <f>$F$71-$C$71</f>
        <v>0.7195871750303805</v>
      </c>
      <c r="H74" s="94"/>
      <c r="I74" s="94"/>
      <c r="J74" s="94"/>
    </row>
    <row r="75" spans="1:19">
      <c r="C75" s="94">
        <f>$G$69-$C$69</f>
        <v>1.4421025939282253</v>
      </c>
      <c r="D75" s="94">
        <f>$G$70-$C$70</f>
        <v>1.0431877148697888</v>
      </c>
      <c r="E75" s="94">
        <f>$G$71-$C$71</f>
        <v>0.78932433807079116</v>
      </c>
      <c r="H75" s="94"/>
      <c r="I75" s="94"/>
      <c r="J75" s="94"/>
      <c r="L75" s="35"/>
      <c r="M75" s="35"/>
      <c r="N75" s="35"/>
      <c r="O75" s="35"/>
      <c r="P75" s="35"/>
      <c r="Q75" s="35"/>
      <c r="R75" s="35"/>
      <c r="S75" s="35"/>
    </row>
    <row r="76" spans="1:19">
      <c r="L76" s="35"/>
      <c r="M76" s="35"/>
      <c r="N76" s="35"/>
      <c r="O76" s="35"/>
      <c r="P76" s="35"/>
      <c r="Q76" s="35"/>
      <c r="R76" s="35"/>
      <c r="S76" s="35"/>
    </row>
    <row r="77" spans="1:19">
      <c r="L77" s="35"/>
      <c r="M77" s="35"/>
      <c r="N77" s="35"/>
      <c r="O77" s="35"/>
      <c r="P77" s="35"/>
      <c r="Q77" s="35"/>
      <c r="R77" s="35"/>
      <c r="S77" s="35"/>
    </row>
    <row r="79" spans="1:19">
      <c r="L79" s="35"/>
      <c r="M79" s="35"/>
      <c r="N79" s="35"/>
      <c r="O79" s="35"/>
      <c r="P79" s="35"/>
      <c r="Q79" s="35"/>
      <c r="R79" s="35"/>
      <c r="S79" s="35"/>
    </row>
  </sheetData>
  <mergeCells count="11">
    <mergeCell ref="L38:L43"/>
    <mergeCell ref="L16:L22"/>
    <mergeCell ref="A24:K24"/>
    <mergeCell ref="A48:K48"/>
    <mergeCell ref="A53:K53"/>
    <mergeCell ref="B61:C61"/>
    <mergeCell ref="B62:C62"/>
    <mergeCell ref="B63:C63"/>
    <mergeCell ref="B64:C64"/>
    <mergeCell ref="A2:K2"/>
    <mergeCell ref="A59:K59"/>
  </mergeCells>
  <pageMargins left="0.7" right="0.7" top="0.78740157499999996" bottom="0.78740157499999996" header="0.3" footer="0.3"/>
  <pageSetup paperSize="9" orientation="landscape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3"/>
  <dimension ref="A2:ID43"/>
  <sheetViews>
    <sheetView topLeftCell="A16" zoomScale="115" zoomScaleNormal="115" workbookViewId="0">
      <selection activeCell="E44" sqref="E44"/>
    </sheetView>
  </sheetViews>
  <sheetFormatPr baseColWidth="10" defaultRowHeight="15"/>
  <sheetData>
    <row r="2" spans="1:14">
      <c r="A2" s="76" t="s">
        <v>109</v>
      </c>
      <c r="B2" s="78"/>
      <c r="C2" s="78"/>
      <c r="D2" s="78"/>
      <c r="E2" s="78"/>
      <c r="F2" s="78"/>
      <c r="G2" s="78"/>
      <c r="H2" s="78"/>
      <c r="I2" s="78"/>
      <c r="J2" s="78"/>
      <c r="K2" s="78"/>
    </row>
    <row r="3" spans="1:14">
      <c r="A3" s="20"/>
      <c r="B3" s="29">
        <v>0.77</v>
      </c>
      <c r="C3" s="29">
        <v>0</v>
      </c>
      <c r="D3" s="22">
        <v>0</v>
      </c>
      <c r="E3" s="24"/>
      <c r="F3" s="28" t="s">
        <v>48</v>
      </c>
      <c r="G3" s="20"/>
      <c r="H3" s="30" t="s">
        <v>45</v>
      </c>
    </row>
    <row r="4" spans="1:14">
      <c r="A4" s="20"/>
      <c r="B4" s="29">
        <v>0</v>
      </c>
      <c r="C4" s="29">
        <v>0.77</v>
      </c>
      <c r="D4" s="22">
        <v>0</v>
      </c>
      <c r="E4" s="27" t="s">
        <v>63</v>
      </c>
      <c r="F4" s="28" t="s">
        <v>47</v>
      </c>
      <c r="G4" s="61" t="s">
        <v>27</v>
      </c>
      <c r="H4" s="30" t="s">
        <v>43</v>
      </c>
    </row>
    <row r="5" spans="1:14">
      <c r="A5" s="20"/>
      <c r="B5" s="29">
        <v>0</v>
      </c>
      <c r="C5" s="29">
        <v>0</v>
      </c>
      <c r="D5" s="22">
        <v>0.8</v>
      </c>
      <c r="E5" s="24"/>
      <c r="F5" s="28" t="s">
        <v>52</v>
      </c>
      <c r="G5" s="20"/>
      <c r="H5" s="30" t="s">
        <v>42</v>
      </c>
    </row>
    <row r="6" spans="1:14">
      <c r="A6" s="2"/>
      <c r="B6" s="34"/>
      <c r="C6" s="34"/>
      <c r="D6" s="68"/>
      <c r="E6" s="2"/>
      <c r="F6" s="70"/>
      <c r="G6" s="2"/>
      <c r="H6" s="68"/>
    </row>
    <row r="7" spans="1:14">
      <c r="B7" s="72" t="s">
        <v>108</v>
      </c>
      <c r="C7" s="72"/>
      <c r="D7" s="72"/>
      <c r="E7" s="69" t="s">
        <v>63</v>
      </c>
      <c r="F7" s="66" t="s">
        <v>56</v>
      </c>
      <c r="G7" s="69" t="s">
        <v>27</v>
      </c>
      <c r="H7" s="67" t="s">
        <v>107</v>
      </c>
      <c r="I7" s="16"/>
    </row>
    <row r="8" spans="1:14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</row>
    <row r="9" spans="1:14">
      <c r="A9" s="76" t="s">
        <v>113</v>
      </c>
      <c r="B9" s="76"/>
      <c r="C9" s="76"/>
      <c r="D9" s="76"/>
      <c r="E9" s="76"/>
      <c r="F9" s="76"/>
      <c r="G9" s="76"/>
      <c r="H9" s="76"/>
      <c r="I9" s="76"/>
      <c r="J9" s="76"/>
      <c r="K9" s="76"/>
    </row>
    <row r="10" spans="1:14">
      <c r="B10" s="21"/>
      <c r="C10" s="21"/>
      <c r="D10" s="12">
        <v>1</v>
      </c>
      <c r="E10" s="12">
        <v>2</v>
      </c>
      <c r="F10" s="12">
        <v>3</v>
      </c>
      <c r="G10" s="12">
        <v>4</v>
      </c>
      <c r="H10" s="12">
        <v>5</v>
      </c>
      <c r="I10" s="12">
        <v>6</v>
      </c>
      <c r="J10" s="12">
        <v>7</v>
      </c>
      <c r="K10" s="12">
        <v>8</v>
      </c>
    </row>
    <row r="11" spans="1:14">
      <c r="B11" t="s">
        <v>110</v>
      </c>
      <c r="D11" s="38">
        <f t="shared" ref="D11:K13" si="0">INDEX(MMULT($B$3:$D$5,D$18:D$20),ROW(A1))</f>
        <v>0.36899024303035577</v>
      </c>
      <c r="E11" s="38">
        <f t="shared" si="0"/>
        <v>-0.59649384130796668</v>
      </c>
      <c r="F11" s="38">
        <f t="shared" si="0"/>
        <v>1.1712628708665425</v>
      </c>
      <c r="G11" s="38">
        <f t="shared" si="0"/>
        <v>-0.71120190357825341</v>
      </c>
      <c r="H11" s="38">
        <f t="shared" si="0"/>
        <v>1.4794093974992033</v>
      </c>
      <c r="I11" s="38">
        <f t="shared" si="0"/>
        <v>-0.42808167375333339</v>
      </c>
      <c r="J11" s="38">
        <f t="shared" si="0"/>
        <v>0.81841772972524474</v>
      </c>
      <c r="K11" s="38">
        <f t="shared" si="0"/>
        <v>0.34938787111529562</v>
      </c>
      <c r="M11" s="31"/>
      <c r="N11">
        <f>MMULT(MINVERSE(B3:D5),B3:D5)</f>
        <v>1</v>
      </c>
    </row>
    <row r="12" spans="1:14">
      <c r="B12" t="s">
        <v>111</v>
      </c>
      <c r="D12" s="38">
        <f t="shared" si="0"/>
        <v>-0.77925421915625526</v>
      </c>
      <c r="E12" s="38">
        <f t="shared" si="0"/>
        <v>-0.8043500489760308</v>
      </c>
      <c r="F12" s="38">
        <f t="shared" si="0"/>
        <v>-0.81068431890966974</v>
      </c>
      <c r="G12" s="38">
        <f t="shared" si="0"/>
        <v>-0.15196156988652987</v>
      </c>
      <c r="H12" s="38">
        <f t="shared" si="0"/>
        <v>2.4000416015487816E-2</v>
      </c>
      <c r="I12" s="38">
        <f t="shared" si="0"/>
        <v>0.84062952967097482</v>
      </c>
      <c r="J12" s="38">
        <f t="shared" si="0"/>
        <v>0.8255417089917213</v>
      </c>
      <c r="K12" s="38">
        <f t="shared" si="0"/>
        <v>1.0431556052456747</v>
      </c>
      <c r="M12" s="31"/>
    </row>
    <row r="13" spans="1:14">
      <c r="B13" t="s">
        <v>112</v>
      </c>
      <c r="D13" s="38">
        <f t="shared" si="0"/>
        <v>0.48534053578965186</v>
      </c>
      <c r="E13" s="38">
        <f t="shared" si="0"/>
        <v>1.076817821311042</v>
      </c>
      <c r="F13" s="38">
        <f t="shared" si="0"/>
        <v>1.1033277056576982</v>
      </c>
      <c r="G13" s="38">
        <f t="shared" si="0"/>
        <v>1.0610103865425209</v>
      </c>
      <c r="H13" s="38">
        <f t="shared" si="0"/>
        <v>1.1168000278114449</v>
      </c>
      <c r="I13" s="38">
        <f t="shared" si="0"/>
        <v>1.1486502583401645</v>
      </c>
      <c r="J13" s="38">
        <f t="shared" si="0"/>
        <v>1.0867119932282054</v>
      </c>
      <c r="K13" s="38">
        <f t="shared" si="0"/>
        <v>0.53628774701977511</v>
      </c>
      <c r="M13" s="31"/>
    </row>
    <row r="14" spans="1:14">
      <c r="B14" t="s">
        <v>74</v>
      </c>
      <c r="D14" s="41">
        <f t="shared" ref="D14:K14" si="1">(D$11-D$22)^2+(D$12-D$23)^2+(D$13-D$24)^2</f>
        <v>1.1534376144074458E-13</v>
      </c>
      <c r="E14" s="41">
        <f t="shared" si="1"/>
        <v>5.9511556808419898E-14</v>
      </c>
      <c r="F14" s="41">
        <f t="shared" si="1"/>
        <v>5.8414967575823685E-13</v>
      </c>
      <c r="G14" s="41">
        <f t="shared" si="1"/>
        <v>2.7053879790262381E-14</v>
      </c>
      <c r="H14" s="41">
        <f t="shared" si="1"/>
        <v>5.9302264018418538E-13</v>
      </c>
      <c r="I14" s="41">
        <f t="shared" si="1"/>
        <v>3.0979908843458508E-13</v>
      </c>
      <c r="J14" s="41">
        <f t="shared" si="1"/>
        <v>4.1455191361086043E-13</v>
      </c>
      <c r="K14" s="41">
        <f t="shared" si="1"/>
        <v>2.3644123864475083E-13</v>
      </c>
    </row>
    <row r="15" spans="1:14">
      <c r="D15" s="31"/>
      <c r="E15" s="31"/>
      <c r="F15" s="2"/>
      <c r="G15" s="2"/>
      <c r="H15" s="2"/>
    </row>
    <row r="16" spans="1:14">
      <c r="A16" s="76" t="s">
        <v>66</v>
      </c>
      <c r="B16" s="78"/>
      <c r="C16" s="78"/>
      <c r="D16" s="78"/>
      <c r="E16" s="78"/>
      <c r="F16" s="78"/>
      <c r="G16" s="78"/>
      <c r="H16" s="78"/>
      <c r="I16" s="78"/>
      <c r="J16" s="78"/>
      <c r="K16" s="78"/>
    </row>
    <row r="17" spans="1:238">
      <c r="B17" s="21"/>
      <c r="C17" s="21"/>
      <c r="D17" s="12">
        <v>1</v>
      </c>
      <c r="E17" s="12">
        <v>2</v>
      </c>
      <c r="F17" s="12">
        <v>3</v>
      </c>
      <c r="G17" s="12">
        <v>4</v>
      </c>
      <c r="H17" s="12">
        <v>5</v>
      </c>
      <c r="I17" s="12">
        <v>6</v>
      </c>
      <c r="J17" s="12">
        <v>7</v>
      </c>
      <c r="K17" s="12">
        <v>8</v>
      </c>
    </row>
    <row r="18" spans="1:238">
      <c r="B18" s="2"/>
      <c r="C18" s="2"/>
      <c r="D18" s="64">
        <v>0.47920810783163087</v>
      </c>
      <c r="E18" s="64">
        <v>-0.77466732637398272</v>
      </c>
      <c r="F18" s="64">
        <v>1.5211206115149902</v>
      </c>
      <c r="G18" s="64">
        <v>-0.92363883581591344</v>
      </c>
      <c r="H18" s="64">
        <v>1.9213109058431213</v>
      </c>
      <c r="I18" s="64">
        <v>-0.55595022565367969</v>
      </c>
      <c r="J18" s="64">
        <v>1.0628801684743439</v>
      </c>
      <c r="K18" s="64">
        <v>0.4537504819679164</v>
      </c>
      <c r="M18" s="65">
        <f ca="1">RAND()-RAND()</f>
        <v>3.2343330107384771E-2</v>
      </c>
      <c r="ID18">
        <v>0</v>
      </c>
    </row>
    <row r="19" spans="1:238">
      <c r="B19" s="16" t="s">
        <v>114</v>
      </c>
      <c r="C19" s="2" t="s">
        <v>27</v>
      </c>
      <c r="D19" s="64">
        <v>-1.0120184664366951</v>
      </c>
      <c r="E19" s="64">
        <v>-1.0446104532156244</v>
      </c>
      <c r="F19" s="64">
        <v>-1.0528367778047658</v>
      </c>
      <c r="G19" s="64">
        <v>-0.1973526881643245</v>
      </c>
      <c r="H19" s="64">
        <v>3.1169371448685475E-2</v>
      </c>
      <c r="I19" s="64">
        <v>1.0917266619103569</v>
      </c>
      <c r="J19" s="64">
        <v>1.072132089599638</v>
      </c>
      <c r="K19" s="64">
        <v>1.3547475392800972</v>
      </c>
      <c r="M19" s="65">
        <f t="shared" ref="M19" ca="1" si="2">RAND()-RAND()</f>
        <v>0.37766679334974462</v>
      </c>
    </row>
    <row r="20" spans="1:238">
      <c r="C20" s="2"/>
      <c r="D20" s="64">
        <v>0.60667566973706477</v>
      </c>
      <c r="E20" s="64">
        <v>1.3460222766388024</v>
      </c>
      <c r="F20" s="64">
        <v>1.3791596320721227</v>
      </c>
      <c r="G20" s="64">
        <v>1.3262629831781512</v>
      </c>
      <c r="H20" s="64">
        <v>1.3960000347643062</v>
      </c>
      <c r="I20" s="64">
        <v>1.4358128229252056</v>
      </c>
      <c r="J20" s="64">
        <v>1.3583899915352569</v>
      </c>
      <c r="K20" s="64">
        <v>0.67035968377471888</v>
      </c>
      <c r="M20" s="65">
        <f ca="1">IF(RAND()-RAND()&lt;0,-1*RAND()-RAND(),RAND()-RAND())</f>
        <v>-7.1003236078350129E-2</v>
      </c>
      <c r="ID20">
        <v>0</v>
      </c>
    </row>
    <row r="21" spans="1:238">
      <c r="C21" s="2"/>
      <c r="D21" s="2"/>
      <c r="E21" s="2"/>
      <c r="F21" s="2"/>
      <c r="G21" s="2"/>
      <c r="H21" s="2"/>
      <c r="I21" s="2"/>
      <c r="J21" s="2"/>
      <c r="K21" s="2"/>
    </row>
    <row r="22" spans="1:238">
      <c r="C22" s="2"/>
      <c r="D22" s="31">
        <f>((Messaufbau_Messdaten!J$30)^2-(Messaufbau_Messdaten!J27)^2+(Messaufbau_Messdaten!$I$35)^2)/2</f>
        <v>0.3689905</v>
      </c>
      <c r="E22" s="31">
        <v>-0.59649400000000019</v>
      </c>
      <c r="F22" s="31">
        <f>((Messaufbau_Messdaten!L$30)^2-(Messaufbau_Messdaten!L27)^2+(Messaufbau_Messdaten!$I$35)^2)/2</f>
        <v>1.1712635000000002</v>
      </c>
      <c r="G22" s="31">
        <f>((Messaufbau_Messdaten!M$30)^2-(Messaufbau_Messdaten!M27)^2+(Messaufbau_Messdaten!$I$35)^2)/2</f>
        <v>-0.71120200000000022</v>
      </c>
      <c r="H22" s="31">
        <f>((Messaufbau_Messdaten!N$30)^2-(Messaufbau_Messdaten!N27)^2+(Messaufbau_Messdaten!$I$35)^2)/2</f>
        <v>1.4794100000000001</v>
      </c>
      <c r="I22" s="31">
        <f>((Messaufbau_Messdaten!O$30)^2-(Messaufbau_Messdaten!O27)^2+(Messaufbau_Messdaten!$I$35)^2)/2</f>
        <v>-0.42808150000000034</v>
      </c>
      <c r="J22" s="31">
        <f>((Messaufbau_Messdaten!P$30)^2-(Messaufbau_Messdaten!P27)^2+(Messaufbau_Messdaten!$I$35)^2)/2</f>
        <v>0.81841799999999998</v>
      </c>
      <c r="K22" s="31">
        <f>((Messaufbau_Messdaten!Q$30)^2-(Messaufbau_Messdaten!Q27)^2+(Messaufbau_Messdaten!$I$35)^2)/2</f>
        <v>0.34938800000000014</v>
      </c>
      <c r="O22" s="35"/>
    </row>
    <row r="23" spans="1:238">
      <c r="B23" s="16" t="s">
        <v>115</v>
      </c>
      <c r="C23" s="2" t="s">
        <v>27</v>
      </c>
      <c r="D23" s="31">
        <f>((Messaufbau_Messdaten!J$30)^2-(Messaufbau_Messdaten!J28)^2+(Messaufbau_Messdaten!$I$41)^2)/2</f>
        <v>-0.779254</v>
      </c>
      <c r="E23" s="31">
        <v>-0.80435000000000023</v>
      </c>
      <c r="F23" s="31">
        <f>((Messaufbau_Messdaten!L$30)^2-(Messaufbau_Messdaten!L28)^2+(Messaufbau_Messdaten!$I$41)^2)/2</f>
        <v>-0.81068400000000029</v>
      </c>
      <c r="G23" s="31">
        <f>((Messaufbau_Messdaten!M$30)^2-(Messaufbau_Messdaten!M28)^2+(Messaufbau_Messdaten!$I$41)^2)/2</f>
        <v>-0.15196150000000042</v>
      </c>
      <c r="H23" s="31">
        <f>((Messaufbau_Messdaten!N$30)^2-(Messaufbau_Messdaten!N28)^2+(Messaufbau_Messdaten!$I$41)^2)/2</f>
        <v>2.4000499999999536E-2</v>
      </c>
      <c r="I23" s="31">
        <f>((Messaufbau_Messdaten!O$30)^2-(Messaufbau_Messdaten!O28)^2+(Messaufbau_Messdaten!$I$41)^2)/2</f>
        <v>0.84062999999999966</v>
      </c>
      <c r="J23" s="31">
        <f>((Messaufbau_Messdaten!P$30)^2-(Messaufbau_Messdaten!P28)^2+(Messaufbau_Messdaten!$I$41)^2)/2</f>
        <v>0.82554200000000011</v>
      </c>
      <c r="K23" s="31">
        <f>((Messaufbau_Messdaten!Q$30)^2-(Messaufbau_Messdaten!Q28)^2+(Messaufbau_Messdaten!$I$41)^2)/2</f>
        <v>1.0431560000000002</v>
      </c>
      <c r="O23" s="35"/>
    </row>
    <row r="24" spans="1:238">
      <c r="C24" s="2"/>
      <c r="D24" s="31">
        <f>((Messaufbau_Messdaten!J$30)^2-(Messaufbau_Messdaten!J29)^2+(Messaufbau_Messdaten!$I$43)^2)/2</f>
        <v>0.48534050000000017</v>
      </c>
      <c r="E24" s="31">
        <v>1.0768180000000001</v>
      </c>
      <c r="F24" s="31">
        <f>((Messaufbau_Messdaten!L$30)^2-(Messaufbau_Messdaten!L29)^2+(Messaufbau_Messdaten!$I$43)^2)/2</f>
        <v>1.1033280000000003</v>
      </c>
      <c r="G24" s="31">
        <f>((Messaufbau_Messdaten!M$30)^2-(Messaufbau_Messdaten!M29)^2+(Messaufbau_Messdaten!$I$43)^2)/2</f>
        <v>1.0610104999999999</v>
      </c>
      <c r="H24" s="31">
        <f>((Messaufbau_Messdaten!N$30)^2-(Messaufbau_Messdaten!N29)^2+(Messaufbau_Messdaten!$I$43)^2)/2</f>
        <v>1.1168005000000003</v>
      </c>
      <c r="I24" s="31">
        <f>((Messaufbau_Messdaten!O$30)^2-(Messaufbau_Messdaten!O29)^2+(Messaufbau_Messdaten!$I$43)^2)/2</f>
        <v>1.1486505</v>
      </c>
      <c r="J24" s="31">
        <f>((Messaufbau_Messdaten!P$30)^2-(Messaufbau_Messdaten!P29)^2+(Messaufbau_Messdaten!$I$43)^2)/2</f>
        <v>1.0867125000000002</v>
      </c>
      <c r="K24" s="31">
        <f>((Messaufbau_Messdaten!Q$30)^2-(Messaufbau_Messdaten!Q29)^2+(Messaufbau_Messdaten!$I$43)^2)/2</f>
        <v>0.53628799999999988</v>
      </c>
    </row>
    <row r="25" spans="1:238">
      <c r="C25" s="2"/>
      <c r="D25" s="2"/>
      <c r="E25" s="2"/>
      <c r="F25" s="2"/>
      <c r="G25" s="2"/>
      <c r="H25" s="2"/>
      <c r="I25" s="2"/>
      <c r="J25" s="2"/>
      <c r="K25" s="2"/>
    </row>
    <row r="26" spans="1:238">
      <c r="A26" s="76" t="s">
        <v>62</v>
      </c>
      <c r="B26" s="78"/>
      <c r="C26" s="78"/>
      <c r="D26" s="78"/>
      <c r="E26" s="78"/>
      <c r="F26" s="78"/>
      <c r="G26" s="78"/>
      <c r="H26" s="78"/>
      <c r="I26" s="78"/>
      <c r="J26" s="78"/>
      <c r="K26" s="78"/>
    </row>
    <row r="27" spans="1:238">
      <c r="B27" t="s">
        <v>53</v>
      </c>
      <c r="C27" s="2" t="s">
        <v>27</v>
      </c>
      <c r="D27" s="2">
        <v>0</v>
      </c>
      <c r="E27" s="2"/>
      <c r="F27" s="2"/>
      <c r="G27" s="2"/>
      <c r="H27" s="2"/>
      <c r="I27" s="2"/>
      <c r="J27" s="2"/>
      <c r="K27" s="2"/>
    </row>
    <row r="28" spans="1:238">
      <c r="B28" t="s">
        <v>54</v>
      </c>
      <c r="C28" s="2" t="s">
        <v>27</v>
      </c>
      <c r="D28" s="2">
        <v>0</v>
      </c>
      <c r="E28" s="2"/>
      <c r="F28" s="2"/>
      <c r="G28" s="2"/>
      <c r="H28" s="2"/>
      <c r="I28" s="2"/>
      <c r="J28" s="2"/>
      <c r="K28" s="2"/>
    </row>
    <row r="29" spans="1:238">
      <c r="B29" t="s">
        <v>55</v>
      </c>
      <c r="C29" s="2" t="s">
        <v>27</v>
      </c>
      <c r="D29" s="2">
        <v>0</v>
      </c>
      <c r="E29" s="2"/>
      <c r="F29" s="2"/>
      <c r="G29" s="2"/>
      <c r="H29" s="2"/>
      <c r="I29" s="2"/>
      <c r="J29" s="2"/>
      <c r="K29" s="2"/>
    </row>
    <row r="30" spans="1:238">
      <c r="C30" s="2"/>
      <c r="D30" s="2"/>
      <c r="E30" s="2"/>
      <c r="F30" s="2"/>
      <c r="G30" s="2"/>
      <c r="H30" s="2"/>
      <c r="I30" s="2"/>
      <c r="J30" s="2"/>
      <c r="K30" s="2"/>
    </row>
    <row r="31" spans="1:238">
      <c r="A31" s="76" t="s">
        <v>64</v>
      </c>
      <c r="B31" s="78"/>
      <c r="C31" s="78"/>
      <c r="D31" s="78"/>
      <c r="E31" s="78"/>
      <c r="F31" s="78"/>
      <c r="G31" s="78"/>
      <c r="H31" s="78"/>
      <c r="I31" s="78"/>
      <c r="J31" s="78"/>
      <c r="K31" s="78"/>
    </row>
    <row r="32" spans="1:238">
      <c r="A32" s="23"/>
      <c r="B32" s="21"/>
      <c r="C32" s="21"/>
      <c r="D32" s="12">
        <v>1</v>
      </c>
      <c r="E32" s="12">
        <v>2</v>
      </c>
      <c r="F32" s="12">
        <v>3</v>
      </c>
      <c r="G32" s="12">
        <v>4</v>
      </c>
      <c r="H32" s="12">
        <v>5</v>
      </c>
      <c r="I32" s="12">
        <v>6</v>
      </c>
      <c r="J32" s="12">
        <v>7</v>
      </c>
      <c r="K32" s="12">
        <v>8</v>
      </c>
    </row>
    <row r="33" spans="1:11">
      <c r="B33" s="26" t="s">
        <v>114</v>
      </c>
      <c r="C33" s="26" t="s">
        <v>27</v>
      </c>
      <c r="D33" s="32">
        <f t="shared" ref="D33:K33" si="3">D18+$D$27</f>
        <v>0.47920810783163087</v>
      </c>
      <c r="E33" s="32">
        <f t="shared" si="3"/>
        <v>-0.77466732637398272</v>
      </c>
      <c r="F33" s="32">
        <f t="shared" si="3"/>
        <v>1.5211206115149902</v>
      </c>
      <c r="G33" s="32">
        <f t="shared" si="3"/>
        <v>-0.92363883581591344</v>
      </c>
      <c r="H33" s="32">
        <f t="shared" si="3"/>
        <v>1.9213109058431213</v>
      </c>
      <c r="I33" s="32">
        <f t="shared" si="3"/>
        <v>-0.55595022565367969</v>
      </c>
      <c r="J33" s="32">
        <f t="shared" si="3"/>
        <v>1.0628801684743439</v>
      </c>
      <c r="K33" s="32">
        <f t="shared" si="3"/>
        <v>0.4537504819679164</v>
      </c>
    </row>
    <row r="34" spans="1:11">
      <c r="B34" s="26" t="s">
        <v>116</v>
      </c>
      <c r="C34" s="26" t="s">
        <v>27</v>
      </c>
      <c r="D34" s="32">
        <f t="shared" ref="D34:E34" si="4">D19+$D$27</f>
        <v>-1.0120184664366951</v>
      </c>
      <c r="E34" s="32">
        <f t="shared" si="4"/>
        <v>-1.0446104532156244</v>
      </c>
      <c r="F34" s="32">
        <f t="shared" ref="F34:K35" si="5">F19+$D$27</f>
        <v>-1.0528367778047658</v>
      </c>
      <c r="G34" s="32">
        <f t="shared" si="5"/>
        <v>-0.1973526881643245</v>
      </c>
      <c r="H34" s="32">
        <f t="shared" si="5"/>
        <v>3.1169371448685475E-2</v>
      </c>
      <c r="I34" s="32">
        <f t="shared" si="5"/>
        <v>1.0917266619103569</v>
      </c>
      <c r="J34" s="32">
        <f t="shared" si="5"/>
        <v>1.072132089599638</v>
      </c>
      <c r="K34" s="32">
        <f t="shared" si="5"/>
        <v>1.3547475392800972</v>
      </c>
    </row>
    <row r="35" spans="1:11">
      <c r="B35" s="26" t="s">
        <v>117</v>
      </c>
      <c r="C35" s="26" t="s">
        <v>27</v>
      </c>
      <c r="D35" s="32">
        <f t="shared" ref="D35:E35" si="6">D20+$D$27</f>
        <v>0.60667566973706477</v>
      </c>
      <c r="E35" s="32">
        <f t="shared" si="6"/>
        <v>1.3460222766388024</v>
      </c>
      <c r="F35" s="32">
        <f t="shared" si="5"/>
        <v>1.3791596320721227</v>
      </c>
      <c r="G35" s="32">
        <f t="shared" si="5"/>
        <v>1.3262629831781512</v>
      </c>
      <c r="H35" s="32">
        <f t="shared" si="5"/>
        <v>1.3960000347643062</v>
      </c>
      <c r="I35" s="32">
        <f t="shared" si="5"/>
        <v>1.4358128229252056</v>
      </c>
      <c r="J35" s="32">
        <f t="shared" si="5"/>
        <v>1.3583899915352569</v>
      </c>
      <c r="K35" s="32">
        <f t="shared" si="5"/>
        <v>0.67035968377471888</v>
      </c>
    </row>
    <row r="36" spans="1:11">
      <c r="B36" s="2"/>
      <c r="C36" s="2"/>
      <c r="D36" s="2"/>
      <c r="E36" s="2"/>
      <c r="F36" s="2"/>
      <c r="G36" s="2"/>
      <c r="H36" s="2"/>
      <c r="I36" s="2"/>
      <c r="J36" s="2"/>
      <c r="K36" s="2"/>
    </row>
    <row r="37" spans="1:11">
      <c r="A37" s="76" t="s">
        <v>67</v>
      </c>
      <c r="B37" s="76"/>
      <c r="C37" s="76"/>
      <c r="D37" s="76"/>
      <c r="E37" s="76"/>
      <c r="F37" s="76"/>
      <c r="G37" s="76"/>
      <c r="H37" s="76"/>
      <c r="I37" s="76"/>
      <c r="J37" s="76"/>
      <c r="K37" s="76"/>
    </row>
    <row r="38" spans="1:11">
      <c r="B38" s="21"/>
      <c r="C38" s="21"/>
      <c r="D38" s="12">
        <v>1</v>
      </c>
      <c r="E38" s="12">
        <v>2</v>
      </c>
      <c r="F38" s="12">
        <v>3</v>
      </c>
      <c r="G38" s="12">
        <v>4</v>
      </c>
      <c r="H38" s="12">
        <v>5</v>
      </c>
      <c r="I38" s="12">
        <v>6</v>
      </c>
      <c r="J38" s="12">
        <v>7</v>
      </c>
      <c r="K38" s="12">
        <v>8</v>
      </c>
    </row>
    <row r="39" spans="1:11">
      <c r="B39" s="73" t="s">
        <v>71</v>
      </c>
      <c r="C39" s="73"/>
      <c r="D39" s="39">
        <f>Messaufbau_Messdaten!J30</f>
        <v>1.2590000000000001</v>
      </c>
      <c r="E39" s="39">
        <f>Messaufbau_Messdaten!K30</f>
        <v>1.8940000000000001</v>
      </c>
      <c r="F39" s="39">
        <f>Messaufbau_Messdaten!L30</f>
        <v>2.3340000000000001</v>
      </c>
      <c r="G39" s="39">
        <f>Messaufbau_Messdaten!M30</f>
        <v>1.661</v>
      </c>
      <c r="H39" s="39">
        <f>Messaufbau_Messdaten!N30</f>
        <v>2.399</v>
      </c>
      <c r="I39" s="39">
        <f>Messaufbau_Messdaten!O30</f>
        <v>1.851</v>
      </c>
      <c r="J39" s="39">
        <f>Messaufbau_Messdaten!P30</f>
        <v>2.0550000000000002</v>
      </c>
      <c r="K39" s="39">
        <f>Messaufbau_Messdaten!Q30</f>
        <v>1.5740000000000001</v>
      </c>
    </row>
    <row r="40" spans="1:11">
      <c r="B40" s="74" t="s">
        <v>70</v>
      </c>
      <c r="C40" s="74"/>
      <c r="D40" s="36">
        <f>SQRT(D33^2+D34^2+D35^2)</f>
        <v>1.2735294088757307</v>
      </c>
      <c r="E40" s="36">
        <f t="shared" ref="E40:K40" si="7">SQRT(E33^2+E34^2+E35^2)</f>
        <v>1.8716560674244269</v>
      </c>
      <c r="F40" s="36">
        <f t="shared" si="7"/>
        <v>2.3074562804550323</v>
      </c>
      <c r="G40" s="36">
        <f t="shared" si="7"/>
        <v>1.628198477797369</v>
      </c>
      <c r="H40" s="36">
        <f t="shared" si="7"/>
        <v>2.3751259384904553</v>
      </c>
      <c r="I40" s="36">
        <f t="shared" si="7"/>
        <v>1.8874602565899914</v>
      </c>
      <c r="J40" s="36">
        <f t="shared" si="7"/>
        <v>2.0308630774103138</v>
      </c>
      <c r="K40" s="36">
        <f t="shared" si="7"/>
        <v>1.578167450146573</v>
      </c>
    </row>
    <row r="41" spans="1:11">
      <c r="B41" s="74" t="s">
        <v>69</v>
      </c>
      <c r="C41" s="74"/>
      <c r="D41" s="36">
        <f>D40-D39</f>
        <v>1.4529408875730621E-2</v>
      </c>
      <c r="E41" s="36">
        <f t="shared" ref="E41:K41" si="8">E40-E39</f>
        <v>-2.2343932575573211E-2</v>
      </c>
      <c r="F41" s="36">
        <f t="shared" si="8"/>
        <v>-2.6543719544967814E-2</v>
      </c>
      <c r="G41" s="36">
        <f t="shared" si="8"/>
        <v>-3.2801522202630995E-2</v>
      </c>
      <c r="H41" s="36">
        <f t="shared" si="8"/>
        <v>-2.3874061509544742E-2</v>
      </c>
      <c r="I41" s="36">
        <f t="shared" si="8"/>
        <v>3.6460256589991413E-2</v>
      </c>
      <c r="J41" s="36">
        <f t="shared" si="8"/>
        <v>-2.413692258968636E-2</v>
      </c>
      <c r="K41" s="36">
        <f t="shared" si="8"/>
        <v>4.1674501465729374E-3</v>
      </c>
    </row>
    <row r="42" spans="1:11">
      <c r="B42" s="75" t="s">
        <v>68</v>
      </c>
      <c r="C42" s="75"/>
      <c r="D42" s="40">
        <f>ABS(1-D39/D40)</f>
        <v>1.1408773738925349E-2</v>
      </c>
      <c r="E42" s="40">
        <f t="shared" ref="E42:K42" si="9">ABS(1-E39/E40)</f>
        <v>1.1938054733699355E-2</v>
      </c>
      <c r="F42" s="40">
        <f t="shared" si="9"/>
        <v>1.1503455025259735E-2</v>
      </c>
      <c r="G42" s="40">
        <f t="shared" si="9"/>
        <v>2.0145899071841056E-2</v>
      </c>
      <c r="H42" s="40">
        <f t="shared" si="9"/>
        <v>1.0051703416080082E-2</v>
      </c>
      <c r="I42" s="40">
        <f t="shared" si="9"/>
        <v>1.931709897609335E-2</v>
      </c>
      <c r="J42" s="40">
        <f t="shared" si="9"/>
        <v>1.1885056584151954E-2</v>
      </c>
      <c r="K42" s="40">
        <f t="shared" si="9"/>
        <v>2.6406894567404526E-3</v>
      </c>
    </row>
    <row r="43" spans="1:11">
      <c r="B43" s="79" t="s">
        <v>106</v>
      </c>
      <c r="C43" s="79"/>
      <c r="D43" s="42">
        <f>D41*D41</f>
        <v>2.1110372227815973E-4</v>
      </c>
      <c r="E43" s="42">
        <f t="shared" ref="E43:K43" si="10">E41*E41</f>
        <v>4.9925132294176169E-4</v>
      </c>
      <c r="F43" s="42">
        <f t="shared" si="10"/>
        <v>7.0456904728190631E-4</v>
      </c>
      <c r="G43" s="42">
        <f t="shared" si="10"/>
        <v>1.0759398588096941E-3</v>
      </c>
      <c r="H43" s="42">
        <f t="shared" si="10"/>
        <v>5.6997081296152573E-4</v>
      </c>
      <c r="I43" s="42">
        <f t="shared" si="10"/>
        <v>1.3293503106080124E-3</v>
      </c>
      <c r="J43" s="42">
        <f t="shared" si="10"/>
        <v>5.8259103210051174E-4</v>
      </c>
      <c r="K43" s="42">
        <f t="shared" si="10"/>
        <v>1.7367640724170797E-5</v>
      </c>
    </row>
  </sheetData>
  <mergeCells count="13">
    <mergeCell ref="A37:K37"/>
    <mergeCell ref="B7:D7"/>
    <mergeCell ref="A9:K9"/>
    <mergeCell ref="A8:K8"/>
    <mergeCell ref="A2:K2"/>
    <mergeCell ref="A16:K16"/>
    <mergeCell ref="A26:K26"/>
    <mergeCell ref="A31:K31"/>
    <mergeCell ref="B39:C39"/>
    <mergeCell ref="B40:C40"/>
    <mergeCell ref="B41:C41"/>
    <mergeCell ref="B42:C42"/>
    <mergeCell ref="B43:C43"/>
  </mergeCells>
  <pageMargins left="0.7" right="0.7" top="0.78740157499999996" bottom="0.78740157499999996" header="0.3" footer="0.3"/>
  <pageSetup paperSize="9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belle4"/>
  <dimension ref="A2:K35"/>
  <sheetViews>
    <sheetView topLeftCell="A4" zoomScale="115" zoomScaleNormal="115" workbookViewId="0">
      <selection activeCell="E59" sqref="E59"/>
    </sheetView>
  </sheetViews>
  <sheetFormatPr baseColWidth="10" defaultRowHeight="15"/>
  <sheetData>
    <row r="2" spans="1:11">
      <c r="A2" s="76" t="s">
        <v>65</v>
      </c>
      <c r="B2" s="78"/>
      <c r="C2" s="78"/>
      <c r="D2" s="78"/>
      <c r="E2" s="78"/>
      <c r="F2" s="78"/>
      <c r="G2" s="78"/>
      <c r="H2" s="78"/>
      <c r="I2" s="78"/>
      <c r="J2" s="78"/>
      <c r="K2" s="78"/>
    </row>
    <row r="3" spans="1:11">
      <c r="A3" s="20"/>
      <c r="B3" s="15">
        <v>0.77</v>
      </c>
      <c r="C3" s="15">
        <v>0</v>
      </c>
      <c r="D3" s="22">
        <v>0</v>
      </c>
      <c r="E3" s="24"/>
      <c r="F3" s="28" t="s">
        <v>48</v>
      </c>
      <c r="G3" s="20"/>
      <c r="H3" s="30" t="s">
        <v>45</v>
      </c>
    </row>
    <row r="4" spans="1:11">
      <c r="A4" s="20"/>
      <c r="B4" s="15">
        <v>0</v>
      </c>
      <c r="C4" s="15">
        <v>0.77</v>
      </c>
      <c r="D4" s="22">
        <v>0</v>
      </c>
      <c r="E4" s="27" t="s">
        <v>63</v>
      </c>
      <c r="F4" s="28" t="s">
        <v>47</v>
      </c>
      <c r="G4" s="20" t="s">
        <v>27</v>
      </c>
      <c r="H4" s="30" t="s">
        <v>43</v>
      </c>
    </row>
    <row r="5" spans="1:11">
      <c r="A5" s="20"/>
      <c r="B5" s="15">
        <v>0</v>
      </c>
      <c r="C5" s="15">
        <v>0</v>
      </c>
      <c r="D5" s="22">
        <v>0.8</v>
      </c>
      <c r="E5" s="24"/>
      <c r="F5" s="28" t="s">
        <v>52</v>
      </c>
      <c r="G5" s="20"/>
      <c r="H5" s="30" t="s">
        <v>42</v>
      </c>
    </row>
    <row r="6" spans="1:11">
      <c r="D6" s="2"/>
      <c r="E6" s="2"/>
      <c r="F6" s="2"/>
      <c r="G6" s="2"/>
      <c r="H6" s="2"/>
    </row>
    <row r="7" spans="1:11">
      <c r="A7" s="76" t="s">
        <v>66</v>
      </c>
      <c r="B7" s="78"/>
      <c r="C7" s="78"/>
      <c r="D7" s="78"/>
      <c r="E7" s="78"/>
      <c r="F7" s="78"/>
      <c r="G7" s="78"/>
      <c r="H7" s="78"/>
      <c r="I7" s="78"/>
      <c r="J7" s="78"/>
      <c r="K7" s="78"/>
    </row>
    <row r="8" spans="1:11">
      <c r="B8" s="21"/>
      <c r="C8" s="21"/>
      <c r="D8" s="12">
        <v>1</v>
      </c>
      <c r="E8" s="12">
        <v>2</v>
      </c>
      <c r="F8" s="12">
        <v>3</v>
      </c>
      <c r="G8" s="12">
        <v>4</v>
      </c>
      <c r="H8" s="12">
        <v>5</v>
      </c>
      <c r="I8" s="12">
        <v>6</v>
      </c>
      <c r="J8" s="12">
        <v>7</v>
      </c>
      <c r="K8" s="12">
        <v>8</v>
      </c>
    </row>
    <row r="9" spans="1:11">
      <c r="B9" s="2" t="s">
        <v>48</v>
      </c>
      <c r="C9" s="2"/>
      <c r="D9" s="31">
        <f>INDEX(MMULT(MINVERSE($B$3:$D$5),D$15:D$17),ROW(A1))</f>
        <v>0.47920844155844156</v>
      </c>
      <c r="E9" s="31">
        <f t="shared" ref="E9:K11" si="0">INDEX(MMULT(MINVERSE($B$3:$D$5),E$15:E$17),ROW(B1))</f>
        <v>-0.77466753246753273</v>
      </c>
      <c r="F9" s="31">
        <f t="shared" si="0"/>
        <v>1.521121428571429</v>
      </c>
      <c r="G9" s="31">
        <f t="shared" si="0"/>
        <v>-0.92363896103896137</v>
      </c>
      <c r="H9" s="31">
        <f t="shared" si="0"/>
        <v>1.9213116883116885</v>
      </c>
      <c r="I9" s="31">
        <f t="shared" si="0"/>
        <v>-0.55595000000000039</v>
      </c>
      <c r="J9" s="31">
        <f t="shared" si="0"/>
        <v>1.0628805194805195</v>
      </c>
      <c r="K9" s="31">
        <f t="shared" si="0"/>
        <v>0.45375064935064952</v>
      </c>
    </row>
    <row r="10" spans="1:11">
      <c r="B10" t="s">
        <v>47</v>
      </c>
      <c r="C10" s="2" t="s">
        <v>27</v>
      </c>
      <c r="D10" s="31">
        <f t="shared" ref="D10:D11" si="1">INDEX(MMULT(MINVERSE($B$3:$D$5),D$15:D$17),ROW(A2))</f>
        <v>-1.0120181818181817</v>
      </c>
      <c r="E10" s="31">
        <f t="shared" si="0"/>
        <v>-1.04461038961039</v>
      </c>
      <c r="F10" s="31">
        <f t="shared" si="0"/>
        <v>-1.052836363636364</v>
      </c>
      <c r="G10" s="31">
        <f t="shared" si="0"/>
        <v>-0.19735259740259795</v>
      </c>
      <c r="H10" s="31">
        <f t="shared" si="0"/>
        <v>3.1169480519479917E-2</v>
      </c>
      <c r="I10" s="31">
        <f t="shared" si="0"/>
        <v>1.0917272727272722</v>
      </c>
      <c r="J10" s="31">
        <f t="shared" si="0"/>
        <v>1.0721324675324677</v>
      </c>
      <c r="K10" s="31">
        <f t="shared" si="0"/>
        <v>1.3547480519480521</v>
      </c>
    </row>
    <row r="11" spans="1:11">
      <c r="B11" t="s">
        <v>52</v>
      </c>
      <c r="C11" s="2"/>
      <c r="D11" s="31">
        <f t="shared" si="1"/>
        <v>0.60667562500000027</v>
      </c>
      <c r="E11" s="31">
        <f t="shared" si="0"/>
        <v>1.3460225000000001</v>
      </c>
      <c r="F11" s="31">
        <f t="shared" si="0"/>
        <v>1.3791600000000004</v>
      </c>
      <c r="G11" s="31">
        <f t="shared" si="0"/>
        <v>1.3262631249999999</v>
      </c>
      <c r="H11" s="31">
        <f t="shared" si="0"/>
        <v>1.3960006250000003</v>
      </c>
      <c r="I11" s="31">
        <f t="shared" si="0"/>
        <v>1.4358131250000001</v>
      </c>
      <c r="J11" s="31">
        <f t="shared" si="0"/>
        <v>1.3583906250000002</v>
      </c>
      <c r="K11" s="31">
        <f t="shared" si="0"/>
        <v>0.67035999999999984</v>
      </c>
    </row>
    <row r="12" spans="1:11">
      <c r="C12" s="2"/>
      <c r="D12" s="2"/>
      <c r="E12" s="2"/>
      <c r="F12" s="2"/>
      <c r="G12" s="2"/>
      <c r="H12" s="2"/>
      <c r="I12" s="2"/>
      <c r="J12" s="2"/>
      <c r="K12" s="2"/>
    </row>
    <row r="13" spans="1:11" ht="18.75">
      <c r="B13" s="13" t="s">
        <v>72</v>
      </c>
      <c r="C13" s="25" t="s">
        <v>27</v>
      </c>
      <c r="D13" s="81" t="s">
        <v>73</v>
      </c>
      <c r="E13" s="82"/>
      <c r="F13" s="82"/>
      <c r="G13" s="82"/>
      <c r="H13" s="82"/>
      <c r="I13" s="82"/>
      <c r="J13" s="82"/>
      <c r="K13" s="82"/>
    </row>
    <row r="14" spans="1:11">
      <c r="C14" s="2"/>
      <c r="D14" s="26"/>
      <c r="E14" s="26"/>
      <c r="F14" s="26"/>
      <c r="G14" s="26"/>
      <c r="H14" s="26"/>
      <c r="I14" s="26"/>
      <c r="J14" s="26"/>
      <c r="K14" s="26"/>
    </row>
    <row r="15" spans="1:11">
      <c r="B15" t="s">
        <v>45</v>
      </c>
      <c r="C15" s="2"/>
      <c r="D15" s="31">
        <f>((Messaufbau_Messdaten!J$30)^2-(Messaufbau_Messdaten!J27)^2+(Messaufbau_Messdaten!$I$35)^2)/2</f>
        <v>0.3689905</v>
      </c>
      <c r="E15" s="31">
        <f>((Messaufbau_Messdaten!K$30)^2-(Messaufbau_Messdaten!K27)^2+(Messaufbau_Messdaten!$I$35)^2)/2</f>
        <v>-0.59649400000000019</v>
      </c>
      <c r="F15" s="31">
        <f>((Messaufbau_Messdaten!L$30)^2-(Messaufbau_Messdaten!L27)^2+(Messaufbau_Messdaten!$I$35)^2)/2</f>
        <v>1.1712635000000002</v>
      </c>
      <c r="G15" s="31">
        <f>((Messaufbau_Messdaten!M$30)^2-(Messaufbau_Messdaten!M27)^2+(Messaufbau_Messdaten!$I$35)^2)/2</f>
        <v>-0.71120200000000022</v>
      </c>
      <c r="H15" s="31">
        <f>((Messaufbau_Messdaten!N$30)^2-(Messaufbau_Messdaten!N27)^2+(Messaufbau_Messdaten!$I$35)^2)/2</f>
        <v>1.4794100000000001</v>
      </c>
      <c r="I15" s="31">
        <f>((Messaufbau_Messdaten!O$30)^2-(Messaufbau_Messdaten!O27)^2+(Messaufbau_Messdaten!$I$35)^2)/2</f>
        <v>-0.42808150000000034</v>
      </c>
      <c r="J15" s="31">
        <f>((Messaufbau_Messdaten!P$30)^2-(Messaufbau_Messdaten!P27)^2+(Messaufbau_Messdaten!$I$35)^2)/2</f>
        <v>0.81841799999999998</v>
      </c>
      <c r="K15" s="31">
        <f>((Messaufbau_Messdaten!Q$30)^2-(Messaufbau_Messdaten!Q27)^2+(Messaufbau_Messdaten!$I$35)^2)/2</f>
        <v>0.34938800000000014</v>
      </c>
    </row>
    <row r="16" spans="1:11">
      <c r="B16" t="s">
        <v>43</v>
      </c>
      <c r="C16" s="2" t="s">
        <v>27</v>
      </c>
      <c r="D16" s="31">
        <f>((Messaufbau_Messdaten!J$30)^2-(Messaufbau_Messdaten!J28)^2+(Messaufbau_Messdaten!$I$41)^2)/2</f>
        <v>-0.779254</v>
      </c>
      <c r="E16" s="31">
        <f>((Messaufbau_Messdaten!K$30)^2-(Messaufbau_Messdaten!K28)^2+(Messaufbau_Messdaten!$I$41)^2)/2</f>
        <v>-0.80435000000000023</v>
      </c>
      <c r="F16" s="31">
        <f>((Messaufbau_Messdaten!L$30)^2-(Messaufbau_Messdaten!L28)^2+(Messaufbau_Messdaten!$I$41)^2)/2</f>
        <v>-0.81068400000000029</v>
      </c>
      <c r="G16" s="31">
        <f>((Messaufbau_Messdaten!M$30)^2-(Messaufbau_Messdaten!M28)^2+(Messaufbau_Messdaten!$I$41)^2)/2</f>
        <v>-0.15196150000000042</v>
      </c>
      <c r="H16" s="31">
        <f>((Messaufbau_Messdaten!N$30)^2-(Messaufbau_Messdaten!N28)^2+(Messaufbau_Messdaten!$I$41)^2)/2</f>
        <v>2.4000499999999536E-2</v>
      </c>
      <c r="I16" s="31">
        <f>((Messaufbau_Messdaten!O$30)^2-(Messaufbau_Messdaten!O28)^2+(Messaufbau_Messdaten!$I$41)^2)/2</f>
        <v>0.84062999999999966</v>
      </c>
      <c r="J16" s="31">
        <f>((Messaufbau_Messdaten!P$30)^2-(Messaufbau_Messdaten!P28)^2+(Messaufbau_Messdaten!$I$41)^2)/2</f>
        <v>0.82554200000000011</v>
      </c>
      <c r="K16" s="31">
        <f>((Messaufbau_Messdaten!Q$30)^2-(Messaufbau_Messdaten!Q28)^2+(Messaufbau_Messdaten!$I$41)^2)/2</f>
        <v>1.0431560000000002</v>
      </c>
    </row>
    <row r="17" spans="1:11">
      <c r="B17" t="s">
        <v>42</v>
      </c>
      <c r="C17" s="2"/>
      <c r="D17" s="31">
        <f>((Messaufbau_Messdaten!J$30)^2-(Messaufbau_Messdaten!J29)^2+(Messaufbau_Messdaten!$I$43)^2)/2</f>
        <v>0.48534050000000017</v>
      </c>
      <c r="E17" s="31">
        <f>((Messaufbau_Messdaten!K$30)^2-(Messaufbau_Messdaten!K29)^2+(Messaufbau_Messdaten!$I$43)^2)/2</f>
        <v>1.0768180000000001</v>
      </c>
      <c r="F17" s="31">
        <f>((Messaufbau_Messdaten!L$30)^2-(Messaufbau_Messdaten!L29)^2+(Messaufbau_Messdaten!$I$43)^2)/2</f>
        <v>1.1033280000000003</v>
      </c>
      <c r="G17" s="31">
        <f>((Messaufbau_Messdaten!M$30)^2-(Messaufbau_Messdaten!M29)^2+(Messaufbau_Messdaten!$I$43)^2)/2</f>
        <v>1.0610104999999999</v>
      </c>
      <c r="H17" s="31">
        <f>((Messaufbau_Messdaten!N$30)^2-(Messaufbau_Messdaten!N29)^2+(Messaufbau_Messdaten!$I$43)^2)/2</f>
        <v>1.1168005000000003</v>
      </c>
      <c r="I17" s="31">
        <f>((Messaufbau_Messdaten!O$30)^2-(Messaufbau_Messdaten!O29)^2+(Messaufbau_Messdaten!$I$43)^2)/2</f>
        <v>1.1486505</v>
      </c>
      <c r="J17" s="31">
        <f>((Messaufbau_Messdaten!P$30)^2-(Messaufbau_Messdaten!P29)^2+(Messaufbau_Messdaten!$I$43)^2)/2</f>
        <v>1.0867125000000002</v>
      </c>
      <c r="K17" s="31">
        <f>((Messaufbau_Messdaten!Q$30)^2-(Messaufbau_Messdaten!Q29)^2+(Messaufbau_Messdaten!$I$43)^2)/2</f>
        <v>0.53628799999999988</v>
      </c>
    </row>
    <row r="18" spans="1:11">
      <c r="C18" s="2"/>
      <c r="D18" s="2"/>
      <c r="E18" s="2"/>
      <c r="F18" s="2"/>
      <c r="G18" s="2"/>
      <c r="H18" s="2"/>
      <c r="I18" s="2"/>
      <c r="J18" s="2"/>
      <c r="K18" s="2"/>
    </row>
    <row r="19" spans="1:11">
      <c r="A19" s="76" t="s">
        <v>62</v>
      </c>
      <c r="B19" s="78"/>
      <c r="C19" s="78"/>
      <c r="D19" s="78"/>
      <c r="E19" s="78"/>
      <c r="F19" s="78"/>
      <c r="G19" s="78"/>
      <c r="H19" s="78"/>
      <c r="I19" s="78"/>
      <c r="J19" s="78"/>
      <c r="K19" s="78"/>
    </row>
    <row r="20" spans="1:11">
      <c r="B20" t="s">
        <v>53</v>
      </c>
      <c r="C20" s="2" t="s">
        <v>27</v>
      </c>
      <c r="D20" s="2">
        <v>0</v>
      </c>
      <c r="E20" s="2"/>
      <c r="F20" s="2"/>
      <c r="G20" s="2"/>
      <c r="H20" s="2"/>
      <c r="I20" s="2"/>
      <c r="J20" s="2"/>
      <c r="K20" s="2"/>
    </row>
    <row r="21" spans="1:11">
      <c r="B21" t="s">
        <v>54</v>
      </c>
      <c r="C21" s="2" t="s">
        <v>27</v>
      </c>
      <c r="D21" s="2">
        <v>0</v>
      </c>
      <c r="E21" s="2"/>
      <c r="F21" s="2"/>
      <c r="G21" s="2"/>
      <c r="H21" s="2"/>
      <c r="I21" s="2"/>
      <c r="J21" s="2"/>
      <c r="K21" s="2"/>
    </row>
    <row r="22" spans="1:11">
      <c r="B22" t="s">
        <v>55</v>
      </c>
      <c r="C22" s="2" t="s">
        <v>27</v>
      </c>
      <c r="D22" s="2">
        <v>0</v>
      </c>
      <c r="E22" s="2"/>
      <c r="F22" s="2"/>
      <c r="G22" s="2"/>
      <c r="H22" s="2"/>
      <c r="I22" s="2"/>
      <c r="J22" s="2"/>
      <c r="K22" s="2"/>
    </row>
    <row r="23" spans="1:11">
      <c r="C23" s="2"/>
      <c r="D23" s="2"/>
      <c r="E23" s="2"/>
      <c r="F23" s="2"/>
      <c r="G23" s="2"/>
      <c r="H23" s="2"/>
      <c r="I23" s="2"/>
      <c r="J23" s="2"/>
      <c r="K23" s="2"/>
    </row>
    <row r="24" spans="1:11">
      <c r="A24" s="76" t="s">
        <v>64</v>
      </c>
      <c r="B24" s="78"/>
      <c r="C24" s="78"/>
      <c r="D24" s="78"/>
      <c r="E24" s="78"/>
      <c r="F24" s="78"/>
      <c r="G24" s="78"/>
      <c r="H24" s="78"/>
      <c r="I24" s="78"/>
      <c r="J24" s="78"/>
      <c r="K24" s="78"/>
    </row>
    <row r="25" spans="1:11">
      <c r="A25" s="23"/>
      <c r="B25" s="21"/>
      <c r="C25" s="21"/>
      <c r="D25" s="12">
        <v>1</v>
      </c>
      <c r="E25" s="12">
        <v>2</v>
      </c>
      <c r="F25" s="12">
        <v>3</v>
      </c>
      <c r="G25" s="12">
        <v>4</v>
      </c>
      <c r="H25" s="12">
        <v>5</v>
      </c>
      <c r="I25" s="12">
        <v>6</v>
      </c>
      <c r="J25" s="12">
        <v>7</v>
      </c>
      <c r="K25" s="12">
        <v>8</v>
      </c>
    </row>
    <row r="26" spans="1:11">
      <c r="B26" s="26" t="s">
        <v>59</v>
      </c>
      <c r="C26" s="26" t="s">
        <v>27</v>
      </c>
      <c r="D26" s="32">
        <f t="shared" ref="D26" si="2">D9+$D$20</f>
        <v>0.47920844155844156</v>
      </c>
      <c r="E26" s="32">
        <f t="shared" ref="E26:K26" si="3">E9+$D$20</f>
        <v>-0.77466753246753273</v>
      </c>
      <c r="F26" s="32">
        <f t="shared" si="3"/>
        <v>1.521121428571429</v>
      </c>
      <c r="G26" s="32">
        <f t="shared" si="3"/>
        <v>-0.92363896103896137</v>
      </c>
      <c r="H26" s="32">
        <f t="shared" si="3"/>
        <v>1.9213116883116885</v>
      </c>
      <c r="I26" s="32">
        <f t="shared" si="3"/>
        <v>-0.55595000000000039</v>
      </c>
      <c r="J26" s="32">
        <f t="shared" si="3"/>
        <v>1.0628805194805195</v>
      </c>
      <c r="K26" s="32">
        <f t="shared" si="3"/>
        <v>0.45375064935064952</v>
      </c>
    </row>
    <row r="27" spans="1:11">
      <c r="B27" s="26" t="s">
        <v>60</v>
      </c>
      <c r="C27" s="26" t="s">
        <v>27</v>
      </c>
      <c r="D27" s="32">
        <f t="shared" ref="D27" si="4">D10+$D$20</f>
        <v>-1.0120181818181817</v>
      </c>
      <c r="E27" s="32">
        <f t="shared" ref="E27:K28" si="5">E10+$D$20</f>
        <v>-1.04461038961039</v>
      </c>
      <c r="F27" s="32">
        <f t="shared" si="5"/>
        <v>-1.052836363636364</v>
      </c>
      <c r="G27" s="32">
        <f t="shared" si="5"/>
        <v>-0.19735259740259795</v>
      </c>
      <c r="H27" s="32">
        <f t="shared" si="5"/>
        <v>3.1169480519479917E-2</v>
      </c>
      <c r="I27" s="32">
        <f t="shared" si="5"/>
        <v>1.0917272727272722</v>
      </c>
      <c r="J27" s="32">
        <f t="shared" si="5"/>
        <v>1.0721324675324677</v>
      </c>
      <c r="K27" s="32">
        <f t="shared" si="5"/>
        <v>1.3547480519480521</v>
      </c>
    </row>
    <row r="28" spans="1:11">
      <c r="B28" s="26" t="s">
        <v>61</v>
      </c>
      <c r="C28" s="26" t="s">
        <v>27</v>
      </c>
      <c r="D28" s="32">
        <f t="shared" ref="D28" si="6">D11+$D$20</f>
        <v>0.60667562500000027</v>
      </c>
      <c r="E28" s="32">
        <f t="shared" si="5"/>
        <v>1.3460225000000001</v>
      </c>
      <c r="F28" s="32">
        <f t="shared" si="5"/>
        <v>1.3791600000000004</v>
      </c>
      <c r="G28" s="32">
        <f t="shared" si="5"/>
        <v>1.3262631249999999</v>
      </c>
      <c r="H28" s="32">
        <f t="shared" si="5"/>
        <v>1.3960006250000003</v>
      </c>
      <c r="I28" s="32">
        <f t="shared" si="5"/>
        <v>1.4358131250000001</v>
      </c>
      <c r="J28" s="32">
        <f t="shared" si="5"/>
        <v>1.3583906250000002</v>
      </c>
      <c r="K28" s="32">
        <f t="shared" si="5"/>
        <v>0.67035999999999984</v>
      </c>
    </row>
    <row r="29" spans="1:11">
      <c r="B29" s="2"/>
      <c r="C29" s="2"/>
      <c r="D29" s="2"/>
      <c r="E29" s="2"/>
      <c r="F29" s="2"/>
      <c r="G29" s="2"/>
      <c r="H29" s="2"/>
      <c r="I29" s="2"/>
      <c r="J29" s="2"/>
      <c r="K29" s="2"/>
    </row>
    <row r="30" spans="1:11">
      <c r="A30" s="76" t="s">
        <v>67</v>
      </c>
      <c r="B30" s="76"/>
      <c r="C30" s="76"/>
      <c r="D30" s="76"/>
      <c r="E30" s="76"/>
      <c r="F30" s="76"/>
      <c r="G30" s="76"/>
      <c r="H30" s="76"/>
      <c r="I30" s="76"/>
      <c r="J30" s="76"/>
      <c r="K30" s="76"/>
    </row>
    <row r="31" spans="1:11">
      <c r="B31" s="21"/>
      <c r="C31" s="21"/>
      <c r="D31" s="12">
        <v>1</v>
      </c>
      <c r="E31" s="12">
        <v>2</v>
      </c>
      <c r="F31" s="12">
        <v>3</v>
      </c>
      <c r="G31" s="12">
        <v>4</v>
      </c>
      <c r="H31" s="12">
        <v>5</v>
      </c>
      <c r="I31" s="12">
        <v>6</v>
      </c>
      <c r="J31" s="12">
        <v>7</v>
      </c>
      <c r="K31" s="12">
        <v>8</v>
      </c>
    </row>
    <row r="32" spans="1:11">
      <c r="B32" s="73" t="s">
        <v>71</v>
      </c>
      <c r="C32" s="73"/>
      <c r="D32">
        <f>Messaufbau_Messdaten!J30</f>
        <v>1.2590000000000001</v>
      </c>
      <c r="E32">
        <f>Messaufbau_Messdaten!K30</f>
        <v>1.8940000000000001</v>
      </c>
      <c r="F32">
        <f>Messaufbau_Messdaten!L30</f>
        <v>2.3340000000000001</v>
      </c>
      <c r="G32">
        <f>Messaufbau_Messdaten!M30</f>
        <v>1.661</v>
      </c>
      <c r="H32">
        <f>Messaufbau_Messdaten!N30</f>
        <v>2.399</v>
      </c>
      <c r="I32">
        <f>Messaufbau_Messdaten!O30</f>
        <v>1.851</v>
      </c>
      <c r="J32">
        <f>Messaufbau_Messdaten!P30</f>
        <v>2.0550000000000002</v>
      </c>
      <c r="K32">
        <f>Messaufbau_Messdaten!Q30</f>
        <v>1.5740000000000001</v>
      </c>
    </row>
    <row r="33" spans="2:11">
      <c r="B33" s="74" t="s">
        <v>70</v>
      </c>
      <c r="C33" s="74"/>
      <c r="D33" s="31">
        <f>SQRT(D26^2+D27^2+D28^2)</f>
        <v>1.2735292869661812</v>
      </c>
      <c r="E33" s="31">
        <f t="shared" ref="E33:K33" si="7">SQRT(E26^2+E27^2+E28^2)</f>
        <v>1.8716562778586128</v>
      </c>
      <c r="F33" s="31">
        <f t="shared" si="7"/>
        <v>2.3074568500091672</v>
      </c>
      <c r="G33" s="31">
        <f t="shared" si="7"/>
        <v>1.6281986533545127</v>
      </c>
      <c r="H33" s="31">
        <f t="shared" si="7"/>
        <v>2.3751269198001519</v>
      </c>
      <c r="I33" s="31">
        <f t="shared" si="7"/>
        <v>1.8874607732185573</v>
      </c>
      <c r="J33" s="31">
        <f t="shared" si="7"/>
        <v>2.0308638843399445</v>
      </c>
      <c r="K33" s="31">
        <f t="shared" si="7"/>
        <v>1.5781680726852823</v>
      </c>
    </row>
    <row r="34" spans="2:11">
      <c r="B34" s="74" t="s">
        <v>69</v>
      </c>
      <c r="C34" s="74"/>
      <c r="D34" s="31">
        <f>D33-D32</f>
        <v>1.4529286966181054E-2</v>
      </c>
      <c r="E34" s="31">
        <f t="shared" ref="E34:K34" si="8">E33-E32</f>
        <v>-2.2343722141387357E-2</v>
      </c>
      <c r="F34" s="31">
        <f t="shared" si="8"/>
        <v>-2.6543149990832848E-2</v>
      </c>
      <c r="G34" s="31">
        <f t="shared" si="8"/>
        <v>-3.2801346645487284E-2</v>
      </c>
      <c r="H34" s="31">
        <f t="shared" si="8"/>
        <v>-2.3873080199848129E-2</v>
      </c>
      <c r="I34" s="31">
        <f t="shared" si="8"/>
        <v>3.6460773218557341E-2</v>
      </c>
      <c r="J34" s="31">
        <f t="shared" si="8"/>
        <v>-2.413611566005569E-2</v>
      </c>
      <c r="K34" s="31">
        <f t="shared" si="8"/>
        <v>4.168072685282187E-3</v>
      </c>
    </row>
    <row r="35" spans="2:11">
      <c r="B35" s="75" t="s">
        <v>68</v>
      </c>
      <c r="C35" s="75"/>
      <c r="D35" s="33">
        <f>ABS(1-D32/D33)</f>
        <v>1.1408679105286201E-2</v>
      </c>
      <c r="E35" s="33">
        <f t="shared" ref="E35:K35" si="9">ABS(1-E32/E33)</f>
        <v>1.1937940959411142E-2</v>
      </c>
      <c r="F35" s="33">
        <f t="shared" si="9"/>
        <v>1.1503205353862844E-2</v>
      </c>
      <c r="G35" s="33">
        <f t="shared" si="9"/>
        <v>2.0145789076724707E-2</v>
      </c>
      <c r="H35" s="33">
        <f t="shared" si="9"/>
        <v>1.0051286102157775E-2</v>
      </c>
      <c r="I35" s="33">
        <f t="shared" si="9"/>
        <v>1.9317367404877661E-2</v>
      </c>
      <c r="J35" s="33">
        <f t="shared" si="9"/>
        <v>1.1884654528631966E-2</v>
      </c>
      <c r="K35" s="33">
        <f t="shared" si="9"/>
        <v>2.6410828842774459E-3</v>
      </c>
    </row>
  </sheetData>
  <mergeCells count="10">
    <mergeCell ref="B32:C32"/>
    <mergeCell ref="B33:C33"/>
    <mergeCell ref="B34:C34"/>
    <mergeCell ref="B35:C35"/>
    <mergeCell ref="D13:K13"/>
    <mergeCell ref="A2:K2"/>
    <mergeCell ref="A7:K7"/>
    <mergeCell ref="A19:K19"/>
    <mergeCell ref="A24:K24"/>
    <mergeCell ref="A30:K30"/>
  </mergeCells>
  <pageMargins left="0.7" right="0.7" top="0.78740157499999996" bottom="0.78740157499999996" header="0.3" footer="0.3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Tabelle6"/>
  <dimension ref="A3:J36"/>
  <sheetViews>
    <sheetView workbookViewId="0">
      <selection activeCell="H33" sqref="H33"/>
    </sheetView>
  </sheetViews>
  <sheetFormatPr baseColWidth="10" defaultRowHeight="15"/>
  <sheetData>
    <row r="3" spans="1:10">
      <c r="B3" t="s">
        <v>10</v>
      </c>
    </row>
    <row r="4" spans="1:10">
      <c r="B4" t="s">
        <v>17</v>
      </c>
      <c r="C4" t="s">
        <v>20</v>
      </c>
      <c r="D4" t="s">
        <v>21</v>
      </c>
      <c r="F4" t="s">
        <v>13</v>
      </c>
      <c r="H4" t="s">
        <v>14</v>
      </c>
    </row>
    <row r="5" spans="1:10">
      <c r="B5" t="s">
        <v>18</v>
      </c>
      <c r="C5" t="s">
        <v>22</v>
      </c>
      <c r="D5" t="s">
        <v>25</v>
      </c>
      <c r="F5" t="s">
        <v>11</v>
      </c>
      <c r="G5" t="s">
        <v>27</v>
      </c>
      <c r="H5" t="s">
        <v>16</v>
      </c>
    </row>
    <row r="6" spans="1:10">
      <c r="B6" t="s">
        <v>19</v>
      </c>
      <c r="C6" t="s">
        <v>23</v>
      </c>
      <c r="D6" t="s">
        <v>24</v>
      </c>
      <c r="F6" t="s">
        <v>12</v>
      </c>
      <c r="H6" t="s">
        <v>15</v>
      </c>
    </row>
    <row r="9" spans="1:10">
      <c r="B9">
        <v>0</v>
      </c>
      <c r="C9">
        <v>0</v>
      </c>
      <c r="D9">
        <v>-0.8</v>
      </c>
      <c r="F9" t="s">
        <v>48</v>
      </c>
      <c r="H9">
        <f>G23</f>
        <v>0.3689905</v>
      </c>
    </row>
    <row r="10" spans="1:10">
      <c r="B10">
        <v>0.77</v>
      </c>
      <c r="C10">
        <v>0</v>
      </c>
      <c r="D10">
        <v>-0.8</v>
      </c>
      <c r="F10" t="s">
        <v>47</v>
      </c>
      <c r="G10" t="s">
        <v>27</v>
      </c>
      <c r="H10">
        <f t="shared" ref="H10:H11" si="0">G24</f>
        <v>-0.779254</v>
      </c>
    </row>
    <row r="11" spans="1:10">
      <c r="B11">
        <v>0</v>
      </c>
      <c r="C11">
        <v>0.77</v>
      </c>
      <c r="D11">
        <v>-0.8</v>
      </c>
      <c r="F11" t="s">
        <v>46</v>
      </c>
      <c r="H11">
        <f t="shared" si="0"/>
        <v>0.48534050000000017</v>
      </c>
    </row>
    <row r="14" spans="1:10">
      <c r="A14" t="s">
        <v>51</v>
      </c>
    </row>
    <row r="15" spans="1:10">
      <c r="B15" t="s">
        <v>48</v>
      </c>
      <c r="D15">
        <f>INDEX(MMULT(MINVERSE($B$9:$D$11),$H$9:$H$11),ROW(A1))</f>
        <v>-1.4912266233766234</v>
      </c>
      <c r="J15">
        <f>MDETERM(B9:D11)</f>
        <v>-0.47432000000000002</v>
      </c>
    </row>
    <row r="16" spans="1:10">
      <c r="B16" t="s">
        <v>47</v>
      </c>
      <c r="C16" t="s">
        <v>27</v>
      </c>
      <c r="D16">
        <f t="shared" ref="D16:D17" si="1">INDEX(MMULT(MINVERSE($B$9:$D$11),$H$9:$H$11),ROW(A2))</f>
        <v>0.1511038961038963</v>
      </c>
    </row>
    <row r="17" spans="2:10">
      <c r="B17" t="s">
        <v>52</v>
      </c>
      <c r="D17">
        <f t="shared" si="1"/>
        <v>-0.461238125</v>
      </c>
    </row>
    <row r="18" spans="2:10">
      <c r="J18">
        <f>INDEX(MMULT($B$9:$D$11,$D$15:$D$17),ROW(A1))</f>
        <v>0.3689905</v>
      </c>
    </row>
    <row r="19" spans="2:10">
      <c r="J19">
        <f t="shared" ref="J19:J20" si="2">INDEX(MMULT($B$9:$D$11,$D$15:$D$17),ROW(A2))</f>
        <v>-0.77925400000000011</v>
      </c>
    </row>
    <row r="20" spans="2:10">
      <c r="J20">
        <f t="shared" si="2"/>
        <v>0.48534050000000017</v>
      </c>
    </row>
    <row r="21" spans="2:10" ht="18.75">
      <c r="B21" s="13" t="s">
        <v>26</v>
      </c>
      <c r="C21" s="13" t="s">
        <v>27</v>
      </c>
      <c r="D21" s="14" t="s">
        <v>28</v>
      </c>
    </row>
    <row r="23" spans="2:10">
      <c r="B23" t="s">
        <v>45</v>
      </c>
      <c r="C23" t="s">
        <v>27</v>
      </c>
      <c r="D23" t="s">
        <v>44</v>
      </c>
      <c r="F23" t="s">
        <v>27</v>
      </c>
      <c r="G23">
        <f>1/2*(-Messaufbau_Messdaten!$J$30^2-Messaufbau_Messdaten!J27^2+Messaufbau_Messdaten!$I$35^2)</f>
        <v>0.3689905</v>
      </c>
    </row>
    <row r="24" spans="2:10">
      <c r="B24" t="s">
        <v>43</v>
      </c>
      <c r="C24" t="s">
        <v>27</v>
      </c>
      <c r="D24" t="s">
        <v>49</v>
      </c>
      <c r="G24">
        <f>1/2*(-Messaufbau_Messdaten!$J$30^2-Messaufbau_Messdaten!J28^2+Messaufbau_Messdaten!$I$41^2)</f>
        <v>-0.779254</v>
      </c>
    </row>
    <row r="25" spans="2:10">
      <c r="B25" t="s">
        <v>42</v>
      </c>
      <c r="C25" t="s">
        <v>27</v>
      </c>
      <c r="D25" t="s">
        <v>50</v>
      </c>
      <c r="G25">
        <f>1/2*(-Messaufbau_Messdaten!$J$30^2-Messaufbau_Messdaten!J29^2+Messaufbau_Messdaten!$I$43^2)</f>
        <v>0.48534050000000017</v>
      </c>
    </row>
    <row r="29" spans="2:10">
      <c r="B29" t="s">
        <v>53</v>
      </c>
      <c r="C29" t="s">
        <v>27</v>
      </c>
      <c r="D29">
        <v>0</v>
      </c>
    </row>
    <row r="30" spans="2:10">
      <c r="B30" t="s">
        <v>54</v>
      </c>
      <c r="C30" t="s">
        <v>27</v>
      </c>
      <c r="D30">
        <v>0</v>
      </c>
    </row>
    <row r="31" spans="2:10">
      <c r="B31" t="s">
        <v>55</v>
      </c>
      <c r="C31" t="s">
        <v>27</v>
      </c>
      <c r="D31">
        <v>0.8</v>
      </c>
    </row>
    <row r="34" spans="2:4">
      <c r="B34" t="s">
        <v>56</v>
      </c>
      <c r="C34" t="s">
        <v>27</v>
      </c>
      <c r="D34">
        <f>D15+D29</f>
        <v>-1.4912266233766234</v>
      </c>
    </row>
    <row r="35" spans="2:4">
      <c r="B35" t="s">
        <v>57</v>
      </c>
      <c r="C35" t="s">
        <v>27</v>
      </c>
      <c r="D35">
        <f t="shared" ref="D35:D36" si="3">D16+D30</f>
        <v>0.1511038961038963</v>
      </c>
    </row>
    <row r="36" spans="2:4">
      <c r="B36" t="s">
        <v>58</v>
      </c>
      <c r="C36" t="s">
        <v>27</v>
      </c>
      <c r="D36">
        <f t="shared" si="3"/>
        <v>0.33876187500000005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18</vt:i4>
      </vt:variant>
    </vt:vector>
  </HeadingPairs>
  <TitlesOfParts>
    <vt:vector size="23" baseType="lpstr">
      <vt:lpstr>Messaufbau_Messdaten</vt:lpstr>
      <vt:lpstr>num.-Neues-Modell</vt:lpstr>
      <vt:lpstr>numerisch</vt:lpstr>
      <vt:lpstr>analytisch</vt:lpstr>
      <vt:lpstr>Modell+Rechnung</vt:lpstr>
      <vt:lpstr>A_1</vt:lpstr>
      <vt:lpstr>A_2</vt:lpstr>
      <vt:lpstr>d_10</vt:lpstr>
      <vt:lpstr>d_20</vt:lpstr>
      <vt:lpstr>d_30</vt:lpstr>
      <vt:lpstr>OFFSET</vt:lpstr>
      <vt:lpstr>THETA_0</vt:lpstr>
      <vt:lpstr>THETA_1</vt:lpstr>
      <vt:lpstr>THETA_2</vt:lpstr>
      <vt:lpstr>THETA_3</vt:lpstr>
      <vt:lpstr>Theta_A0</vt:lpstr>
      <vt:lpstr>Theta_A1</vt:lpstr>
      <vt:lpstr>Theta_A2</vt:lpstr>
      <vt:lpstr>Theta_A3</vt:lpstr>
      <vt:lpstr>Theta_A4</vt:lpstr>
      <vt:lpstr>Theta_A5</vt:lpstr>
      <vt:lpstr>Theta_A6</vt:lpstr>
      <vt:lpstr>Theta_A7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cg</dc:creator>
  <cp:lastModifiedBy>cg</cp:lastModifiedBy>
  <cp:lastPrinted>2013-05-21T12:01:47Z</cp:lastPrinted>
  <dcterms:created xsi:type="dcterms:W3CDTF">2013-05-15T11:03:42Z</dcterms:created>
  <dcterms:modified xsi:type="dcterms:W3CDTF">2013-05-28T13:01:39Z</dcterms:modified>
</cp:coreProperties>
</file>