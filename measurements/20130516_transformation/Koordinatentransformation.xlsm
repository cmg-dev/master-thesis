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30" yWindow="30" windowWidth="22695" windowHeight="12705" activeTab="2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</sheets>
  <definedNames>
    <definedName name="A_1">'num.-Neues-Modell'!$E$8</definedName>
    <definedName name="A_2">'num.-Neues-Modell'!$F$8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'num.-Neues-Modell'!#REF!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2" hidden="1">numerisch!$F$18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'num.-Neues-Modell'!$K$34</definedName>
    <definedName name="solver_opt" localSheetId="2" hidden="1">numerisch!$K$14</definedName>
    <definedName name="solver_pre" localSheetId="1" hidden="1">0.000001</definedName>
    <definedName name="solver_pre" localSheetId="2" hidden="1">0.000001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HETA_0">'num.-Neues-Modell'!$H$11</definedName>
    <definedName name="THETA_1">'num.-Neues-Modell'!$H$8</definedName>
    <definedName name="THETA_2">'num.-Neues-Modell'!$H$9</definedName>
    <definedName name="THETA_3">'num.-Neues-Modell'!$H$10</definedName>
  </definedNames>
  <calcPr calcId="124519"/>
</workbook>
</file>

<file path=xl/calcChain.xml><?xml version="1.0" encoding="utf-8"?>
<calcChain xmlns="http://schemas.openxmlformats.org/spreadsheetml/2006/main">
  <c r="N11" i="15"/>
  <c r="E35" i="14"/>
  <c r="F35"/>
  <c r="G35"/>
  <c r="H35"/>
  <c r="I35"/>
  <c r="J35"/>
  <c r="K35"/>
  <c r="D35"/>
  <c r="M20" i="15"/>
  <c r="M19"/>
  <c r="M18"/>
  <c r="G9" i="18"/>
  <c r="G10"/>
  <c r="G8"/>
  <c r="D9"/>
  <c r="D10"/>
  <c r="E55"/>
  <c r="F55"/>
  <c r="G55"/>
  <c r="H55"/>
  <c r="I55"/>
  <c r="J55"/>
  <c r="K55"/>
  <c r="E56"/>
  <c r="F56"/>
  <c r="G56"/>
  <c r="H56"/>
  <c r="I56"/>
  <c r="J56"/>
  <c r="K56"/>
  <c r="E57"/>
  <c r="F57"/>
  <c r="G57"/>
  <c r="H57"/>
  <c r="I57"/>
  <c r="J57"/>
  <c r="K57"/>
  <c r="D56"/>
  <c r="D57"/>
  <c r="D55"/>
  <c r="E31"/>
  <c r="F31"/>
  <c r="G31"/>
  <c r="H31"/>
  <c r="I31"/>
  <c r="J31"/>
  <c r="K31"/>
  <c r="E32"/>
  <c r="F32"/>
  <c r="G32"/>
  <c r="H32"/>
  <c r="I32"/>
  <c r="J32"/>
  <c r="K32"/>
  <c r="E33"/>
  <c r="F33"/>
  <c r="G33"/>
  <c r="H33"/>
  <c r="I33"/>
  <c r="J33"/>
  <c r="K33"/>
  <c r="D32"/>
  <c r="D33"/>
  <c r="D31"/>
  <c r="D8"/>
  <c r="C5"/>
  <c r="K62"/>
  <c r="J62"/>
  <c r="I62"/>
  <c r="H62"/>
  <c r="G62"/>
  <c r="F62"/>
  <c r="E62"/>
  <c r="D62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D22" i="15" l="1"/>
  <c r="E14"/>
  <c r="E8" i="18"/>
  <c r="G61"/>
  <c r="G64" s="1"/>
  <c r="K61"/>
  <c r="K64" s="1"/>
  <c r="F61"/>
  <c r="F64" s="1"/>
  <c r="J61"/>
  <c r="J64" s="1"/>
  <c r="E61"/>
  <c r="E64" s="1"/>
  <c r="I61"/>
  <c r="I64" s="1"/>
  <c r="D61"/>
  <c r="D64" s="1"/>
  <c r="H61"/>
  <c r="H64" s="1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J17"/>
  <c r="J11" s="1"/>
  <c r="J28" s="1"/>
  <c r="F17"/>
  <c r="F11" s="1"/>
  <c r="F28" s="1"/>
  <c r="I16"/>
  <c r="I11" s="1"/>
  <c r="I28" s="1"/>
  <c r="E16"/>
  <c r="H15"/>
  <c r="D32"/>
  <c r="H32"/>
  <c r="H22" i="15"/>
  <c r="D23"/>
  <c r="H23"/>
  <c r="D24"/>
  <c r="H24"/>
  <c r="D39"/>
  <c r="H39"/>
  <c r="E11" i="14"/>
  <c r="E28" s="1"/>
  <c r="I9"/>
  <c r="I26" s="1"/>
  <c r="E9"/>
  <c r="E26" s="1"/>
  <c r="J9"/>
  <c r="J26" s="1"/>
  <c r="F9"/>
  <c r="F26" s="1"/>
  <c r="K10"/>
  <c r="K27" s="1"/>
  <c r="G10"/>
  <c r="G27" s="1"/>
  <c r="H11"/>
  <c r="H28" s="1"/>
  <c r="D11"/>
  <c r="D28" s="1"/>
  <c r="H10"/>
  <c r="H27" s="1"/>
  <c r="K9"/>
  <c r="K26" s="1"/>
  <c r="G9"/>
  <c r="G26" s="1"/>
  <c r="I10"/>
  <c r="I27" s="1"/>
  <c r="E10"/>
  <c r="E27" s="1"/>
  <c r="H9"/>
  <c r="H26" s="1"/>
  <c r="K11"/>
  <c r="K28" s="1"/>
  <c r="G11"/>
  <c r="G28" s="1"/>
  <c r="J10"/>
  <c r="J27" s="1"/>
  <c r="F10"/>
  <c r="F27" s="1"/>
  <c r="Q31" i="1"/>
  <c r="G24" i="4"/>
  <c r="H10" s="1"/>
  <c r="G23"/>
  <c r="H9" s="1"/>
  <c r="G25"/>
  <c r="H11" s="1"/>
  <c r="D14" i="15" l="1"/>
  <c r="G39" i="18"/>
  <c r="K39"/>
  <c r="G40"/>
  <c r="K40"/>
  <c r="H38"/>
  <c r="D38"/>
  <c r="F39"/>
  <c r="J39"/>
  <c r="F40"/>
  <c r="J40"/>
  <c r="G38"/>
  <c r="K38"/>
  <c r="E39"/>
  <c r="I39"/>
  <c r="E40"/>
  <c r="I40"/>
  <c r="F38"/>
  <c r="J38"/>
  <c r="F8"/>
  <c r="D39"/>
  <c r="H39"/>
  <c r="D40"/>
  <c r="H40"/>
  <c r="E38"/>
  <c r="I38"/>
  <c r="I63"/>
  <c r="I65" s="1"/>
  <c r="I14" i="15"/>
  <c r="F14"/>
  <c r="G14"/>
  <c r="D63" i="18"/>
  <c r="D65" s="1"/>
  <c r="G63"/>
  <c r="G65" s="1"/>
  <c r="D10" i="14"/>
  <c r="D27" s="1"/>
  <c r="D9"/>
  <c r="D26" s="1"/>
  <c r="J14" i="15"/>
  <c r="K14"/>
  <c r="H63" i="18"/>
  <c r="H65" s="1"/>
  <c r="E63"/>
  <c r="E65" s="1"/>
  <c r="F63"/>
  <c r="F65" s="1"/>
  <c r="K63"/>
  <c r="K65" s="1"/>
  <c r="H14" i="15"/>
  <c r="J63" i="18"/>
  <c r="J65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H33" i="14"/>
  <c r="H34" s="1"/>
  <c r="K33"/>
  <c r="D33"/>
  <c r="G33"/>
  <c r="G34" s="1"/>
  <c r="J33"/>
  <c r="F33"/>
  <c r="I33"/>
  <c r="E33"/>
  <c r="D17" i="4"/>
  <c r="D36" s="1"/>
  <c r="D16"/>
  <c r="D35" s="1"/>
  <c r="D15"/>
  <c r="D42" i="18" l="1"/>
  <c r="D45" s="1"/>
  <c r="H42"/>
  <c r="D43"/>
  <c r="D46" s="1"/>
  <c r="H43"/>
  <c r="H46" s="1"/>
  <c r="E41"/>
  <c r="E44" s="1"/>
  <c r="I41"/>
  <c r="K43"/>
  <c r="K46" s="1"/>
  <c r="D41"/>
  <c r="D44" s="1"/>
  <c r="G42"/>
  <c r="G45" s="1"/>
  <c r="K42"/>
  <c r="G43"/>
  <c r="G46" s="1"/>
  <c r="H41"/>
  <c r="H44" s="1"/>
  <c r="F42"/>
  <c r="F45" s="1"/>
  <c r="J42"/>
  <c r="J45" s="1"/>
  <c r="F43"/>
  <c r="F46" s="1"/>
  <c r="J43"/>
  <c r="J46" s="1"/>
  <c r="G41"/>
  <c r="K41"/>
  <c r="I43"/>
  <c r="I46" s="1"/>
  <c r="J41"/>
  <c r="J44" s="1"/>
  <c r="E42"/>
  <c r="E45" s="1"/>
  <c r="I42"/>
  <c r="E43"/>
  <c r="E46" s="1"/>
  <c r="F41"/>
  <c r="F44" s="1"/>
  <c r="K45"/>
  <c r="K44"/>
  <c r="I44"/>
  <c r="H45"/>
  <c r="I45"/>
  <c r="G44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D34"/>
  <c r="I34"/>
  <c r="F34"/>
  <c r="E34"/>
  <c r="J34"/>
  <c r="J18" i="4"/>
  <c r="D34"/>
  <c r="J19"/>
  <c r="J20"/>
  <c r="J41" i="15" l="1"/>
  <c r="J43" s="1"/>
  <c r="J42"/>
  <c r="F41"/>
  <c r="F43" s="1"/>
  <c r="F42"/>
  <c r="J34" i="18"/>
  <c r="J35"/>
  <c r="H35"/>
  <c r="H34"/>
  <c r="D35"/>
  <c r="D34"/>
  <c r="F34"/>
  <c r="F35"/>
  <c r="G34"/>
  <c r="G35"/>
  <c r="E35"/>
  <c r="E34"/>
  <c r="I34"/>
  <c r="I35"/>
  <c r="K35"/>
  <c r="K34"/>
  <c r="I41" i="15"/>
  <c r="I43" s="1"/>
  <c r="E41"/>
  <c r="E43" s="1"/>
  <c r="K41"/>
  <c r="K43" s="1"/>
  <c r="H41"/>
  <c r="H43" s="1"/>
  <c r="G41"/>
  <c r="G43" s="1"/>
  <c r="D41"/>
  <c r="D43" s="1"/>
</calcChain>
</file>

<file path=xl/sharedStrings.xml><?xml version="1.0" encoding="utf-8"?>
<sst xmlns="http://schemas.openxmlformats.org/spreadsheetml/2006/main" count="240" uniqueCount="122">
  <si>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</si>
  <si>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</si>
  <si>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</si>
  <si>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</si>
  <si>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</si>
  <si>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</si>
  <si>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</si>
  <si>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</si>
  <si>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</si>
  <si>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</si>
  <si>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</si>
  <si>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</si>
  <si>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</si>
  <si>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</si>
  <si>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</si>
  <si>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</si>
  <si>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</si>
  <si>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</si>
  <si>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</si>
  <si>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</si>
  <si>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</si>
  <si>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</si>
  <si>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</si>
  <si>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</si>
  <si>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</si>
  <si>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</si>
  <si>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</si>
  <si>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</si>
  <si>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</si>
  <si>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</si>
  <si>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</si>
  <si>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</si>
  <si>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</si>
  <si>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</si>
  <si>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</si>
  <si>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</si>
  <si>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</si>
  <si>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</si>
  <si>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</si>
  <si>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</si>
  <si>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</si>
  <si>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</si>
  <si>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</si>
  <si>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</si>
  <si>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</si>
  <si>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</si>
  <si>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</si>
  <si>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</si>
  <si>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</si>
  <si>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</si>
  <si>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</si>
  <si>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</si>
  <si>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</si>
  <si>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</si>
  <si>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</si>
  <si>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</si>
  <si>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</si>
  <si>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</si>
  <si>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</si>
  <si>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</si>
  <si>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</si>
  <si>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</si>
  <si>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</si>
  <si>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</si>
  <si>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</si>
  <si>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</si>
  <si>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</si>
  <si>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</si>
  <si>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</si>
  <si>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</si>
  <si>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</si>
  <si>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</si>
  <si>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</si>
  <si>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</si>
  <si>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</si>
  <si>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</si>
  <si>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</si>
  <si>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</si>
  <si>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</si>
  <si>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</si>
  <si>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</si>
  <si>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Konstanten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</si>
  <si>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</si>
  <si>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</si>
  <si>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</si>
  <si>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</si>
  <si>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</si>
  <si>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</si>
  <si>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</si>
  <si>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</si>
  <si>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</si>
  <si>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</si>
  <si>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</si>
  <si>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</si>
  <si>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</si>
  <si>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</si>
  <si>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</si>
  <si>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</si>
  <si>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</si>
  <si>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</si>
  <si>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</si>
  <si>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</si>
  <si>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</si>
  <si>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</si>
  <si>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Der Solver variiert hier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</si>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</sst>
</file>

<file path=xl/styles.xml><?xml version="1.0" encoding="utf-8"?>
<styleSheet xmlns="http://schemas.openxmlformats.org/spreadsheetml/2006/main">
  <numFmts count="1">
    <numFmt numFmtId="164" formatCode="0.00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4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0" fillId="4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2" fontId="5" fillId="0" borderId="0" xfId="0" applyNumberFormat="1" applyFont="1" applyBorder="1" applyAlignment="1">
      <alignment horizontal="right"/>
    </xf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0" xfId="0" applyAlignment="1"/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45"/>
  <sheetViews>
    <sheetView topLeftCell="A4" zoomScale="85" zoomScaleNormal="85" workbookViewId="0">
      <selection activeCell="L26" sqref="L2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73" t="s">
        <v>6</v>
      </c>
      <c r="C1" s="73"/>
      <c r="D1" s="73"/>
      <c r="E1" s="73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72" t="s">
        <v>5</v>
      </c>
      <c r="I6" s="72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121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120</v>
      </c>
    </row>
    <row r="19" spans="1:27">
      <c r="B19" s="73" t="s">
        <v>9</v>
      </c>
      <c r="C19" s="73"/>
      <c r="D19" s="73"/>
      <c r="E19" s="73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119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10">
      <c r="I34" s="16" t="s">
        <v>36</v>
      </c>
    </row>
    <row r="35" spans="9:10">
      <c r="I35">
        <v>0.77</v>
      </c>
      <c r="J35" t="s">
        <v>33</v>
      </c>
    </row>
    <row r="36" spans="9:10">
      <c r="I36" s="16" t="s">
        <v>37</v>
      </c>
    </row>
    <row r="37" spans="9:10">
      <c r="I37">
        <f>SQRT(0.77^2+0.77^2)</f>
        <v>1.0889444430272832</v>
      </c>
      <c r="J37" t="s">
        <v>33</v>
      </c>
    </row>
    <row r="38" spans="9:10">
      <c r="I38" s="16" t="s">
        <v>38</v>
      </c>
    </row>
    <row r="39" spans="9:10">
      <c r="I39">
        <f>SQRT(0.77^2+0.8^2)</f>
        <v>1.1103603018840327</v>
      </c>
      <c r="J39" t="s">
        <v>33</v>
      </c>
    </row>
    <row r="40" spans="9:10">
      <c r="I40" s="16" t="s">
        <v>39</v>
      </c>
    </row>
    <row r="41" spans="9:10">
      <c r="I41">
        <v>0.77</v>
      </c>
      <c r="J41" t="s">
        <v>33</v>
      </c>
    </row>
    <row r="42" spans="9:10">
      <c r="I42" s="16" t="s">
        <v>40</v>
      </c>
    </row>
    <row r="43" spans="9:10">
      <c r="I43">
        <v>0.8</v>
      </c>
      <c r="J43" t="s">
        <v>33</v>
      </c>
    </row>
    <row r="44" spans="9:10">
      <c r="I44" s="16" t="s">
        <v>41</v>
      </c>
    </row>
    <row r="45" spans="9:10">
      <c r="I45">
        <f>SQRT(0.77^2+0.8^2)</f>
        <v>1.1103603018840327</v>
      </c>
      <c r="J45" t="s">
        <v>33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P65"/>
  <sheetViews>
    <sheetView topLeftCell="A16" zoomScale="115" zoomScaleNormal="115" workbookViewId="0">
      <selection activeCell="D16" sqref="D16:D19"/>
    </sheetView>
  </sheetViews>
  <sheetFormatPr baseColWidth="10" defaultRowHeight="15"/>
  <sheetData>
    <row r="2" spans="1:15">
      <c r="A2" s="75" t="s">
        <v>81</v>
      </c>
      <c r="B2" s="75"/>
      <c r="C2" s="75"/>
      <c r="D2" s="75"/>
      <c r="E2" s="75"/>
      <c r="F2" s="75"/>
      <c r="G2" s="75"/>
      <c r="H2" s="75"/>
      <c r="I2" s="75"/>
      <c r="J2" s="75"/>
      <c r="K2" s="75"/>
    </row>
    <row r="3" spans="1:15">
      <c r="B3" s="43" t="s">
        <v>98</v>
      </c>
      <c r="C3" s="44">
        <v>300000000</v>
      </c>
      <c r="D3" s="45" t="s">
        <v>99</v>
      </c>
      <c r="E3" s="45"/>
      <c r="F3" s="45"/>
      <c r="G3" s="45"/>
      <c r="H3" s="45"/>
      <c r="I3" s="45"/>
      <c r="J3" s="45"/>
      <c r="K3" s="46"/>
    </row>
    <row r="4" spans="1:15">
      <c r="B4" s="47" t="s">
        <v>100</v>
      </c>
      <c r="C4" s="48">
        <v>866300000</v>
      </c>
      <c r="D4" s="2" t="s">
        <v>101</v>
      </c>
      <c r="E4" s="2"/>
      <c r="F4" s="2"/>
      <c r="G4" s="2"/>
      <c r="H4" s="2"/>
      <c r="I4" s="2"/>
      <c r="J4" s="2"/>
      <c r="K4" s="20"/>
    </row>
    <row r="5" spans="1:15">
      <c r="B5" s="47" t="s">
        <v>102</v>
      </c>
      <c r="C5" s="2">
        <f>$C$3/$C$4</f>
        <v>0.34630035784370311</v>
      </c>
      <c r="D5" s="2" t="s">
        <v>103</v>
      </c>
      <c r="E5" s="2"/>
      <c r="F5" s="2"/>
      <c r="G5" s="2"/>
      <c r="H5" s="2"/>
      <c r="I5" s="2"/>
      <c r="J5" s="2"/>
      <c r="K5" s="20"/>
    </row>
    <row r="6" spans="1:15">
      <c r="B6" s="47"/>
      <c r="C6" s="2"/>
      <c r="I6" s="2"/>
      <c r="J6" s="2"/>
      <c r="K6" s="20"/>
    </row>
    <row r="7" spans="1:15">
      <c r="A7" s="20"/>
      <c r="B7" s="56" t="s">
        <v>78</v>
      </c>
      <c r="C7" s="21"/>
      <c r="D7" s="12" t="s">
        <v>77</v>
      </c>
      <c r="E7" s="12" t="s">
        <v>75</v>
      </c>
      <c r="F7" s="12" t="s">
        <v>76</v>
      </c>
      <c r="G7" s="12" t="s">
        <v>79</v>
      </c>
      <c r="H7" s="12" t="s">
        <v>80</v>
      </c>
      <c r="I7" s="12"/>
      <c r="J7" s="12"/>
      <c r="K7" s="49"/>
    </row>
    <row r="8" spans="1:15">
      <c r="A8" s="20"/>
      <c r="B8" s="55">
        <v>1</v>
      </c>
      <c r="C8" s="2"/>
      <c r="D8" s="2">
        <f>0.5*Messaufbau_Messdaten!$I$35</f>
        <v>0.38500000000000001</v>
      </c>
      <c r="E8" s="2">
        <f>$C$5^2/8</f>
        <v>1.4990492230334603E-2</v>
      </c>
      <c r="F8" s="2">
        <f>E$8/PI()</f>
        <v>4.7716218756768064E-3</v>
      </c>
      <c r="G8" s="2">
        <f>A_1*(1/(2*PI())^2)*$H$11^2-$H8^2</f>
        <v>-1</v>
      </c>
      <c r="H8" s="2">
        <v>1</v>
      </c>
      <c r="I8" s="2"/>
      <c r="J8" s="2"/>
      <c r="K8" s="20"/>
      <c r="L8" s="2"/>
      <c r="M8" s="2"/>
      <c r="N8" s="2"/>
      <c r="O8" s="2"/>
    </row>
    <row r="9" spans="1:15">
      <c r="A9" s="20"/>
      <c r="B9" s="53">
        <v>2</v>
      </c>
      <c r="C9" s="2"/>
      <c r="D9" s="2">
        <f>0.5*Messaufbau_Messdaten!$I$41</f>
        <v>0.38500000000000001</v>
      </c>
      <c r="E9" s="64" t="s">
        <v>106</v>
      </c>
      <c r="F9" s="64" t="s">
        <v>106</v>
      </c>
      <c r="G9" s="2">
        <f>A_1*(1/(2*PI())^2)*$H$11^2-$H9^2</f>
        <v>-4</v>
      </c>
      <c r="H9" s="2">
        <v>2</v>
      </c>
      <c r="I9" s="2"/>
      <c r="J9" s="2"/>
      <c r="K9" s="20"/>
      <c r="L9" s="2"/>
      <c r="M9" s="2"/>
      <c r="N9" s="2"/>
      <c r="O9" s="2"/>
    </row>
    <row r="10" spans="1:15">
      <c r="A10" s="20"/>
      <c r="B10" s="53">
        <v>3</v>
      </c>
      <c r="C10" s="2"/>
      <c r="D10" s="2">
        <f>0.5*Messaufbau_Messdaten!$I$43</f>
        <v>0.4</v>
      </c>
      <c r="E10" s="64" t="s">
        <v>106</v>
      </c>
      <c r="F10" s="64" t="s">
        <v>106</v>
      </c>
      <c r="G10" s="2">
        <f>A_1*(1/(2*PI())^2)*$H$11^2-$H10^2</f>
        <v>-36</v>
      </c>
      <c r="H10" s="2">
        <v>6</v>
      </c>
      <c r="I10" s="2"/>
      <c r="J10" s="2"/>
      <c r="K10" s="20"/>
      <c r="L10" s="2"/>
      <c r="M10" s="2"/>
      <c r="N10" s="2"/>
      <c r="O10" s="2"/>
    </row>
    <row r="11" spans="1:15">
      <c r="A11" s="20"/>
      <c r="B11" s="53">
        <v>0</v>
      </c>
      <c r="C11" s="54"/>
      <c r="D11" s="64"/>
      <c r="E11" s="64"/>
      <c r="F11" s="64"/>
      <c r="G11" s="64"/>
      <c r="H11" s="2">
        <v>0</v>
      </c>
      <c r="I11" s="2"/>
      <c r="J11" s="2"/>
      <c r="K11" s="20"/>
      <c r="L11" s="2"/>
      <c r="M11" s="2"/>
      <c r="N11" s="2"/>
      <c r="O11" s="2"/>
    </row>
    <row r="12" spans="1:15">
      <c r="B12" s="50"/>
      <c r="C12" s="21"/>
      <c r="D12" s="21"/>
      <c r="E12" s="21"/>
      <c r="F12" s="21"/>
      <c r="G12" s="21"/>
      <c r="H12" s="21"/>
      <c r="I12" s="21"/>
      <c r="J12" s="21"/>
      <c r="K12" s="11"/>
    </row>
    <row r="13" spans="1:1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5">
      <c r="A14" s="23" t="s">
        <v>86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5">
      <c r="B15" s="2"/>
      <c r="C15" s="2"/>
      <c r="D15" s="12">
        <v>1</v>
      </c>
      <c r="E15" s="12">
        <v>2</v>
      </c>
      <c r="F15" s="12">
        <v>3</v>
      </c>
      <c r="G15" s="12">
        <v>4</v>
      </c>
      <c r="H15" s="12">
        <v>5</v>
      </c>
      <c r="I15" s="12">
        <v>6</v>
      </c>
      <c r="J15" s="12">
        <v>7</v>
      </c>
      <c r="K15" s="12">
        <v>8</v>
      </c>
    </row>
    <row r="16" spans="1:15">
      <c r="B16" s="2" t="s">
        <v>82</v>
      </c>
      <c r="C16" s="2"/>
      <c r="D16" s="52"/>
      <c r="E16" s="52"/>
      <c r="F16" s="52"/>
      <c r="G16" s="52"/>
      <c r="H16" s="52"/>
      <c r="I16" s="52"/>
      <c r="J16" s="52"/>
      <c r="K16" s="52"/>
      <c r="M16" s="74" t="s">
        <v>104</v>
      </c>
    </row>
    <row r="17" spans="1:13">
      <c r="B17" s="2" t="s">
        <v>83</v>
      </c>
      <c r="C17" s="2"/>
      <c r="D17" s="52"/>
      <c r="E17" s="52"/>
      <c r="F17" s="52"/>
      <c r="G17" s="52"/>
      <c r="H17" s="52"/>
      <c r="I17" s="52"/>
      <c r="J17" s="52"/>
      <c r="K17" s="52"/>
      <c r="M17" s="74"/>
    </row>
    <row r="18" spans="1:13">
      <c r="B18" s="2" t="s">
        <v>84</v>
      </c>
      <c r="C18" s="2"/>
      <c r="D18" s="52"/>
      <c r="E18" s="52"/>
      <c r="F18" s="52"/>
      <c r="G18" s="52"/>
      <c r="H18" s="52"/>
      <c r="I18" s="52"/>
      <c r="J18" s="52"/>
      <c r="K18" s="52"/>
      <c r="M18" s="74"/>
    </row>
    <row r="19" spans="1:13">
      <c r="B19" s="51" t="s">
        <v>85</v>
      </c>
      <c r="C19" s="2" t="s">
        <v>27</v>
      </c>
      <c r="D19" s="52"/>
      <c r="E19" s="52"/>
      <c r="F19" s="52"/>
      <c r="G19" s="52"/>
      <c r="H19" s="52"/>
      <c r="I19" s="52"/>
      <c r="J19" s="52"/>
      <c r="K19" s="52"/>
      <c r="M19" s="74"/>
    </row>
    <row r="20" spans="1:13">
      <c r="B20" s="2" t="s">
        <v>48</v>
      </c>
      <c r="C20" s="2"/>
      <c r="D20" s="37">
        <v>0.47920820717399498</v>
      </c>
      <c r="E20" s="37">
        <v>-0.7746678940563656</v>
      </c>
      <c r="F20" s="37">
        <v>1.5211207734350594</v>
      </c>
      <c r="G20" s="37">
        <v>-0.92363913249376062</v>
      </c>
      <c r="H20" s="37">
        <v>1.9213108140141657</v>
      </c>
      <c r="I20" s="37">
        <v>-0.5559502324740031</v>
      </c>
      <c r="J20" s="37">
        <v>1.0628800131422067</v>
      </c>
      <c r="K20" s="37">
        <v>0.45375042022567252</v>
      </c>
      <c r="M20" s="74"/>
    </row>
    <row r="21" spans="1:13">
      <c r="B21" t="s">
        <v>47</v>
      </c>
      <c r="D21" s="37">
        <v>-1.0120186360932779</v>
      </c>
      <c r="E21" s="37">
        <v>-1.0446109004008435</v>
      </c>
      <c r="F21" s="37">
        <v>-1.0528368912562995</v>
      </c>
      <c r="G21" s="37">
        <v>-0.19735288075445023</v>
      </c>
      <c r="H21" s="37">
        <v>3.1169431027432318E-2</v>
      </c>
      <c r="I21" s="37">
        <v>1.0917266627962099</v>
      </c>
      <c r="J21" s="37">
        <v>1.0721319549838608</v>
      </c>
      <c r="K21" s="37">
        <v>1.3547475145351064</v>
      </c>
      <c r="M21" s="74"/>
    </row>
    <row r="22" spans="1:13">
      <c r="B22" t="s">
        <v>52</v>
      </c>
      <c r="C22" s="2"/>
      <c r="D22" s="37">
        <v>0.60667550022108041</v>
      </c>
      <c r="E22" s="37">
        <v>1.346022304408635</v>
      </c>
      <c r="F22" s="37">
        <v>1.3791594930279794</v>
      </c>
      <c r="G22" s="37">
        <v>1.3262631202056154</v>
      </c>
      <c r="H22" s="37">
        <v>1.3960002720243607</v>
      </c>
      <c r="I22" s="37">
        <v>1.4358129552779264</v>
      </c>
      <c r="J22" s="37">
        <v>1.3583903887765414</v>
      </c>
      <c r="K22" s="37">
        <v>0.67035998451614454</v>
      </c>
      <c r="M22" s="74"/>
    </row>
    <row r="23" spans="1:13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3">
      <c r="A24" s="75" t="s">
        <v>65</v>
      </c>
      <c r="B24" s="75"/>
      <c r="C24" s="75"/>
      <c r="D24" s="75"/>
      <c r="E24" s="75"/>
      <c r="F24" s="75"/>
      <c r="G24" s="75"/>
      <c r="H24" s="75"/>
      <c r="I24" s="75"/>
      <c r="J24" s="75"/>
      <c r="K24" s="75"/>
    </row>
    <row r="25" spans="1:13">
      <c r="A25" s="20"/>
      <c r="B25" s="29">
        <v>0.77</v>
      </c>
      <c r="C25" s="29">
        <v>0</v>
      </c>
      <c r="D25" s="22">
        <v>0</v>
      </c>
      <c r="E25" s="24"/>
      <c r="F25" s="28" t="s">
        <v>48</v>
      </c>
      <c r="G25" s="20"/>
      <c r="H25" s="30" t="s">
        <v>45</v>
      </c>
    </row>
    <row r="26" spans="1:13">
      <c r="A26" s="20"/>
      <c r="B26" s="29">
        <v>0</v>
      </c>
      <c r="C26" s="29">
        <v>0.77</v>
      </c>
      <c r="D26" s="22">
        <v>0</v>
      </c>
      <c r="E26" s="27" t="s">
        <v>63</v>
      </c>
      <c r="F26" s="28" t="s">
        <v>47</v>
      </c>
      <c r="G26" s="62" t="s">
        <v>105</v>
      </c>
      <c r="H26" s="30" t="s">
        <v>43</v>
      </c>
      <c r="I26" s="63" t="s">
        <v>27</v>
      </c>
      <c r="J26">
        <v>0</v>
      </c>
    </row>
    <row r="27" spans="1:13">
      <c r="A27" s="20"/>
      <c r="B27" s="29">
        <v>0</v>
      </c>
      <c r="C27" s="29">
        <v>0</v>
      </c>
      <c r="D27" s="22">
        <v>0.8</v>
      </c>
      <c r="E27" s="24"/>
      <c r="F27" s="28" t="s">
        <v>52</v>
      </c>
      <c r="G27" s="20"/>
      <c r="H27" s="30" t="s">
        <v>42</v>
      </c>
    </row>
    <row r="28" spans="1:13">
      <c r="D28" s="2"/>
      <c r="E28" s="2"/>
      <c r="F28" s="2"/>
      <c r="G28" s="2"/>
      <c r="H28" s="2"/>
    </row>
    <row r="29" spans="1:13">
      <c r="D29" s="2"/>
      <c r="E29" s="2"/>
      <c r="F29" s="2"/>
      <c r="G29" s="2"/>
      <c r="H29" s="2"/>
    </row>
    <row r="30" spans="1:13">
      <c r="D30" s="12">
        <v>1</v>
      </c>
      <c r="E30" s="12">
        <v>2</v>
      </c>
      <c r="F30" s="12">
        <v>3</v>
      </c>
      <c r="G30" s="12">
        <v>4</v>
      </c>
      <c r="H30" s="12">
        <v>5</v>
      </c>
      <c r="I30" s="12">
        <v>6</v>
      </c>
      <c r="J30" s="12">
        <v>7</v>
      </c>
      <c r="K30" s="12">
        <v>8</v>
      </c>
    </row>
    <row r="31" spans="1:13">
      <c r="B31" t="s">
        <v>93</v>
      </c>
      <c r="D31" s="38">
        <f t="shared" ref="D31:K33" si="0">INDEX(MMULT($B$25:$D$27,D$20:D$22),ROW($A1))</f>
        <v>0.36899031952397615</v>
      </c>
      <c r="E31" s="38">
        <f t="shared" si="0"/>
        <v>-0.59649427842340152</v>
      </c>
      <c r="F31" s="38">
        <f t="shared" si="0"/>
        <v>1.1712629955449958</v>
      </c>
      <c r="G31" s="38">
        <f t="shared" si="0"/>
        <v>-0.71120213202019567</v>
      </c>
      <c r="H31" s="38">
        <f t="shared" si="0"/>
        <v>1.4794093267909076</v>
      </c>
      <c r="I31" s="38">
        <f t="shared" si="0"/>
        <v>-0.4280816790049824</v>
      </c>
      <c r="J31" s="38">
        <f t="shared" si="0"/>
        <v>0.81841761011949921</v>
      </c>
      <c r="K31" s="38">
        <f t="shared" si="0"/>
        <v>0.34938782357376785</v>
      </c>
      <c r="M31" s="31"/>
    </row>
    <row r="32" spans="1:13">
      <c r="B32" t="s">
        <v>94</v>
      </c>
      <c r="D32" s="38">
        <f t="shared" si="0"/>
        <v>-0.77925434979182406</v>
      </c>
      <c r="E32" s="38">
        <f t="shared" si="0"/>
        <v>-0.80435039330864955</v>
      </c>
      <c r="F32" s="38">
        <f t="shared" si="0"/>
        <v>-0.81068440626735061</v>
      </c>
      <c r="G32" s="38">
        <f t="shared" si="0"/>
        <v>-0.15196171818092669</v>
      </c>
      <c r="H32" s="38">
        <f t="shared" si="0"/>
        <v>2.4000461891122885E-2</v>
      </c>
      <c r="I32" s="38">
        <f t="shared" si="0"/>
        <v>0.84062953035308163</v>
      </c>
      <c r="J32" s="38">
        <f t="shared" si="0"/>
        <v>0.82554160533757281</v>
      </c>
      <c r="K32" s="38">
        <f t="shared" si="0"/>
        <v>1.0431555861920321</v>
      </c>
      <c r="M32" s="31"/>
    </row>
    <row r="33" spans="1:16">
      <c r="B33" t="s">
        <v>95</v>
      </c>
      <c r="D33" s="38">
        <f t="shared" si="0"/>
        <v>0.48534040017686436</v>
      </c>
      <c r="E33" s="38">
        <f t="shared" si="0"/>
        <v>1.076817843526908</v>
      </c>
      <c r="F33" s="38">
        <f t="shared" si="0"/>
        <v>1.1033275944223835</v>
      </c>
      <c r="G33" s="38">
        <f t="shared" si="0"/>
        <v>1.0610104961644924</v>
      </c>
      <c r="H33" s="38">
        <f t="shared" si="0"/>
        <v>1.1168002176194887</v>
      </c>
      <c r="I33" s="38">
        <f t="shared" si="0"/>
        <v>1.1486503642223411</v>
      </c>
      <c r="J33" s="38">
        <f t="shared" si="0"/>
        <v>1.0867123110212331</v>
      </c>
      <c r="K33" s="38">
        <f t="shared" si="0"/>
        <v>0.53628798761291563</v>
      </c>
      <c r="M33" s="31"/>
    </row>
    <row r="34" spans="1:16">
      <c r="B34" t="s">
        <v>96</v>
      </c>
      <c r="D34" s="41">
        <f t="shared" ref="D34:K34" si="1">(D$31-D$44)^2+(D$32-D$45)^2+(D$33-D$46)^2</f>
        <v>2.2059654366038135</v>
      </c>
      <c r="E34" s="41">
        <f t="shared" si="1"/>
        <v>2.8984436488532479</v>
      </c>
      <c r="F34" s="41">
        <f t="shared" si="1"/>
        <v>6.1816775978630023</v>
      </c>
      <c r="G34" s="41">
        <f t="shared" si="1"/>
        <v>3.0326704838887384</v>
      </c>
      <c r="H34" s="41">
        <f t="shared" si="1"/>
        <v>7.7940040121927199</v>
      </c>
      <c r="I34" s="41">
        <f t="shared" si="1"/>
        <v>5.2642583955811251</v>
      </c>
      <c r="J34" s="41">
        <f t="shared" si="1"/>
        <v>7.0256709511904738</v>
      </c>
      <c r="K34" s="41">
        <f t="shared" si="1"/>
        <v>5.0049878526989868</v>
      </c>
    </row>
    <row r="35" spans="1:16">
      <c r="D35" s="41">
        <f t="shared" ref="D35:K35" si="2">(D$31-D$44)+(D$32-D$45)+(D$33-D$46)</f>
        <v>1.9200763699090164</v>
      </c>
      <c r="E35" s="41">
        <f t="shared" si="2"/>
        <v>1.5209731717948569</v>
      </c>
      <c r="F35" s="41">
        <f t="shared" si="2"/>
        <v>3.3089061837000289</v>
      </c>
      <c r="G35" s="41">
        <f t="shared" si="2"/>
        <v>2.0428466459633698</v>
      </c>
      <c r="H35" s="41">
        <f t="shared" si="2"/>
        <v>4.4652100063015192</v>
      </c>
      <c r="I35" s="41">
        <f t="shared" si="2"/>
        <v>3.4061982155704404</v>
      </c>
      <c r="J35" s="41">
        <f t="shared" si="2"/>
        <v>4.5756715264783052</v>
      </c>
      <c r="K35" s="41">
        <f t="shared" si="2"/>
        <v>3.7738313973787152</v>
      </c>
    </row>
    <row r="36" spans="1:16">
      <c r="D36" s="31"/>
      <c r="E36" s="31"/>
      <c r="F36" s="2"/>
      <c r="G36" s="2"/>
      <c r="H36" s="2"/>
    </row>
    <row r="37" spans="1:16">
      <c r="D37" s="31"/>
      <c r="E37" s="31"/>
      <c r="F37" s="2"/>
      <c r="G37" s="2"/>
      <c r="H37" s="2"/>
    </row>
    <row r="38" spans="1:16" ht="14.25" customHeight="1">
      <c r="B38" s="58" t="s">
        <v>88</v>
      </c>
      <c r="C38" s="59"/>
      <c r="D38" s="60">
        <f t="shared" ref="D38:K40" si="3">A_1*(D$16^2-D17^2)</f>
        <v>0</v>
      </c>
      <c r="E38" s="60">
        <f t="shared" si="3"/>
        <v>0</v>
      </c>
      <c r="F38" s="60">
        <f t="shared" si="3"/>
        <v>0</v>
      </c>
      <c r="G38" s="60">
        <f t="shared" si="3"/>
        <v>0</v>
      </c>
      <c r="H38" s="60">
        <f t="shared" si="3"/>
        <v>0</v>
      </c>
      <c r="I38" s="60">
        <f t="shared" si="3"/>
        <v>0</v>
      </c>
      <c r="J38" s="60">
        <f t="shared" si="3"/>
        <v>0</v>
      </c>
      <c r="K38" s="60">
        <f t="shared" si="3"/>
        <v>0</v>
      </c>
      <c r="M38" s="74" t="s">
        <v>97</v>
      </c>
    </row>
    <row r="39" spans="1:16" ht="14.25" customHeight="1">
      <c r="B39" s="58" t="s">
        <v>89</v>
      </c>
      <c r="C39" s="59"/>
      <c r="D39" s="60">
        <f t="shared" si="3"/>
        <v>0</v>
      </c>
      <c r="E39" s="60">
        <f t="shared" si="3"/>
        <v>0</v>
      </c>
      <c r="F39" s="60">
        <f t="shared" si="3"/>
        <v>0</v>
      </c>
      <c r="G39" s="60">
        <f t="shared" si="3"/>
        <v>0</v>
      </c>
      <c r="H39" s="60">
        <f t="shared" si="3"/>
        <v>0</v>
      </c>
      <c r="I39" s="60">
        <f t="shared" si="3"/>
        <v>0</v>
      </c>
      <c r="J39" s="60">
        <f t="shared" si="3"/>
        <v>0</v>
      </c>
      <c r="K39" s="60">
        <f t="shared" si="3"/>
        <v>0</v>
      </c>
      <c r="M39" s="74"/>
    </row>
    <row r="40" spans="1:16" ht="14.25" customHeight="1">
      <c r="B40" s="58" t="s">
        <v>90</v>
      </c>
      <c r="C40" s="59"/>
      <c r="D40" s="60">
        <f t="shared" si="3"/>
        <v>0</v>
      </c>
      <c r="E40" s="60">
        <f t="shared" si="3"/>
        <v>0</v>
      </c>
      <c r="F40" s="60">
        <f t="shared" si="3"/>
        <v>0</v>
      </c>
      <c r="G40" s="60">
        <f t="shared" si="3"/>
        <v>0</v>
      </c>
      <c r="H40" s="60">
        <f t="shared" si="3"/>
        <v>0</v>
      </c>
      <c r="I40" s="60">
        <f t="shared" si="3"/>
        <v>0</v>
      </c>
      <c r="J40" s="60">
        <f t="shared" si="3"/>
        <v>0</v>
      </c>
      <c r="K40" s="60">
        <f t="shared" si="3"/>
        <v>0</v>
      </c>
      <c r="M40" s="74"/>
    </row>
    <row r="41" spans="1:16">
      <c r="B41" s="58" t="s">
        <v>87</v>
      </c>
      <c r="C41" s="61"/>
      <c r="D41" s="60">
        <f t="shared" ref="D41:K43" si="4">A_2*($H$11*D$16^2-$H8*D17^2)</f>
        <v>0</v>
      </c>
      <c r="E41" s="60">
        <f t="shared" si="4"/>
        <v>0</v>
      </c>
      <c r="F41" s="60">
        <f t="shared" si="4"/>
        <v>0</v>
      </c>
      <c r="G41" s="60">
        <f t="shared" si="4"/>
        <v>0</v>
      </c>
      <c r="H41" s="60">
        <f t="shared" si="4"/>
        <v>0</v>
      </c>
      <c r="I41" s="60">
        <f t="shared" si="4"/>
        <v>0</v>
      </c>
      <c r="J41" s="60">
        <f t="shared" si="4"/>
        <v>0</v>
      </c>
      <c r="K41" s="60">
        <f t="shared" si="4"/>
        <v>0</v>
      </c>
      <c r="M41" s="74"/>
      <c r="O41" s="35"/>
      <c r="P41" s="35"/>
    </row>
    <row r="42" spans="1:16">
      <c r="B42" s="58" t="s">
        <v>92</v>
      </c>
      <c r="C42" s="61" t="s">
        <v>27</v>
      </c>
      <c r="D42" s="60">
        <f t="shared" si="4"/>
        <v>0</v>
      </c>
      <c r="E42" s="60">
        <f t="shared" si="4"/>
        <v>0</v>
      </c>
      <c r="F42" s="60">
        <f t="shared" si="4"/>
        <v>0</v>
      </c>
      <c r="G42" s="60">
        <f t="shared" si="4"/>
        <v>0</v>
      </c>
      <c r="H42" s="60">
        <f t="shared" si="4"/>
        <v>0</v>
      </c>
      <c r="I42" s="60">
        <f t="shared" si="4"/>
        <v>0</v>
      </c>
      <c r="J42" s="60">
        <f t="shared" si="4"/>
        <v>0</v>
      </c>
      <c r="K42" s="60">
        <f t="shared" si="4"/>
        <v>0</v>
      </c>
      <c r="M42" s="74"/>
      <c r="O42" s="35"/>
      <c r="P42" s="35"/>
    </row>
    <row r="43" spans="1:16">
      <c r="B43" s="58" t="s">
        <v>91</v>
      </c>
      <c r="C43" s="61"/>
      <c r="D43" s="60">
        <f t="shared" si="4"/>
        <v>0</v>
      </c>
      <c r="E43" s="60">
        <f t="shared" si="4"/>
        <v>0</v>
      </c>
      <c r="F43" s="60">
        <f t="shared" si="4"/>
        <v>0</v>
      </c>
      <c r="G43" s="60">
        <f t="shared" si="4"/>
        <v>0</v>
      </c>
      <c r="H43" s="60">
        <f t="shared" si="4"/>
        <v>0</v>
      </c>
      <c r="I43" s="60">
        <f t="shared" si="4"/>
        <v>0</v>
      </c>
      <c r="J43" s="60">
        <f t="shared" si="4"/>
        <v>0</v>
      </c>
      <c r="K43" s="60">
        <f t="shared" si="4"/>
        <v>0</v>
      </c>
      <c r="M43" s="74"/>
      <c r="O43" s="35"/>
      <c r="P43" s="35"/>
    </row>
    <row r="44" spans="1:16">
      <c r="B44" t="s">
        <v>45</v>
      </c>
      <c r="C44" s="2"/>
      <c r="D44" s="57">
        <f>$D$8+$G$8+D38+D41</f>
        <v>-0.61499999999999999</v>
      </c>
      <c r="E44" s="57">
        <f t="shared" ref="E44:K44" si="5">$D$8+$G$8+E38+E41</f>
        <v>-0.61499999999999999</v>
      </c>
      <c r="F44" s="57">
        <f t="shared" si="5"/>
        <v>-0.61499999999999999</v>
      </c>
      <c r="G44" s="57">
        <f t="shared" si="5"/>
        <v>-0.61499999999999999</v>
      </c>
      <c r="H44" s="57">
        <f t="shared" si="5"/>
        <v>-0.61499999999999999</v>
      </c>
      <c r="I44" s="57">
        <f t="shared" si="5"/>
        <v>-0.61499999999999999</v>
      </c>
      <c r="J44" s="57">
        <f t="shared" si="5"/>
        <v>-0.61499999999999999</v>
      </c>
      <c r="K44" s="57">
        <f t="shared" si="5"/>
        <v>-0.61499999999999999</v>
      </c>
      <c r="O44" s="35"/>
    </row>
    <row r="45" spans="1:16">
      <c r="B45" t="s">
        <v>43</v>
      </c>
      <c r="D45" s="57">
        <f t="shared" ref="D45:K46" si="6">$D$8+$G$8+D39+D42</f>
        <v>-0.61499999999999999</v>
      </c>
      <c r="E45" s="57">
        <f t="shared" si="6"/>
        <v>-0.61499999999999999</v>
      </c>
      <c r="F45" s="57">
        <f t="shared" si="6"/>
        <v>-0.61499999999999999</v>
      </c>
      <c r="G45" s="57">
        <f t="shared" si="6"/>
        <v>-0.61499999999999999</v>
      </c>
      <c r="H45" s="57">
        <f t="shared" si="6"/>
        <v>-0.61499999999999999</v>
      </c>
      <c r="I45" s="57">
        <f t="shared" si="6"/>
        <v>-0.61499999999999999</v>
      </c>
      <c r="J45" s="57">
        <f t="shared" si="6"/>
        <v>-0.61499999999999999</v>
      </c>
      <c r="K45" s="57">
        <f t="shared" si="6"/>
        <v>-0.61499999999999999</v>
      </c>
      <c r="O45" s="35"/>
    </row>
    <row r="46" spans="1:16">
      <c r="B46" t="s">
        <v>42</v>
      </c>
      <c r="C46" s="2"/>
      <c r="D46" s="57">
        <f t="shared" si="6"/>
        <v>-0.61499999999999999</v>
      </c>
      <c r="E46" s="57">
        <f t="shared" si="6"/>
        <v>-0.61499999999999999</v>
      </c>
      <c r="F46" s="57">
        <f t="shared" si="6"/>
        <v>-0.61499999999999999</v>
      </c>
      <c r="G46" s="57">
        <f t="shared" si="6"/>
        <v>-0.61499999999999999</v>
      </c>
      <c r="H46" s="57">
        <f t="shared" si="6"/>
        <v>-0.61499999999999999</v>
      </c>
      <c r="I46" s="57">
        <f t="shared" si="6"/>
        <v>-0.61499999999999999</v>
      </c>
      <c r="J46" s="57">
        <f t="shared" si="6"/>
        <v>-0.61499999999999999</v>
      </c>
      <c r="K46" s="57">
        <f t="shared" si="6"/>
        <v>-0.61499999999999999</v>
      </c>
    </row>
    <row r="47" spans="1:16">
      <c r="C47" s="2"/>
      <c r="D47" s="2"/>
      <c r="E47" s="2"/>
      <c r="F47" s="2"/>
      <c r="G47" s="2"/>
      <c r="H47" s="2"/>
      <c r="I47" s="2"/>
      <c r="J47" s="2"/>
      <c r="K47" s="2"/>
    </row>
    <row r="48" spans="1:16">
      <c r="A48" s="75" t="s">
        <v>62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</row>
    <row r="49" spans="1:11">
      <c r="B49" t="s">
        <v>53</v>
      </c>
      <c r="C49" s="2" t="s">
        <v>27</v>
      </c>
      <c r="D49" s="2">
        <v>0</v>
      </c>
      <c r="E49" s="2"/>
      <c r="F49" s="2"/>
      <c r="G49" s="2"/>
      <c r="H49" s="2"/>
      <c r="I49" s="2"/>
      <c r="J49" s="2"/>
      <c r="K49" s="2"/>
    </row>
    <row r="50" spans="1:11">
      <c r="B50" t="s">
        <v>54</v>
      </c>
      <c r="C50" s="2" t="s">
        <v>27</v>
      </c>
      <c r="D50" s="2">
        <v>0</v>
      </c>
      <c r="E50" s="2"/>
      <c r="F50" s="2"/>
      <c r="G50" s="2"/>
      <c r="H50" s="2"/>
      <c r="I50" s="2"/>
      <c r="J50" s="2"/>
      <c r="K50" s="2"/>
    </row>
    <row r="51" spans="1:11">
      <c r="B51" t="s">
        <v>55</v>
      </c>
      <c r="C51" s="2" t="s">
        <v>27</v>
      </c>
      <c r="D51" s="2">
        <v>0</v>
      </c>
      <c r="E51" s="2"/>
      <c r="F51" s="2"/>
      <c r="G51" s="2"/>
      <c r="H51" s="2"/>
      <c r="I51" s="2"/>
      <c r="J51" s="2"/>
      <c r="K51" s="2"/>
    </row>
    <row r="52" spans="1:11">
      <c r="C52" s="2"/>
      <c r="D52" s="2"/>
      <c r="E52" s="2"/>
      <c r="F52" s="2"/>
      <c r="G52" s="2"/>
      <c r="H52" s="2"/>
      <c r="I52" s="2"/>
      <c r="J52" s="2"/>
      <c r="K52" s="2"/>
    </row>
    <row r="53" spans="1:11">
      <c r="A53" s="75" t="s">
        <v>64</v>
      </c>
      <c r="B53" s="76"/>
      <c r="C53" s="76"/>
      <c r="D53" s="76"/>
      <c r="E53" s="76"/>
      <c r="F53" s="76"/>
      <c r="G53" s="76"/>
      <c r="H53" s="76"/>
      <c r="I53" s="76"/>
      <c r="J53" s="76"/>
      <c r="K53" s="76"/>
    </row>
    <row r="54" spans="1:11">
      <c r="A54" s="23"/>
      <c r="B54" s="21"/>
      <c r="C54" s="21"/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</row>
    <row r="55" spans="1:11">
      <c r="B55" s="26" t="s">
        <v>59</v>
      </c>
      <c r="C55" s="26" t="s">
        <v>27</v>
      </c>
      <c r="D55" s="32">
        <f>D20+$D$49</f>
        <v>0.47920820717399498</v>
      </c>
      <c r="E55" s="32">
        <f t="shared" ref="E55:K55" si="7">E20+$D$49</f>
        <v>-0.7746678940563656</v>
      </c>
      <c r="F55" s="32">
        <f t="shared" si="7"/>
        <v>1.5211207734350594</v>
      </c>
      <c r="G55" s="32">
        <f t="shared" si="7"/>
        <v>-0.92363913249376062</v>
      </c>
      <c r="H55" s="32">
        <f t="shared" si="7"/>
        <v>1.9213108140141657</v>
      </c>
      <c r="I55" s="32">
        <f t="shared" si="7"/>
        <v>-0.5559502324740031</v>
      </c>
      <c r="J55" s="32">
        <f t="shared" si="7"/>
        <v>1.0628800131422067</v>
      </c>
      <c r="K55" s="32">
        <f t="shared" si="7"/>
        <v>0.45375042022567252</v>
      </c>
    </row>
    <row r="56" spans="1:11">
      <c r="B56" s="26" t="s">
        <v>60</v>
      </c>
      <c r="C56" s="26" t="s">
        <v>27</v>
      </c>
      <c r="D56" s="32">
        <f t="shared" ref="D56:K57" si="8">D21+$D$49</f>
        <v>-1.0120186360932779</v>
      </c>
      <c r="E56" s="32">
        <f t="shared" si="8"/>
        <v>-1.0446109004008435</v>
      </c>
      <c r="F56" s="32">
        <f t="shared" si="8"/>
        <v>-1.0528368912562995</v>
      </c>
      <c r="G56" s="32">
        <f t="shared" si="8"/>
        <v>-0.19735288075445023</v>
      </c>
      <c r="H56" s="32">
        <f t="shared" si="8"/>
        <v>3.1169431027432318E-2</v>
      </c>
      <c r="I56" s="32">
        <f t="shared" si="8"/>
        <v>1.0917266627962099</v>
      </c>
      <c r="J56" s="32">
        <f t="shared" si="8"/>
        <v>1.0721319549838608</v>
      </c>
      <c r="K56" s="32">
        <f t="shared" si="8"/>
        <v>1.3547475145351064</v>
      </c>
    </row>
    <row r="57" spans="1:11">
      <c r="B57" s="26" t="s">
        <v>61</v>
      </c>
      <c r="C57" s="26" t="s">
        <v>27</v>
      </c>
      <c r="D57" s="32">
        <f t="shared" si="8"/>
        <v>0.60667550022108041</v>
      </c>
      <c r="E57" s="32">
        <f t="shared" si="8"/>
        <v>1.346022304408635</v>
      </c>
      <c r="F57" s="32">
        <f t="shared" si="8"/>
        <v>1.3791594930279794</v>
      </c>
      <c r="G57" s="32">
        <f t="shared" si="8"/>
        <v>1.3262631202056154</v>
      </c>
      <c r="H57" s="32">
        <f t="shared" si="8"/>
        <v>1.3960002720243607</v>
      </c>
      <c r="I57" s="32">
        <f t="shared" si="8"/>
        <v>1.4358129552779264</v>
      </c>
      <c r="J57" s="32">
        <f t="shared" si="8"/>
        <v>1.3583903887765414</v>
      </c>
      <c r="K57" s="32">
        <f t="shared" si="8"/>
        <v>0.67035998451614454</v>
      </c>
    </row>
    <row r="58" spans="1:11"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1:11">
      <c r="A59" s="75" t="s">
        <v>67</v>
      </c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>
      <c r="B60" s="21"/>
      <c r="C60" s="21"/>
      <c r="D60" s="12">
        <v>1</v>
      </c>
      <c r="E60" s="12">
        <v>2</v>
      </c>
      <c r="F60" s="12">
        <v>3</v>
      </c>
      <c r="G60" s="12">
        <v>4</v>
      </c>
      <c r="H60" s="12">
        <v>5</v>
      </c>
      <c r="I60" s="12">
        <v>6</v>
      </c>
      <c r="J60" s="12">
        <v>7</v>
      </c>
      <c r="K60" s="12">
        <v>8</v>
      </c>
    </row>
    <row r="61" spans="1:11">
      <c r="B61" s="77" t="s">
        <v>71</v>
      </c>
      <c r="C61" s="77"/>
      <c r="D61" s="39">
        <f>Messaufbau_Messdaten!J30</f>
        <v>1.2590000000000001</v>
      </c>
      <c r="E61" s="39">
        <f>Messaufbau_Messdaten!K30</f>
        <v>1.8940000000000001</v>
      </c>
      <c r="F61" s="39">
        <f>Messaufbau_Messdaten!L30</f>
        <v>2.3340000000000001</v>
      </c>
      <c r="G61" s="39">
        <f>Messaufbau_Messdaten!M30</f>
        <v>1.661</v>
      </c>
      <c r="H61" s="39">
        <f>Messaufbau_Messdaten!N30</f>
        <v>2.399</v>
      </c>
      <c r="I61" s="39">
        <f>Messaufbau_Messdaten!O30</f>
        <v>1.851</v>
      </c>
      <c r="J61" s="39">
        <f>Messaufbau_Messdaten!P30</f>
        <v>2.0550000000000002</v>
      </c>
      <c r="K61" s="39">
        <f>Messaufbau_Messdaten!Q30</f>
        <v>1.5740000000000001</v>
      </c>
    </row>
    <row r="62" spans="1:11">
      <c r="B62" s="78" t="s">
        <v>70</v>
      </c>
      <c r="C62" s="78"/>
      <c r="D62" s="36">
        <f>SQRT(D55^2+D56^2+D57^2)</f>
        <v>1.2735295003224349</v>
      </c>
      <c r="E62" s="36">
        <f t="shared" ref="E62:K62" si="9">SQRT(E55^2+E56^2+E57^2)</f>
        <v>1.8716565719392855</v>
      </c>
      <c r="F62" s="36">
        <f t="shared" si="9"/>
        <v>2.3074563558548826</v>
      </c>
      <c r="G62" s="36">
        <f t="shared" si="9"/>
        <v>1.6281987810563676</v>
      </c>
      <c r="H62" s="36">
        <f t="shared" si="9"/>
        <v>2.3751260044406988</v>
      </c>
      <c r="I62" s="36">
        <f t="shared" si="9"/>
        <v>1.8874603597935455</v>
      </c>
      <c r="J62" s="36">
        <f t="shared" si="9"/>
        <v>2.0308631907529309</v>
      </c>
      <c r="K62" s="36">
        <f t="shared" si="9"/>
        <v>1.5781675388989942</v>
      </c>
    </row>
    <row r="63" spans="1:11">
      <c r="B63" s="78" t="s">
        <v>69</v>
      </c>
      <c r="C63" s="78"/>
      <c r="D63" s="36">
        <f>D62-D61</f>
        <v>1.452950032243483E-2</v>
      </c>
      <c r="E63" s="36">
        <f t="shared" ref="E63:K63" si="10">E62-E61</f>
        <v>-2.2343428060714654E-2</v>
      </c>
      <c r="F63" s="36">
        <f t="shared" si="10"/>
        <v>-2.6543644145117451E-2</v>
      </c>
      <c r="G63" s="36">
        <f t="shared" si="10"/>
        <v>-3.2801218943632415E-2</v>
      </c>
      <c r="H63" s="36">
        <f t="shared" si="10"/>
        <v>-2.3873995559301253E-2</v>
      </c>
      <c r="I63" s="36">
        <f t="shared" si="10"/>
        <v>3.646035979354556E-2</v>
      </c>
      <c r="J63" s="36">
        <f t="shared" si="10"/>
        <v>-2.4136809247069291E-2</v>
      </c>
      <c r="K63" s="36">
        <f t="shared" si="10"/>
        <v>4.1675388989941275E-3</v>
      </c>
    </row>
    <row r="64" spans="1:11">
      <c r="B64" s="79" t="s">
        <v>68</v>
      </c>
      <c r="C64" s="79"/>
      <c r="D64" s="40">
        <f>1-D61/D62</f>
        <v>1.1408844725431355E-2</v>
      </c>
      <c r="E64" s="40">
        <f t="shared" ref="E64:K64" si="11">1-E61/E62</f>
        <v>-1.193778196048223E-2</v>
      </c>
      <c r="F64" s="40">
        <f t="shared" si="11"/>
        <v>-1.1503421972756334E-2</v>
      </c>
      <c r="G64" s="40">
        <f t="shared" si="11"/>
        <v>-2.014570906529678E-2</v>
      </c>
      <c r="H64" s="40">
        <f t="shared" si="11"/>
        <v>-1.0051675369923352E-2</v>
      </c>
      <c r="I64" s="40">
        <f t="shared" si="11"/>
        <v>1.9317152598390841E-2</v>
      </c>
      <c r="J64" s="40">
        <f t="shared" si="11"/>
        <v>-1.1885000110775978E-2</v>
      </c>
      <c r="K64" s="40">
        <f t="shared" si="11"/>
        <v>2.640745545876344E-3</v>
      </c>
    </row>
    <row r="65" spans="4:11">
      <c r="D65">
        <f>D63*D63</f>
        <v>2.1110637961963382E-4</v>
      </c>
      <c r="E65">
        <f t="shared" ref="E65:K65" si="12">E63*E63</f>
        <v>4.9922877750433099E-4</v>
      </c>
      <c r="F65">
        <f t="shared" si="12"/>
        <v>7.0456504450262792E-4</v>
      </c>
      <c r="G65">
        <f t="shared" si="12"/>
        <v>1.07591996418811E-3</v>
      </c>
      <c r="H65">
        <f t="shared" si="12"/>
        <v>5.6996766396553598E-4</v>
      </c>
      <c r="I65">
        <f t="shared" si="12"/>
        <v>1.3293578362747937E-3</v>
      </c>
      <c r="J65">
        <f t="shared" si="12"/>
        <v>5.8258556062940959E-4</v>
      </c>
      <c r="K65">
        <f t="shared" si="12"/>
        <v>1.7368380474629186E-5</v>
      </c>
    </row>
  </sheetData>
  <mergeCells count="11">
    <mergeCell ref="B61:C61"/>
    <mergeCell ref="B62:C62"/>
    <mergeCell ref="B63:C63"/>
    <mergeCell ref="B64:C64"/>
    <mergeCell ref="A2:K2"/>
    <mergeCell ref="A59:K59"/>
    <mergeCell ref="M38:M43"/>
    <mergeCell ref="M16:M22"/>
    <mergeCell ref="A24:K24"/>
    <mergeCell ref="A48:K48"/>
    <mergeCell ref="A53:K53"/>
  </mergeCell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abSelected="1" zoomScale="115" zoomScaleNormal="115" workbookViewId="0">
      <selection activeCell="N7" sqref="N7"/>
    </sheetView>
  </sheetViews>
  <sheetFormatPr baseColWidth="10" defaultRowHeight="15"/>
  <sheetData>
    <row r="2" spans="1:14">
      <c r="A2" s="75" t="s">
        <v>110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62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9"/>
      <c r="E6" s="2"/>
      <c r="F6" s="71"/>
      <c r="G6" s="2"/>
      <c r="H6" s="69"/>
    </row>
    <row r="7" spans="1:14">
      <c r="B7" s="73" t="s">
        <v>109</v>
      </c>
      <c r="C7" s="73"/>
      <c r="D7" s="73"/>
      <c r="E7" s="70" t="s">
        <v>63</v>
      </c>
      <c r="F7" s="67" t="s">
        <v>56</v>
      </c>
      <c r="G7" s="70" t="s">
        <v>27</v>
      </c>
      <c r="H7" s="68" t="s">
        <v>108</v>
      </c>
      <c r="I7" s="16"/>
    </row>
    <row r="8" spans="1:1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</row>
    <row r="9" spans="1:14">
      <c r="A9" s="75" t="s">
        <v>114</v>
      </c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111</v>
      </c>
      <c r="D11" s="38">
        <f t="shared" ref="D11:K13" si="0">INDEX(MMULT($B$3:$D$5,D$18:D$20),ROW(A1))</f>
        <v>0.36899025622753345</v>
      </c>
      <c r="E11" s="38">
        <f t="shared" si="0"/>
        <v>-0.59649389909676842</v>
      </c>
      <c r="F11" s="38">
        <f t="shared" si="0"/>
        <v>1.1712628516352657</v>
      </c>
      <c r="G11" s="38">
        <f t="shared" si="0"/>
        <v>-0.71120216839542139</v>
      </c>
      <c r="H11" s="38">
        <f t="shared" si="0"/>
        <v>1.4794093780579136</v>
      </c>
      <c r="I11" s="38">
        <f t="shared" si="0"/>
        <v>-0.42808156494386457</v>
      </c>
      <c r="J11" s="38">
        <f t="shared" si="0"/>
        <v>0.81841766833165752</v>
      </c>
      <c r="K11" s="38">
        <f t="shared" si="0"/>
        <v>0.34938785677667872</v>
      </c>
      <c r="M11" s="31"/>
      <c r="N11">
        <f>MMULT(MINVERSE(B3:D5),B3:D5)</f>
        <v>1</v>
      </c>
    </row>
    <row r="12" spans="1:14">
      <c r="B12" t="s">
        <v>112</v>
      </c>
      <c r="D12" s="38">
        <f t="shared" si="0"/>
        <v>-0.77925421686698115</v>
      </c>
      <c r="E12" s="38">
        <f t="shared" si="0"/>
        <v>-0.80435009621337394</v>
      </c>
      <c r="F12" s="38">
        <f t="shared" si="0"/>
        <v>-0.81068428581271845</v>
      </c>
      <c r="G12" s="38">
        <f t="shared" si="0"/>
        <v>-0.15196125025374135</v>
      </c>
      <c r="H12" s="38">
        <f t="shared" si="0"/>
        <v>2.4000442649746274E-2</v>
      </c>
      <c r="I12" s="38">
        <f t="shared" si="0"/>
        <v>0.84062949083018601</v>
      </c>
      <c r="J12" s="38">
        <f t="shared" si="0"/>
        <v>0.8255416636486046</v>
      </c>
      <c r="K12" s="38">
        <f t="shared" si="0"/>
        <v>1.0431556042794214</v>
      </c>
      <c r="M12" s="31"/>
    </row>
    <row r="13" spans="1:14">
      <c r="B13" t="s">
        <v>113</v>
      </c>
      <c r="D13" s="38">
        <f t="shared" si="0"/>
        <v>0.48534054685014927</v>
      </c>
      <c r="E13" s="38">
        <f t="shared" si="0"/>
        <v>1.0768179767189385</v>
      </c>
      <c r="F13" s="38">
        <f t="shared" si="0"/>
        <v>1.1033277657391252</v>
      </c>
      <c r="G13" s="38">
        <f t="shared" si="0"/>
        <v>1.0610103396239789</v>
      </c>
      <c r="H13" s="38">
        <f t="shared" si="0"/>
        <v>1.1168001022406253</v>
      </c>
      <c r="I13" s="38">
        <f t="shared" si="0"/>
        <v>1.1486502853104683</v>
      </c>
      <c r="J13" s="38">
        <f t="shared" si="0"/>
        <v>1.0867120663113556</v>
      </c>
      <c r="K13" s="38">
        <f t="shared" si="0"/>
        <v>0.53628775367717918</v>
      </c>
      <c r="M13" s="31"/>
    </row>
    <row r="14" spans="1:14">
      <c r="B14" t="s">
        <v>74</v>
      </c>
      <c r="D14" s="41">
        <f t="shared" ref="D14:K14" si="1">(D$11-D$22)^2+(D$12-D$23)^2+(D$13-D$24)^2</f>
        <v>1.0865123942952575E-13</v>
      </c>
      <c r="E14" s="41">
        <f t="shared" si="1"/>
        <v>1.9980483288432231E-14</v>
      </c>
      <c r="F14" s="41">
        <f t="shared" si="1"/>
        <v>5.5694389651547499E-13</v>
      </c>
      <c r="G14" s="41">
        <f t="shared" si="1"/>
        <v>1.1645067986646981E-13</v>
      </c>
      <c r="H14" s="41">
        <f t="shared" si="1"/>
        <v>5.4831353090163653E-13</v>
      </c>
      <c r="I14" s="41">
        <f t="shared" si="1"/>
        <v>3.0956319965348718E-13</v>
      </c>
      <c r="J14" s="41">
        <f t="shared" si="1"/>
        <v>4.1122199106554514E-13</v>
      </c>
      <c r="K14" s="41">
        <f t="shared" si="1"/>
        <v>2.3778262824168803E-13</v>
      </c>
    </row>
    <row r="15" spans="1:14">
      <c r="D15" s="31"/>
      <c r="E15" s="31"/>
      <c r="F15" s="2"/>
      <c r="G15" s="2"/>
      <c r="H15" s="2"/>
    </row>
    <row r="16" spans="1:14">
      <c r="A16" s="75" t="s">
        <v>66</v>
      </c>
      <c r="B16" s="76"/>
      <c r="C16" s="76"/>
      <c r="D16" s="76"/>
      <c r="E16" s="76"/>
      <c r="F16" s="76"/>
      <c r="G16" s="76"/>
      <c r="H16" s="76"/>
      <c r="I16" s="76"/>
      <c r="J16" s="76"/>
      <c r="K16" s="76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5">
        <v>0.47920812497082266</v>
      </c>
      <c r="E18" s="65">
        <v>-0.77466740142437462</v>
      </c>
      <c r="F18" s="65">
        <v>1.521120586539306</v>
      </c>
      <c r="G18" s="65">
        <v>-0.92363917973431353</v>
      </c>
      <c r="H18" s="65">
        <v>1.921310880594693</v>
      </c>
      <c r="I18" s="65">
        <v>-0.55595008434268123</v>
      </c>
      <c r="J18" s="65">
        <v>1.0628800887424124</v>
      </c>
      <c r="K18" s="65">
        <v>0.45375046334633601</v>
      </c>
      <c r="M18" s="66">
        <f ca="1">RAND()-RAND()</f>
        <v>-6.8294411238244424E-2</v>
      </c>
      <c r="ID18">
        <v>0</v>
      </c>
    </row>
    <row r="19" spans="1:238">
      <c r="B19" s="16" t="s">
        <v>115</v>
      </c>
      <c r="C19" s="2" t="s">
        <v>27</v>
      </c>
      <c r="D19" s="65">
        <v>-1.0120184634636118</v>
      </c>
      <c r="E19" s="65">
        <v>-1.0446105145628233</v>
      </c>
      <c r="F19" s="65">
        <v>-1.0528367348217123</v>
      </c>
      <c r="G19" s="65">
        <v>-0.19735227305680694</v>
      </c>
      <c r="H19" s="65">
        <v>3.1169406038631525E-2</v>
      </c>
      <c r="I19" s="65">
        <v>1.0917266114677739</v>
      </c>
      <c r="J19" s="65">
        <v>1.0721320307124735</v>
      </c>
      <c r="K19" s="65">
        <v>1.3547475380252225</v>
      </c>
      <c r="M19" s="66">
        <f t="shared" ref="M19" ca="1" si="2">RAND()-RAND()</f>
        <v>-0.36739403223823008</v>
      </c>
    </row>
    <row r="20" spans="1:238">
      <c r="C20" s="2"/>
      <c r="D20" s="65">
        <v>0.60667568356268653</v>
      </c>
      <c r="E20" s="65">
        <v>1.346022470898673</v>
      </c>
      <c r="F20" s="65">
        <v>1.3791597071739063</v>
      </c>
      <c r="G20" s="65">
        <v>1.3262629245299737</v>
      </c>
      <c r="H20" s="65">
        <v>1.3960001278007816</v>
      </c>
      <c r="I20" s="65">
        <v>1.4358128566380854</v>
      </c>
      <c r="J20" s="65">
        <v>1.3583900828891946</v>
      </c>
      <c r="K20" s="65">
        <v>0.67035969209647395</v>
      </c>
      <c r="M20" s="66">
        <f ca="1">IF(RAND()-RAND()&lt;0,-1*RAND()-RAND(),RAND()-RAND())</f>
        <v>-1.631864317601204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116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75" t="s">
        <v>62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75" t="s">
        <v>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115</v>
      </c>
      <c r="C33" s="26" t="s">
        <v>27</v>
      </c>
      <c r="D33" s="32">
        <f t="shared" ref="D33:K33" si="3">D18+$D$27</f>
        <v>0.47920812497082266</v>
      </c>
      <c r="E33" s="32">
        <f t="shared" si="3"/>
        <v>-0.77466740142437462</v>
      </c>
      <c r="F33" s="32">
        <f t="shared" si="3"/>
        <v>1.521120586539306</v>
      </c>
      <c r="G33" s="32">
        <f t="shared" si="3"/>
        <v>-0.92363917973431353</v>
      </c>
      <c r="H33" s="32">
        <f t="shared" si="3"/>
        <v>1.921310880594693</v>
      </c>
      <c r="I33" s="32">
        <f t="shared" si="3"/>
        <v>-0.55595008434268123</v>
      </c>
      <c r="J33" s="32">
        <f t="shared" si="3"/>
        <v>1.0628800887424124</v>
      </c>
      <c r="K33" s="32">
        <f t="shared" si="3"/>
        <v>0.45375046334633601</v>
      </c>
    </row>
    <row r="34" spans="1:11">
      <c r="B34" s="26" t="s">
        <v>117</v>
      </c>
      <c r="C34" s="26" t="s">
        <v>27</v>
      </c>
      <c r="D34" s="32">
        <f t="shared" ref="D34:E34" si="4">D19+$D$27</f>
        <v>-1.0120184634636118</v>
      </c>
      <c r="E34" s="32">
        <f t="shared" si="4"/>
        <v>-1.0446105145628233</v>
      </c>
      <c r="F34" s="32">
        <f t="shared" ref="F34:K35" si="5">F19+$D$27</f>
        <v>-1.0528367348217123</v>
      </c>
      <c r="G34" s="32">
        <f t="shared" si="5"/>
        <v>-0.19735227305680694</v>
      </c>
      <c r="H34" s="32">
        <f t="shared" si="5"/>
        <v>3.1169406038631525E-2</v>
      </c>
      <c r="I34" s="32">
        <f t="shared" si="5"/>
        <v>1.0917266114677739</v>
      </c>
      <c r="J34" s="32">
        <f t="shared" si="5"/>
        <v>1.0721320307124735</v>
      </c>
      <c r="K34" s="32">
        <f t="shared" si="5"/>
        <v>1.3547475380252225</v>
      </c>
    </row>
    <row r="35" spans="1:11">
      <c r="B35" s="26" t="s">
        <v>118</v>
      </c>
      <c r="C35" s="26" t="s">
        <v>27</v>
      </c>
      <c r="D35" s="32">
        <f t="shared" ref="D35:E35" si="6">D20+$D$27</f>
        <v>0.60667568356268653</v>
      </c>
      <c r="E35" s="32">
        <f t="shared" si="6"/>
        <v>1.346022470898673</v>
      </c>
      <c r="F35" s="32">
        <f t="shared" si="5"/>
        <v>1.3791597071739063</v>
      </c>
      <c r="G35" s="32">
        <f t="shared" si="5"/>
        <v>1.3262629245299737</v>
      </c>
      <c r="H35" s="32">
        <f t="shared" si="5"/>
        <v>1.3960001278007816</v>
      </c>
      <c r="I35" s="32">
        <f t="shared" si="5"/>
        <v>1.4358128566380854</v>
      </c>
      <c r="J35" s="32">
        <f t="shared" si="5"/>
        <v>1.3583900828891946</v>
      </c>
      <c r="K35" s="32">
        <f t="shared" si="5"/>
        <v>0.67035969209647395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75" t="s">
        <v>67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77" t="s">
        <v>71</v>
      </c>
      <c r="C39" s="77"/>
      <c r="D39" s="39">
        <f>Messaufbau_Messdaten!J30</f>
        <v>1.2590000000000001</v>
      </c>
      <c r="E39" s="39">
        <f>Messaufbau_Messdaten!K30</f>
        <v>1.8940000000000001</v>
      </c>
      <c r="F39" s="39">
        <f>Messaufbau_Messdaten!L30</f>
        <v>2.3340000000000001</v>
      </c>
      <c r="G39" s="39">
        <f>Messaufbau_Messdaten!M30</f>
        <v>1.661</v>
      </c>
      <c r="H39" s="39">
        <f>Messaufbau_Messdaten!N30</f>
        <v>2.399</v>
      </c>
      <c r="I39" s="39">
        <f>Messaufbau_Messdaten!O30</f>
        <v>1.851</v>
      </c>
      <c r="J39" s="39">
        <f>Messaufbau_Messdaten!P30</f>
        <v>2.0550000000000002</v>
      </c>
      <c r="K39" s="39">
        <f>Messaufbau_Messdaten!Q30</f>
        <v>1.5740000000000001</v>
      </c>
    </row>
    <row r="40" spans="1:11">
      <c r="B40" s="78" t="s">
        <v>70</v>
      </c>
      <c r="C40" s="78"/>
      <c r="D40" s="36">
        <f>SQRT(D33^2+D34^2+D35^2)</f>
        <v>1.2735294195485058</v>
      </c>
      <c r="E40" s="36">
        <f t="shared" ref="E40:K40" si="7">SQRT(E33^2+E34^2+E35^2)</f>
        <v>1.8716562724306427</v>
      </c>
      <c r="F40" s="36">
        <f t="shared" si="7"/>
        <v>2.3074562892665469</v>
      </c>
      <c r="G40" s="36">
        <f t="shared" si="7"/>
        <v>1.6281985748070666</v>
      </c>
      <c r="H40" s="36">
        <f t="shared" si="7"/>
        <v>2.3751259732031382</v>
      </c>
      <c r="I40" s="36">
        <f t="shared" si="7"/>
        <v>1.8874602114361938</v>
      </c>
      <c r="J40" s="36">
        <f t="shared" si="7"/>
        <v>2.0308630656980404</v>
      </c>
      <c r="K40" s="36">
        <f t="shared" si="7"/>
        <v>1.578167447250163</v>
      </c>
    </row>
    <row r="41" spans="1:11">
      <c r="B41" s="78" t="s">
        <v>69</v>
      </c>
      <c r="C41" s="78"/>
      <c r="D41" s="36">
        <f>D40-D39</f>
        <v>1.4529419548505729E-2</v>
      </c>
      <c r="E41" s="36">
        <f t="shared" ref="E41:K41" si="8">E40-E39</f>
        <v>-2.234372756935743E-2</v>
      </c>
      <c r="F41" s="36">
        <f t="shared" si="8"/>
        <v>-2.6543710733453185E-2</v>
      </c>
      <c r="G41" s="36">
        <f t="shared" si="8"/>
        <v>-3.2801425192933387E-2</v>
      </c>
      <c r="H41" s="36">
        <f t="shared" si="8"/>
        <v>-2.3874026796861791E-2</v>
      </c>
      <c r="I41" s="36">
        <f t="shared" si="8"/>
        <v>3.6460211436193823E-2</v>
      </c>
      <c r="J41" s="36">
        <f t="shared" si="8"/>
        <v>-2.4136934301959734E-2</v>
      </c>
      <c r="K41" s="36">
        <f t="shared" si="8"/>
        <v>4.1674472501629367E-3</v>
      </c>
    </row>
    <row r="42" spans="1:11">
      <c r="B42" s="79" t="s">
        <v>68</v>
      </c>
      <c r="C42" s="79"/>
      <c r="D42" s="40">
        <f>ABS(1-D39/D40)</f>
        <v>1.1408782023784481E-2</v>
      </c>
      <c r="E42" s="40">
        <f t="shared" ref="E42:K42" si="9">ABS(1-E39/E40)</f>
        <v>1.1937943894121394E-2</v>
      </c>
      <c r="F42" s="40">
        <f t="shared" si="9"/>
        <v>1.1503451162617973E-2</v>
      </c>
      <c r="G42" s="40">
        <f t="shared" si="9"/>
        <v>2.0145838290529294E-2</v>
      </c>
      <c r="H42" s="40">
        <f t="shared" si="9"/>
        <v>1.0051688654082236E-2</v>
      </c>
      <c r="I42" s="40">
        <f t="shared" si="9"/>
        <v>1.9317075515171145E-2</v>
      </c>
      <c r="J42" s="40">
        <f t="shared" si="9"/>
        <v>1.1885062419835446E-2</v>
      </c>
      <c r="K42" s="40">
        <f t="shared" si="9"/>
        <v>2.6406876262873302E-3</v>
      </c>
    </row>
    <row r="43" spans="1:11">
      <c r="B43" s="81" t="s">
        <v>107</v>
      </c>
      <c r="C43" s="81"/>
      <c r="D43" s="42">
        <f>D41*D41</f>
        <v>2.1110403241650041E-4</v>
      </c>
      <c r="E43" s="42">
        <f t="shared" ref="E43:K43" si="10">E41*E41</f>
        <v>4.9924216169366323E-4</v>
      </c>
      <c r="F43" s="42">
        <f t="shared" si="10"/>
        <v>7.0456857950123783E-4</v>
      </c>
      <c r="G43" s="42">
        <f t="shared" si="10"/>
        <v>1.0759334946876052E-3</v>
      </c>
      <c r="H43" s="42">
        <f t="shared" si="10"/>
        <v>5.6996915549727492E-4</v>
      </c>
      <c r="I43" s="42">
        <f t="shared" si="10"/>
        <v>1.3293470179719588E-3</v>
      </c>
      <c r="J43" s="42">
        <f t="shared" si="10"/>
        <v>5.8259159749712039E-4</v>
      </c>
      <c r="K43" s="42">
        <f t="shared" si="10"/>
        <v>1.7367616582890622E-5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4" zoomScale="115" zoomScaleNormal="115" workbookViewId="0">
      <selection activeCell="E59" sqref="E59"/>
    </sheetView>
  </sheetViews>
  <sheetFormatPr baseColWidth="10" defaultRowHeight="15"/>
  <sheetData>
    <row r="2" spans="1:11">
      <c r="A2" s="75" t="s">
        <v>65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75" t="s">
        <v>66</v>
      </c>
      <c r="B7" s="76"/>
      <c r="C7" s="76"/>
      <c r="D7" s="76"/>
      <c r="E7" s="76"/>
      <c r="F7" s="76"/>
      <c r="G7" s="76"/>
      <c r="H7" s="76"/>
      <c r="I7" s="76"/>
      <c r="J7" s="76"/>
      <c r="K7" s="76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82" t="s">
        <v>73</v>
      </c>
      <c r="E13" s="83"/>
      <c r="F13" s="83"/>
      <c r="G13" s="83"/>
      <c r="H13" s="83"/>
      <c r="I13" s="83"/>
      <c r="J13" s="83"/>
      <c r="K13" s="83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75" t="s">
        <v>62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75" t="s">
        <v>64</v>
      </c>
      <c r="B24" s="76"/>
      <c r="C24" s="76"/>
      <c r="D24" s="76"/>
      <c r="E24" s="76"/>
      <c r="F24" s="76"/>
      <c r="G24" s="76"/>
      <c r="H24" s="76"/>
      <c r="I24" s="76"/>
      <c r="J24" s="76"/>
      <c r="K24" s="76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75" t="s">
        <v>67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77" t="s">
        <v>71</v>
      </c>
      <c r="C32" s="77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78" t="s">
        <v>70</v>
      </c>
      <c r="C33" s="78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78" t="s">
        <v>69</v>
      </c>
      <c r="C34" s="78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79" t="s">
        <v>68</v>
      </c>
      <c r="C35" s="79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10</vt:i4>
      </vt:variant>
    </vt:vector>
  </HeadingPairs>
  <TitlesOfParts>
    <vt:vector size="15" baseType="lpstr">
      <vt:lpstr>Messaufbau_Messdaten</vt:lpstr>
      <vt:lpstr>num.-Neues-Modell</vt:lpstr>
      <vt:lpstr>numerisch</vt:lpstr>
      <vt:lpstr>analytisch</vt:lpstr>
      <vt:lpstr>Modell+Rechnung</vt:lpstr>
      <vt:lpstr>A_1</vt:lpstr>
      <vt:lpstr>A_2</vt:lpstr>
      <vt:lpstr>d_10</vt:lpstr>
      <vt:lpstr>d_20</vt:lpstr>
      <vt:lpstr>d_30</vt:lpstr>
      <vt:lpstr>OFFSET</vt:lpstr>
      <vt:lpstr>THETA_0</vt:lpstr>
      <vt:lpstr>THETA_1</vt:lpstr>
      <vt:lpstr>THETA_2</vt:lpstr>
      <vt:lpstr>THETA_3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2013-05-21T12:01:47Z</cp:lastPrinted>
  <dcterms:created xsi:type="dcterms:W3CDTF">2013-05-15T11:03:42Z</dcterms:created>
  <dcterms:modified xsi:type="dcterms:W3CDTF">2013-05-24T12:51:32Z</dcterms:modified>
</cp:coreProperties>
</file>