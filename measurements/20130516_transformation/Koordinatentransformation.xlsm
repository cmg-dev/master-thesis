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30" yWindow="30" windowWidth="22695" windowHeight="1270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</sheets>
  <definedNames>
    <definedName name="A_1">'num.-Neues-Modell'!$E$8</definedName>
    <definedName name="A_2">'num.-Neues-Modell'!$F$8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'num.-Neues-Modell'!$D$16:$D$22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'num.-Neues-Modell'!$D$16:$D$19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1" hidden="1">'num.-Neues-Modell'!$D$16:$D$19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1" hidden="1">'num.-Neues-Modell'!$D$55:$D$57</definedName>
    <definedName name="solver_lhs3" localSheetId="2" hidden="1">numerisch!$F$18</definedName>
    <definedName name="solver_lhs4" localSheetId="1" hidden="1">'num.-Neues-Modell'!$D$19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1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'num.-Neues-Modell'!$D$51</definedName>
    <definedName name="solver_opt" localSheetId="2" hidden="1">numerisch!$K$14</definedName>
    <definedName name="solver_pre" localSheetId="1" hidden="1">0.001</definedName>
    <definedName name="solver_pre" localSheetId="2" hidden="1">0.000001</definedName>
    <definedName name="solver_rel1" localSheetId="1" hidden="1">3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1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1" hidden="1">4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1" hidden="1">3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1" hidden="1">Ganzzahlig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HETA_0">'num.-Neues-Modell'!$H$11</definedName>
    <definedName name="THETA_1">'num.-Neues-Modell'!$H$8</definedName>
    <definedName name="THETA_2">'num.-Neues-Modell'!$H$9</definedName>
    <definedName name="THETA_3">'num.-Neues-Modell'!$H$10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5725"/>
</workbook>
</file>

<file path=xl/calcChain.xml><?xml version="1.0" encoding="utf-8"?>
<calcChain xmlns="http://schemas.openxmlformats.org/spreadsheetml/2006/main">
  <c r="D8" i="18"/>
  <c r="E56"/>
  <c r="F56"/>
  <c r="G56"/>
  <c r="H56"/>
  <c r="I56"/>
  <c r="J56"/>
  <c r="K56"/>
  <c r="E57"/>
  <c r="F57"/>
  <c r="G57"/>
  <c r="H57"/>
  <c r="I57"/>
  <c r="J57"/>
  <c r="K57"/>
  <c r="E58"/>
  <c r="F58"/>
  <c r="G58"/>
  <c r="H58"/>
  <c r="I58"/>
  <c r="J58"/>
  <c r="K58"/>
  <c r="E59"/>
  <c r="F59"/>
  <c r="G59"/>
  <c r="H59"/>
  <c r="I59"/>
  <c r="J59"/>
  <c r="K59"/>
  <c r="E60"/>
  <c r="F60"/>
  <c r="G60"/>
  <c r="H60"/>
  <c r="I60"/>
  <c r="J60"/>
  <c r="K60"/>
  <c r="E55"/>
  <c r="F55"/>
  <c r="G55"/>
  <c r="H55"/>
  <c r="I55"/>
  <c r="J55"/>
  <c r="K55"/>
  <c r="F49"/>
  <c r="G49"/>
  <c r="H49"/>
  <c r="F50"/>
  <c r="G50"/>
  <c r="H50"/>
  <c r="H48"/>
  <c r="G48"/>
  <c r="F48"/>
  <c r="B29"/>
  <c r="D107"/>
  <c r="E107"/>
  <c r="D42" s="1"/>
  <c r="D108"/>
  <c r="E108"/>
  <c r="D109"/>
  <c r="E109"/>
  <c r="D44" s="1"/>
  <c r="D110"/>
  <c r="C45" s="1"/>
  <c r="E110"/>
  <c r="C110"/>
  <c r="C109"/>
  <c r="C108"/>
  <c r="C107"/>
  <c r="B43"/>
  <c r="C44"/>
  <c r="D45"/>
  <c r="D106"/>
  <c r="E106"/>
  <c r="C106"/>
  <c r="E104"/>
  <c r="D104"/>
  <c r="C104"/>
  <c r="B39" s="1"/>
  <c r="E103"/>
  <c r="D38" s="1"/>
  <c r="D103"/>
  <c r="C38" s="1"/>
  <c r="C103"/>
  <c r="D102"/>
  <c r="E102"/>
  <c r="C102"/>
  <c r="D37"/>
  <c r="D99"/>
  <c r="C34" s="1"/>
  <c r="E99"/>
  <c r="E100"/>
  <c r="D35" s="1"/>
  <c r="D100"/>
  <c r="C35" s="1"/>
  <c r="C100"/>
  <c r="B35" s="1"/>
  <c r="C99"/>
  <c r="D34"/>
  <c r="D98"/>
  <c r="E98"/>
  <c r="D33" s="1"/>
  <c r="C98"/>
  <c r="E95"/>
  <c r="D30" s="1"/>
  <c r="D95"/>
  <c r="C30" s="1"/>
  <c r="C95"/>
  <c r="C96"/>
  <c r="B31" s="1"/>
  <c r="D96"/>
  <c r="E96"/>
  <c r="D31"/>
  <c r="D94"/>
  <c r="E94"/>
  <c r="D29" s="1"/>
  <c r="C94"/>
  <c r="C90"/>
  <c r="B25" s="1"/>
  <c r="B45"/>
  <c r="B44"/>
  <c r="D41"/>
  <c r="C41"/>
  <c r="C39"/>
  <c r="B38"/>
  <c r="B34"/>
  <c r="C31"/>
  <c r="B30"/>
  <c r="E50" s="1"/>
  <c r="C29"/>
  <c r="D43"/>
  <c r="C43"/>
  <c r="C42"/>
  <c r="B42"/>
  <c r="B41"/>
  <c r="D39"/>
  <c r="C37"/>
  <c r="B37"/>
  <c r="C33"/>
  <c r="B33"/>
  <c r="N86"/>
  <c r="O86"/>
  <c r="P86"/>
  <c r="Q86"/>
  <c r="R86"/>
  <c r="S86"/>
  <c r="N87"/>
  <c r="O87"/>
  <c r="P87"/>
  <c r="Q87"/>
  <c r="R87"/>
  <c r="S87"/>
  <c r="N88"/>
  <c r="O88"/>
  <c r="P88"/>
  <c r="Q88"/>
  <c r="R88"/>
  <c r="S88"/>
  <c r="M87"/>
  <c r="M88"/>
  <c r="M86"/>
  <c r="P26"/>
  <c r="P25" a="1"/>
  <c r="P25" s="1"/>
  <c r="P24" a="1"/>
  <c r="P24" s="1"/>
  <c r="P23"/>
  <c r="D74"/>
  <c r="J10" s="1"/>
  <c r="E92"/>
  <c r="D92"/>
  <c r="C27" s="1"/>
  <c r="C92"/>
  <c r="B27" s="1"/>
  <c r="E91"/>
  <c r="D26" s="1"/>
  <c r="D91"/>
  <c r="C26" s="1"/>
  <c r="C91"/>
  <c r="B26" s="1"/>
  <c r="E90"/>
  <c r="D25" s="1"/>
  <c r="D90"/>
  <c r="C25" s="1"/>
  <c r="D73"/>
  <c r="J9" s="1"/>
  <c r="D72"/>
  <c r="J8" s="1"/>
  <c r="H9"/>
  <c r="H10"/>
  <c r="H8"/>
  <c r="H11"/>
  <c r="M17"/>
  <c r="M18"/>
  <c r="M19"/>
  <c r="M20"/>
  <c r="M21"/>
  <c r="M22"/>
  <c r="M16"/>
  <c r="N11" i="15"/>
  <c r="M20"/>
  <c r="M19"/>
  <c r="M18"/>
  <c r="E72" i="18"/>
  <c r="F72"/>
  <c r="G72"/>
  <c r="H72"/>
  <c r="I72"/>
  <c r="J72"/>
  <c r="K72"/>
  <c r="E73"/>
  <c r="F73"/>
  <c r="G73"/>
  <c r="H73"/>
  <c r="I73"/>
  <c r="J73"/>
  <c r="K73"/>
  <c r="E74"/>
  <c r="F74"/>
  <c r="G74"/>
  <c r="H74"/>
  <c r="I74"/>
  <c r="J74"/>
  <c r="K74"/>
  <c r="C5"/>
  <c r="E8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E48" i="18" l="1"/>
  <c r="E49"/>
  <c r="D56"/>
  <c r="G8"/>
  <c r="G9"/>
  <c r="F8"/>
  <c r="D55"/>
  <c r="G10"/>
  <c r="D57"/>
  <c r="L90"/>
  <c r="Q90"/>
  <c r="M90"/>
  <c r="P90"/>
  <c r="D10" s="1"/>
  <c r="R90"/>
  <c r="N90"/>
  <c r="S90"/>
  <c r="O90"/>
  <c r="D9" s="1"/>
  <c r="K79"/>
  <c r="D27"/>
  <c r="I49" s="1"/>
  <c r="J79"/>
  <c r="I79"/>
  <c r="F79"/>
  <c r="G79"/>
  <c r="E79"/>
  <c r="H79"/>
  <c r="D79"/>
  <c r="D22" i="15"/>
  <c r="E14"/>
  <c r="G78" i="18"/>
  <c r="K78"/>
  <c r="F78"/>
  <c r="J78"/>
  <c r="E78"/>
  <c r="I78"/>
  <c r="H78"/>
  <c r="K17" i="14"/>
  <c r="G17"/>
  <c r="J16"/>
  <c r="J9" s="1"/>
  <c r="J26" s="1"/>
  <c r="F16"/>
  <c r="I15"/>
  <c r="E15"/>
  <c r="E11" s="1"/>
  <c r="E28" s="1"/>
  <c r="I32"/>
  <c r="E32"/>
  <c r="G22" i="15"/>
  <c r="K22"/>
  <c r="G23"/>
  <c r="K23"/>
  <c r="G24"/>
  <c r="K24"/>
  <c r="G39"/>
  <c r="K39"/>
  <c r="D17" i="14"/>
  <c r="H17"/>
  <c r="H9" s="1"/>
  <c r="H26" s="1"/>
  <c r="K16"/>
  <c r="K11" s="1"/>
  <c r="K28" s="1"/>
  <c r="G16"/>
  <c r="J15"/>
  <c r="F15"/>
  <c r="F9" s="1"/>
  <c r="F26" s="1"/>
  <c r="J32"/>
  <c r="F32"/>
  <c r="F22" i="15"/>
  <c r="J22"/>
  <c r="F23"/>
  <c r="J23"/>
  <c r="F24"/>
  <c r="J24"/>
  <c r="F39"/>
  <c r="J39"/>
  <c r="D16" i="14"/>
  <c r="I17"/>
  <c r="I10" s="1"/>
  <c r="I27" s="1"/>
  <c r="E17"/>
  <c r="H16"/>
  <c r="K15"/>
  <c r="G15"/>
  <c r="G11" s="1"/>
  <c r="G28" s="1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H15"/>
  <c r="H11" s="1"/>
  <c r="H28" s="1"/>
  <c r="D32"/>
  <c r="H32"/>
  <c r="H22" i="15"/>
  <c r="D23"/>
  <c r="H23"/>
  <c r="D24"/>
  <c r="H24"/>
  <c r="D39"/>
  <c r="H39"/>
  <c r="I9" i="14"/>
  <c r="I26" s="1"/>
  <c r="K10"/>
  <c r="K27" s="1"/>
  <c r="H10"/>
  <c r="H27" s="1"/>
  <c r="K9"/>
  <c r="K26" s="1"/>
  <c r="E10"/>
  <c r="E27" s="1"/>
  <c r="J10"/>
  <c r="J27" s="1"/>
  <c r="Q31" i="1"/>
  <c r="G24" i="4"/>
  <c r="H10" s="1"/>
  <c r="G23"/>
  <c r="H9" s="1"/>
  <c r="G25"/>
  <c r="H11" s="1"/>
  <c r="K48" i="18" l="1"/>
  <c r="I48"/>
  <c r="K49"/>
  <c r="J49"/>
  <c r="D49"/>
  <c r="J48"/>
  <c r="D48"/>
  <c r="D50"/>
  <c r="F10" i="14"/>
  <c r="F27" s="1"/>
  <c r="G10"/>
  <c r="G27" s="1"/>
  <c r="E9"/>
  <c r="E26" s="1"/>
  <c r="E33" s="1"/>
  <c r="E35" s="1"/>
  <c r="G9"/>
  <c r="G26" s="1"/>
  <c r="G33" s="1"/>
  <c r="G34" s="1"/>
  <c r="F11"/>
  <c r="F28" s="1"/>
  <c r="I11"/>
  <c r="I28" s="1"/>
  <c r="D60" i="18"/>
  <c r="D63" s="1"/>
  <c r="D59"/>
  <c r="D62" s="1"/>
  <c r="D58"/>
  <c r="D61" s="1"/>
  <c r="K81"/>
  <c r="J50"/>
  <c r="I50"/>
  <c r="K50"/>
  <c r="J81"/>
  <c r="H81"/>
  <c r="I81"/>
  <c r="F81"/>
  <c r="G81"/>
  <c r="E81"/>
  <c r="D81"/>
  <c r="J11" s="1"/>
  <c r="D14" i="15"/>
  <c r="I80" i="18"/>
  <c r="I82" s="1"/>
  <c r="I14" i="15"/>
  <c r="F14"/>
  <c r="G14"/>
  <c r="D80" i="18"/>
  <c r="D82" s="1"/>
  <c r="G80"/>
  <c r="G82" s="1"/>
  <c r="D10" i="14"/>
  <c r="D27" s="1"/>
  <c r="D9"/>
  <c r="D26" s="1"/>
  <c r="J14" i="15"/>
  <c r="K14"/>
  <c r="H80" i="18"/>
  <c r="H82" s="1"/>
  <c r="E80"/>
  <c r="E82" s="1"/>
  <c r="F80"/>
  <c r="F82" s="1"/>
  <c r="K80"/>
  <c r="K82" s="1"/>
  <c r="H14" i="15"/>
  <c r="J80" i="18"/>
  <c r="J82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H33" i="14"/>
  <c r="H34" s="1"/>
  <c r="K33"/>
  <c r="K35" s="1"/>
  <c r="J33"/>
  <c r="J35" s="1"/>
  <c r="F33"/>
  <c r="F35" s="1"/>
  <c r="I33"/>
  <c r="I35" s="1"/>
  <c r="D17" i="4"/>
  <c r="D36" s="1"/>
  <c r="D16"/>
  <c r="D35" s="1"/>
  <c r="D15"/>
  <c r="D33" i="14" l="1"/>
  <c r="D35" s="1"/>
  <c r="D51" i="18"/>
  <c r="P22" s="1"/>
  <c r="G35" i="14"/>
  <c r="H35"/>
  <c r="H62" i="18"/>
  <c r="H63"/>
  <c r="E61"/>
  <c r="I61"/>
  <c r="K63"/>
  <c r="G62"/>
  <c r="K62"/>
  <c r="G63"/>
  <c r="H61"/>
  <c r="F62"/>
  <c r="J62"/>
  <c r="F63"/>
  <c r="J63"/>
  <c r="G61"/>
  <c r="K61"/>
  <c r="I63"/>
  <c r="J61"/>
  <c r="E62"/>
  <c r="I62"/>
  <c r="E63"/>
  <c r="F61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D34"/>
  <c r="I34"/>
  <c r="F34"/>
  <c r="E34"/>
  <c r="J34"/>
  <c r="J18" i="4"/>
  <c r="D34"/>
  <c r="J19"/>
  <c r="J20"/>
  <c r="J41" i="15" l="1"/>
  <c r="J43" s="1"/>
  <c r="J42"/>
  <c r="F41"/>
  <c r="F43" s="1"/>
  <c r="F42"/>
  <c r="J51" i="18"/>
  <c r="J52"/>
  <c r="H52"/>
  <c r="H51"/>
  <c r="D52"/>
  <c r="F51"/>
  <c r="F52"/>
  <c r="G51"/>
  <c r="G52"/>
  <c r="E52"/>
  <c r="E51"/>
  <c r="I51"/>
  <c r="I52"/>
  <c r="K52"/>
  <c r="K51"/>
  <c r="I41" i="15"/>
  <c r="I43" s="1"/>
  <c r="E41"/>
  <c r="E43" s="1"/>
  <c r="K41"/>
  <c r="K43" s="1"/>
  <c r="H41"/>
  <c r="H43" s="1"/>
  <c r="G41"/>
  <c r="G43" s="1"/>
  <c r="D41"/>
  <c r="D43" s="1"/>
</calcChain>
</file>

<file path=xl/sharedStrings.xml><?xml version="1.0" encoding="utf-8"?>
<sst xmlns="http://schemas.openxmlformats.org/spreadsheetml/2006/main" count="328" uniqueCount="146">
  <si>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</si>
  <si>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</si>
  <si>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</si>
  <si>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</si>
  <si>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</si>
  <si>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</si>
  <si>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</si>
  <si>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</si>
  <si>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</si>
  <si>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</si>
  <si>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</si>
  <si>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</si>
  <si>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</si>
  <si>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</si>
  <si>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</si>
  <si>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</si>
  <si>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</si>
  <si>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</si>
  <si>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</si>
  <si>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</si>
  <si>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</si>
  <si>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</si>
  <si>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</si>
  <si>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</si>
  <si>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</si>
  <si>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</si>
  <si>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</si>
  <si>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</si>
  <si>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</si>
  <si>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</si>
  <si>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</si>
  <si>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</si>
  <si>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</si>
  <si>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</si>
  <si>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</si>
  <si>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</si>
  <si>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</si>
  <si>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</si>
  <si>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</si>
  <si>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</si>
  <si>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</si>
  <si>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</si>
  <si>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</si>
  <si>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</si>
  <si>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</si>
  <si>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</si>
  <si>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</si>
  <si>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</si>
  <si>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</si>
  <si>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</si>
  <si>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</si>
  <si>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</si>
  <si>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</si>
  <si>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</si>
  <si>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</si>
  <si>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</si>
  <si>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</si>
  <si>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</si>
  <si>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</si>
  <si>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</si>
  <si>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</si>
  <si>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</si>
  <si>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</si>
  <si>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</si>
  <si>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</si>
  <si>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</si>
  <si>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</si>
  <si>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</si>
  <si>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</si>
  <si>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</si>
  <si>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</si>
  <si>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</si>
  <si>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</si>
  <si>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</si>
  <si>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</si>
  <si>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</si>
  <si>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</si>
  <si>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</si>
  <si>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</si>
  <si>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</si>
  <si>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</si>
  <si>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</si>
  <si>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</si>
  <si>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</si>
  <si>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</si>
  <si>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</si>
  <si>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</si>
  <si>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</si>
  <si>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</si>
  <si>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</si>
  <si>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</si>
  <si>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</si>
  <si>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</si>
  <si>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</si>
  <si>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</si>
  <si>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</si>
  <si>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</si>
  <si>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</si>
  <si>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</si>
  <si>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</si>
  <si>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</si>
  <si>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</si>
  <si>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</si>
  <si>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Der Solver variiert hier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</si>
  <si>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</si>
  <si>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</si>
  <si>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</si>
  <si>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</si>
  <si>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</si>
  <si>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</si>
  <si>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</si>
  <si>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</si>
  <si>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</si>
  <si>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</si>
  <si>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</si>
  <si>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</si>
  <si>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</si>
  <si>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</si>
  <si>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</si>
  <si>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</si>
  <si>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</si>
  <si>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</si>
  <si>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</si>
  <si>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</si>
  <si>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</si>
  <si>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</si>
  <si>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</si>
  <si>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</si>
  <si>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</si>
  <si>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</si>
  <si>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</si>
  <si>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</si>
  <si>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</si>
  <si>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</si>
  <si>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a_023457</t>
  </si>
  <si>
    <t>A_0234</t>
  </si>
  <si>
    <t>A_023457</t>
  </si>
  <si>
    <t>0243</t>
  </si>
  <si>
    <t>2043</t>
  </si>
  <si>
    <t>3204</t>
  </si>
  <si>
    <t>4230</t>
  </si>
  <si>
    <t>023457</t>
  </si>
  <si>
    <t>…</t>
  </si>
  <si>
    <t>A_2034</t>
  </si>
  <si>
    <t>A_3204</t>
  </si>
  <si>
    <t>A_4230</t>
  </si>
</sst>
</file>

<file path=xl/styles.xml><?xml version="1.0" encoding="utf-8"?>
<styleSheet xmlns="http://schemas.openxmlformats.org/spreadsheetml/2006/main">
  <numFmts count="1">
    <numFmt numFmtId="164" formatCode="0.0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4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6" borderId="0" xfId="0" applyNumberFormat="1" applyFont="1" applyFill="1" applyBorder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 textRotation="90" wrapText="1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/>
    <xf numFmtId="49" fontId="1" fillId="0" borderId="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16" zoomScale="85" zoomScaleNormal="85" workbookViewId="0">
      <selection activeCell="I58" sqref="I58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85" t="s">
        <v>6</v>
      </c>
      <c r="C1" s="85"/>
      <c r="D1" s="85"/>
      <c r="E1" s="85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84" t="s">
        <v>5</v>
      </c>
      <c r="I6" s="84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120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119</v>
      </c>
    </row>
    <row r="19" spans="1:27">
      <c r="B19" s="85" t="s">
        <v>9</v>
      </c>
      <c r="C19" s="85"/>
      <c r="D19" s="85"/>
      <c r="E19" s="85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118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121</v>
      </c>
      <c r="K48" t="s">
        <v>122</v>
      </c>
      <c r="M48" t="s">
        <v>123</v>
      </c>
      <c r="O48" t="s">
        <v>124</v>
      </c>
      <c r="Q48" t="s">
        <v>128</v>
      </c>
      <c r="S48" t="s">
        <v>127</v>
      </c>
      <c r="U48" t="s">
        <v>126</v>
      </c>
      <c r="W48" t="s">
        <v>125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121</v>
      </c>
      <c r="I51">
        <v>-30.441860465116278</v>
      </c>
    </row>
    <row r="52" spans="8:24">
      <c r="H52" t="s">
        <v>122</v>
      </c>
      <c r="I52" t="e">
        <v>#DIV/0!</v>
      </c>
    </row>
    <row r="53" spans="8:24">
      <c r="H53" t="s">
        <v>123</v>
      </c>
      <c r="I53">
        <v>-12.232758620689655</v>
      </c>
    </row>
    <row r="54" spans="8:24">
      <c r="H54" t="s">
        <v>124</v>
      </c>
      <c r="I54">
        <v>-4.4375</v>
      </c>
    </row>
    <row r="55" spans="8:24">
      <c r="H55" t="s">
        <v>128</v>
      </c>
      <c r="I55">
        <v>14.42443729903537</v>
      </c>
    </row>
    <row r="56" spans="8:24">
      <c r="H56" t="s">
        <v>127</v>
      </c>
      <c r="I56">
        <v>38.125</v>
      </c>
    </row>
    <row r="57" spans="8:24">
      <c r="H57" t="s">
        <v>126</v>
      </c>
      <c r="I57" t="e">
        <v>#DIV/0!</v>
      </c>
    </row>
    <row r="58" spans="8:24">
      <c r="H58" t="s">
        <v>125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S120"/>
  <sheetViews>
    <sheetView tabSelected="1" topLeftCell="A67" workbookViewId="0">
      <selection activeCell="N86" sqref="N86"/>
    </sheetView>
  </sheetViews>
  <sheetFormatPr baseColWidth="10" defaultRowHeight="15"/>
  <sheetData>
    <row r="2" spans="1:15">
      <c r="A2" s="89">
        <v>0</v>
      </c>
      <c r="B2" s="89"/>
      <c r="C2" s="89"/>
      <c r="D2" s="89"/>
      <c r="E2" s="89"/>
      <c r="F2" s="89"/>
      <c r="G2" s="89"/>
      <c r="H2" s="89"/>
      <c r="I2" s="89"/>
      <c r="J2" s="89"/>
      <c r="K2" s="89"/>
    </row>
    <row r="3" spans="1:15">
      <c r="B3" s="43" t="s">
        <v>97</v>
      </c>
      <c r="C3" s="44">
        <v>300000000</v>
      </c>
      <c r="D3" s="45" t="s">
        <v>98</v>
      </c>
      <c r="E3" s="45"/>
      <c r="F3" s="45"/>
      <c r="G3" s="45"/>
      <c r="H3" s="45"/>
      <c r="I3" s="45"/>
      <c r="J3" s="45"/>
      <c r="K3" s="46"/>
    </row>
    <row r="4" spans="1:15">
      <c r="B4" s="47" t="s">
        <v>99</v>
      </c>
      <c r="C4" s="48">
        <v>866300000</v>
      </c>
      <c r="D4" s="2" t="s">
        <v>100</v>
      </c>
      <c r="E4" s="2"/>
      <c r="F4" s="2"/>
      <c r="G4" s="2"/>
      <c r="H4" s="2"/>
      <c r="I4" s="2"/>
      <c r="J4" s="2"/>
      <c r="K4" s="20"/>
    </row>
    <row r="5" spans="1:15">
      <c r="B5" s="47" t="s">
        <v>101</v>
      </c>
      <c r="C5" s="2">
        <f>$C$3/$C$4</f>
        <v>0.34630035784370311</v>
      </c>
      <c r="D5" s="2" t="s">
        <v>102</v>
      </c>
      <c r="E5" s="2"/>
      <c r="F5" s="2"/>
      <c r="G5" s="2"/>
      <c r="H5" s="2"/>
      <c r="I5" s="2"/>
      <c r="J5" s="2"/>
      <c r="K5" s="20"/>
    </row>
    <row r="6" spans="1:15">
      <c r="B6" s="47"/>
      <c r="C6" s="2"/>
      <c r="I6" s="2"/>
      <c r="J6" s="2"/>
      <c r="K6" s="20"/>
    </row>
    <row r="7" spans="1:15">
      <c r="A7" s="20"/>
      <c r="B7" s="55" t="s">
        <v>78</v>
      </c>
      <c r="C7" s="21"/>
      <c r="D7" s="12" t="s">
        <v>77</v>
      </c>
      <c r="E7" s="12" t="s">
        <v>75</v>
      </c>
      <c r="F7" s="12" t="s">
        <v>76</v>
      </c>
      <c r="G7" s="12" t="s">
        <v>79</v>
      </c>
      <c r="H7" s="12" t="s">
        <v>80</v>
      </c>
      <c r="I7" s="12"/>
      <c r="J7" s="12"/>
      <c r="K7" s="49"/>
    </row>
    <row r="8" spans="1:15">
      <c r="A8" s="20"/>
      <c r="B8" s="54">
        <v>1</v>
      </c>
      <c r="C8" s="2"/>
      <c r="D8" s="2">
        <f>0.5*N90^2</f>
        <v>0.84198942471462679</v>
      </c>
      <c r="E8" s="2">
        <f>$C$5^2/8</f>
        <v>1.4990492230334603E-2</v>
      </c>
      <c r="F8" s="2">
        <f>E$8/PI()</f>
        <v>4.7716218756768064E-3</v>
      </c>
      <c r="G8" s="2">
        <f>A_1*(1/(2*PI())^2)*($H$11^2-$H8^2)</f>
        <v>0.29506271563788528</v>
      </c>
      <c r="H8" s="2">
        <f>Theta_A2</f>
        <v>-12.232758620689655</v>
      </c>
      <c r="I8" s="2"/>
      <c r="J8" s="31">
        <f>D72</f>
        <v>1.540618222388818E-2</v>
      </c>
      <c r="K8" s="20"/>
      <c r="L8" s="2"/>
      <c r="M8" s="2"/>
      <c r="N8" s="2"/>
      <c r="O8" s="2"/>
    </row>
    <row r="9" spans="1:15">
      <c r="A9" s="20"/>
      <c r="B9" s="52">
        <v>2</v>
      </c>
      <c r="C9" s="2"/>
      <c r="D9" s="2">
        <f>0.5*O90^2</f>
        <v>1.5747328563547551</v>
      </c>
      <c r="E9" s="62" t="s">
        <v>105</v>
      </c>
      <c r="F9" s="62" t="s">
        <v>105</v>
      </c>
      <c r="G9" s="2">
        <f>A_1*(1/(2*PI())^2)*($H$11^2-$H9^2)</f>
        <v>0.34440611012014449</v>
      </c>
      <c r="H9" s="2">
        <f>Theta_A3</f>
        <v>-4.4375</v>
      </c>
      <c r="I9" s="2"/>
      <c r="J9" s="31">
        <f t="shared" ref="J9:J10" si="0">D73</f>
        <v>0.94613572539337565</v>
      </c>
      <c r="K9" s="20"/>
      <c r="L9" s="2"/>
      <c r="M9" s="2"/>
      <c r="N9" s="2"/>
      <c r="O9" s="2"/>
    </row>
    <row r="10" spans="1:15">
      <c r="A10" s="20"/>
      <c r="B10" s="52">
        <v>3</v>
      </c>
      <c r="C10" s="2"/>
      <c r="D10" s="2">
        <f>0.5*P90^2</f>
        <v>1.8954667052703305</v>
      </c>
      <c r="E10" s="62" t="s">
        <v>105</v>
      </c>
      <c r="F10" s="62" t="s">
        <v>105</v>
      </c>
      <c r="G10" s="2">
        <f>A_1*(1/(2*PI())^2)*($H$11^2-$H10^2)</f>
        <v>0.27287832502747572</v>
      </c>
      <c r="H10" s="2">
        <f>Theta_A4</f>
        <v>14.42443729903537</v>
      </c>
      <c r="I10" s="2"/>
      <c r="J10" s="31">
        <f t="shared" si="0"/>
        <v>0.73722576296091824</v>
      </c>
      <c r="K10" s="20"/>
      <c r="L10" s="2"/>
      <c r="M10" s="2"/>
      <c r="N10" s="2"/>
      <c r="O10" s="2"/>
    </row>
    <row r="11" spans="1:15">
      <c r="A11" s="20"/>
      <c r="B11" s="52">
        <v>0</v>
      </c>
      <c r="C11" s="53"/>
      <c r="D11" s="62"/>
      <c r="E11" s="62"/>
      <c r="F11" s="62"/>
      <c r="G11" s="62"/>
      <c r="H11" s="2">
        <f>Theta_A0</f>
        <v>-30.441860465116278</v>
      </c>
      <c r="I11" s="2"/>
      <c r="J11" s="83">
        <f>D81</f>
        <v>3.7136178326313773E-2</v>
      </c>
      <c r="K11" s="20"/>
      <c r="L11" s="2"/>
      <c r="M11" s="2"/>
      <c r="N11" s="2"/>
      <c r="O11" s="2"/>
    </row>
    <row r="12" spans="1:15">
      <c r="B12" s="50"/>
      <c r="C12" s="21"/>
      <c r="D12" s="21"/>
      <c r="E12" s="21"/>
      <c r="F12" s="21"/>
      <c r="G12" s="21"/>
      <c r="H12" s="21"/>
      <c r="I12" s="21"/>
      <c r="J12" s="21"/>
      <c r="K12" s="11"/>
    </row>
    <row r="13" spans="1:1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5">
      <c r="A14" s="23" t="s">
        <v>85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5">
      <c r="B15" s="2"/>
      <c r="C15" s="2"/>
      <c r="D15" s="12">
        <v>1</v>
      </c>
      <c r="E15" s="70">
        <v>2</v>
      </c>
      <c r="F15" s="70">
        <v>3</v>
      </c>
      <c r="G15" s="70">
        <v>4</v>
      </c>
      <c r="H15" s="70">
        <v>5</v>
      </c>
      <c r="I15" s="70">
        <v>6</v>
      </c>
      <c r="J15" s="70">
        <v>7</v>
      </c>
      <c r="K15" s="70">
        <v>8</v>
      </c>
    </row>
    <row r="16" spans="1:15">
      <c r="B16" s="2" t="s">
        <v>81</v>
      </c>
      <c r="C16" s="2"/>
      <c r="D16" s="37">
        <v>0</v>
      </c>
      <c r="E16" s="71">
        <v>-9.3216133798131873E-2</v>
      </c>
      <c r="F16" s="71">
        <v>-8.8317720590116444E-2</v>
      </c>
      <c r="G16" s="71">
        <v>-0.21929072207749112</v>
      </c>
      <c r="H16" s="71">
        <v>-0.12084477486609924</v>
      </c>
      <c r="I16" s="71">
        <v>-0.15855509315995797</v>
      </c>
      <c r="J16" s="71">
        <v>-0.85603789680002773</v>
      </c>
      <c r="K16" s="71">
        <v>0.65342120690916317</v>
      </c>
      <c r="L16" s="90" t="s">
        <v>103</v>
      </c>
      <c r="M16" s="80">
        <f ca="1">RAND()-RAND()</f>
        <v>0.4066640050048731</v>
      </c>
    </row>
    <row r="17" spans="1:16">
      <c r="B17" s="2" t="s">
        <v>82</v>
      </c>
      <c r="C17" s="2"/>
      <c r="D17" s="37">
        <v>1.1511893749225126E-6</v>
      </c>
      <c r="E17" s="71">
        <v>0.3060532730390344</v>
      </c>
      <c r="F17" s="71">
        <v>0.61898698429640664</v>
      </c>
      <c r="G17" s="71">
        <v>-0.43073573334008786</v>
      </c>
      <c r="H17" s="71">
        <v>-0.38790552640477483</v>
      </c>
      <c r="I17" s="71">
        <v>-0.3582528703161334</v>
      </c>
      <c r="J17" s="71">
        <v>0.54958182007341416</v>
      </c>
      <c r="K17" s="71">
        <v>-0.40737763775813596</v>
      </c>
      <c r="L17" s="90"/>
      <c r="M17" s="80">
        <f t="shared" ref="M17:M22" ca="1" si="1">RAND()-RAND()</f>
        <v>-0.35009640823512611</v>
      </c>
      <c r="P17">
        <v>1</v>
      </c>
    </row>
    <row r="18" spans="1:16">
      <c r="B18" s="2" t="s">
        <v>83</v>
      </c>
      <c r="C18" s="2"/>
      <c r="D18" s="37">
        <v>0</v>
      </c>
      <c r="E18" s="71">
        <v>-0.25323499761841628</v>
      </c>
      <c r="F18" s="71">
        <v>6.756707140216367E-2</v>
      </c>
      <c r="G18" s="71">
        <v>-0.10480046905550622</v>
      </c>
      <c r="H18" s="71">
        <v>-0.50740922953524525</v>
      </c>
      <c r="I18" s="71">
        <v>-2.4909669184959959E-2</v>
      </c>
      <c r="J18" s="71">
        <v>-0.36477405011057273</v>
      </c>
      <c r="K18" s="71">
        <v>0.20797765241452781</v>
      </c>
      <c r="L18" s="90"/>
      <c r="M18" s="80">
        <f t="shared" ca="1" si="1"/>
        <v>0.15475831323399381</v>
      </c>
      <c r="P18">
        <v>10</v>
      </c>
    </row>
    <row r="19" spans="1:16">
      <c r="B19" s="51" t="s">
        <v>84</v>
      </c>
      <c r="C19" s="2" t="s">
        <v>27</v>
      </c>
      <c r="D19" s="37">
        <v>0.13107270712074884</v>
      </c>
      <c r="E19" s="71">
        <v>0.93219855017337472</v>
      </c>
      <c r="F19" s="71">
        <v>-0.58844359274459124</v>
      </c>
      <c r="G19" s="71">
        <v>-0.51819376499424674</v>
      </c>
      <c r="H19" s="71">
        <v>7.986653659087839E-2</v>
      </c>
      <c r="I19" s="71">
        <v>-0.60127917735887881</v>
      </c>
      <c r="J19" s="71">
        <v>7.3809363778690518E-2</v>
      </c>
      <c r="K19" s="71">
        <v>0.45904960287541474</v>
      </c>
      <c r="L19" s="90"/>
      <c r="M19" s="80">
        <f t="shared" ca="1" si="1"/>
        <v>-0.57276346361193697</v>
      </c>
    </row>
    <row r="20" spans="1:16">
      <c r="B20" s="2" t="s">
        <v>48</v>
      </c>
      <c r="C20" s="2"/>
      <c r="D20" s="37">
        <v>1.540618222388818E-2</v>
      </c>
      <c r="E20" s="71">
        <v>-0.10603450214582377</v>
      </c>
      <c r="F20" s="71">
        <v>0.14331316621447576</v>
      </c>
      <c r="G20" s="71">
        <v>7.7141449428672626E-3</v>
      </c>
      <c r="H20" s="71">
        <v>0.84183401653698287</v>
      </c>
      <c r="I20" s="71">
        <v>-0.64147819789622496</v>
      </c>
      <c r="J20" s="71">
        <v>-2.6436636559469484E-2</v>
      </c>
      <c r="K20" s="71">
        <v>-1.0305960682470916E-2</v>
      </c>
      <c r="L20" s="90"/>
      <c r="M20" s="80">
        <f t="shared" ca="1" si="1"/>
        <v>0.18930648554883245</v>
      </c>
    </row>
    <row r="21" spans="1:16">
      <c r="B21" t="s">
        <v>47</v>
      </c>
      <c r="D21" s="37">
        <v>0.94613572539337565</v>
      </c>
      <c r="E21" s="71">
        <v>-0.26963600672495058</v>
      </c>
      <c r="F21" s="71">
        <v>0.3856849692485721</v>
      </c>
      <c r="G21" s="71">
        <v>6.6646048457388307E-2</v>
      </c>
      <c r="H21" s="71">
        <v>-0.54280733632221545</v>
      </c>
      <c r="I21" s="71">
        <v>4.8639647915487139E-2</v>
      </c>
      <c r="J21" s="71">
        <v>-0.42478485919807984</v>
      </c>
      <c r="K21" s="71">
        <v>5.2954891334215048E-2</v>
      </c>
      <c r="L21" s="90"/>
      <c r="M21" s="80">
        <f t="shared" ca="1" si="1"/>
        <v>-0.34361688494893428</v>
      </c>
    </row>
    <row r="22" spans="1:16">
      <c r="B22" t="s">
        <v>52</v>
      </c>
      <c r="C22" s="2"/>
      <c r="D22" s="37">
        <v>0.73722576296091824</v>
      </c>
      <c r="E22" s="71">
        <v>-0.47465763827885898</v>
      </c>
      <c r="F22" s="71">
        <v>0.71384773975903304</v>
      </c>
      <c r="G22" s="71">
        <v>0.56301461040131273</v>
      </c>
      <c r="H22" s="71">
        <v>-0.15886633847001885</v>
      </c>
      <c r="I22" s="71">
        <v>-0.12219530665103107</v>
      </c>
      <c r="J22" s="71">
        <v>-0.2246402934383831</v>
      </c>
      <c r="K22" s="71">
        <v>-9.8948905880472005E-2</v>
      </c>
      <c r="L22" s="90"/>
      <c r="M22" s="80">
        <f t="shared" ca="1" si="1"/>
        <v>4.0991639035903304E-3</v>
      </c>
      <c r="P22" s="35">
        <f>MIN($D$51)</f>
        <v>2.6356640808922529E-13</v>
      </c>
    </row>
    <row r="23" spans="1:16">
      <c r="B23" s="2"/>
      <c r="C23" s="2"/>
      <c r="D23" s="2"/>
      <c r="E23" s="2"/>
      <c r="F23" s="2"/>
      <c r="G23" s="2"/>
      <c r="H23" s="2"/>
      <c r="I23" s="2"/>
      <c r="J23" s="2"/>
      <c r="K23" s="2"/>
      <c r="P23">
        <f>COUNT($D$16:$D$22)</f>
        <v>7</v>
      </c>
    </row>
    <row r="24" spans="1:16">
      <c r="A24" s="89" t="s">
        <v>65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P24" t="b">
        <f t="array" ref="P24">$D$16:$D$19&gt;=0</f>
        <v>1</v>
      </c>
    </row>
    <row r="25" spans="1:16">
      <c r="A25" s="5"/>
      <c r="B25" s="81">
        <f>C90</f>
        <v>1.0419123890112216</v>
      </c>
      <c r="C25" s="81">
        <f t="shared" ref="C25:D25" si="2">D90</f>
        <v>-4.0818532431212473E-2</v>
      </c>
      <c r="D25" s="101">
        <f t="shared" si="2"/>
        <v>0.77248383184656022</v>
      </c>
      <c r="E25" s="102"/>
      <c r="F25" s="104" t="s">
        <v>48</v>
      </c>
      <c r="G25" s="5"/>
      <c r="H25" s="107" t="s">
        <v>45</v>
      </c>
      <c r="P25" t="b">
        <f t="array" ref="P25">$D$16:$D$19=INT($D$16:$D$19)</f>
        <v>1</v>
      </c>
    </row>
    <row r="26" spans="1:16">
      <c r="A26" s="5" t="s">
        <v>130</v>
      </c>
      <c r="B26" s="81">
        <f t="shared" ref="B26:D26" si="3">C91</f>
        <v>-1.4028471761352286</v>
      </c>
      <c r="C26" s="81">
        <f t="shared" si="3"/>
        <v>0.814665459345566</v>
      </c>
      <c r="D26" s="101">
        <f t="shared" si="3"/>
        <v>0.7195871750303805</v>
      </c>
      <c r="E26" s="103" t="s">
        <v>63</v>
      </c>
      <c r="F26" s="104" t="s">
        <v>47</v>
      </c>
      <c r="G26" s="108" t="s">
        <v>104</v>
      </c>
      <c r="H26" s="107" t="s">
        <v>43</v>
      </c>
      <c r="I26" s="61" t="s">
        <v>27</v>
      </c>
      <c r="J26">
        <v>0</v>
      </c>
      <c r="P26">
        <f>{100;100;0.001;0.05;FALSE;FALSE;FALSE;1;1;1;0.0001;FALSE}</f>
        <v>100</v>
      </c>
    </row>
    <row r="27" spans="1:16">
      <c r="A27" s="5"/>
      <c r="B27" s="81">
        <f t="shared" ref="B27:D27" si="4">C92</f>
        <v>1.4421025939282253</v>
      </c>
      <c r="C27" s="81">
        <f t="shared" si="4"/>
        <v>1.0431877148697888</v>
      </c>
      <c r="D27" s="101">
        <f t="shared" si="4"/>
        <v>0.78932433807079116</v>
      </c>
      <c r="E27" s="102"/>
      <c r="F27" s="104" t="s">
        <v>52</v>
      </c>
      <c r="G27" s="5"/>
      <c r="H27" s="107" t="s">
        <v>42</v>
      </c>
    </row>
    <row r="28" spans="1:16">
      <c r="D28" s="2"/>
      <c r="E28" s="2"/>
      <c r="F28" s="2"/>
      <c r="G28" s="2"/>
      <c r="H28" s="2"/>
    </row>
    <row r="29" spans="1:16">
      <c r="A29" s="5"/>
      <c r="B29" s="81">
        <f>C94</f>
        <v>-1.0419123890112216</v>
      </c>
      <c r="C29" s="81">
        <f t="shared" ref="C29:C31" si="5">D94</f>
        <v>4.0818532431212473E-2</v>
      </c>
      <c r="D29" s="101">
        <f t="shared" ref="D29:D31" si="6">E94</f>
        <v>-0.77248383184656022</v>
      </c>
      <c r="E29" s="102"/>
      <c r="F29" s="104" t="s">
        <v>48</v>
      </c>
      <c r="G29" s="5"/>
      <c r="H29" s="107" t="s">
        <v>45</v>
      </c>
    </row>
    <row r="30" spans="1:16">
      <c r="A30" s="5" t="s">
        <v>131</v>
      </c>
      <c r="B30" s="81">
        <f t="shared" ref="B30:B31" si="7">C95</f>
        <v>-2.44475956514645</v>
      </c>
      <c r="C30" s="81">
        <f t="shared" si="5"/>
        <v>0.85548399177677847</v>
      </c>
      <c r="D30" s="101">
        <f t="shared" si="6"/>
        <v>-5.2896656816179721E-2</v>
      </c>
      <c r="E30" s="103" t="s">
        <v>63</v>
      </c>
      <c r="F30" s="104" t="s">
        <v>47</v>
      </c>
      <c r="G30" s="108" t="s">
        <v>104</v>
      </c>
      <c r="H30" s="107" t="s">
        <v>43</v>
      </c>
      <c r="I30" s="61" t="s">
        <v>27</v>
      </c>
      <c r="J30">
        <v>0</v>
      </c>
    </row>
    <row r="31" spans="1:16">
      <c r="A31" s="5"/>
      <c r="B31" s="81">
        <f t="shared" si="7"/>
        <v>0.40019020491700363</v>
      </c>
      <c r="C31" s="81">
        <f t="shared" si="5"/>
        <v>1.0840062473010013</v>
      </c>
      <c r="D31" s="101">
        <f t="shared" si="6"/>
        <v>1.6840506224230944E-2</v>
      </c>
      <c r="E31" s="102"/>
      <c r="F31" s="104" t="s">
        <v>52</v>
      </c>
      <c r="G31" s="5"/>
      <c r="H31" s="107" t="s">
        <v>42</v>
      </c>
      <c r="M31" s="31"/>
    </row>
    <row r="32" spans="1:16">
      <c r="D32" s="2"/>
      <c r="E32" s="2"/>
      <c r="F32" s="2"/>
      <c r="G32" s="2"/>
      <c r="H32" s="2"/>
      <c r="M32" s="31"/>
    </row>
    <row r="33" spans="1:16">
      <c r="A33" s="5"/>
      <c r="B33" s="81">
        <f>C98</f>
        <v>2.44475956514645</v>
      </c>
      <c r="C33" s="81">
        <f t="shared" ref="C33:C35" si="8">D98</f>
        <v>-0.85548399177677847</v>
      </c>
      <c r="D33" s="101">
        <f t="shared" ref="D33:D35" si="9">E98</f>
        <v>5.2896656816179721E-2</v>
      </c>
      <c r="E33" s="102"/>
      <c r="F33" s="104" t="s">
        <v>48</v>
      </c>
      <c r="G33" s="5"/>
      <c r="H33" s="107" t="s">
        <v>45</v>
      </c>
      <c r="M33" s="31"/>
    </row>
    <row r="34" spans="1:16">
      <c r="A34" s="5" t="s">
        <v>132</v>
      </c>
      <c r="B34" s="81">
        <f t="shared" ref="B34:B35" si="10">C99</f>
        <v>1.4028471761352286</v>
      </c>
      <c r="C34" s="81">
        <f t="shared" si="8"/>
        <v>-0.814665459345566</v>
      </c>
      <c r="D34" s="101">
        <f t="shared" si="9"/>
        <v>-0.7195871750303805</v>
      </c>
      <c r="E34" s="103" t="s">
        <v>63</v>
      </c>
      <c r="F34" s="104" t="s">
        <v>47</v>
      </c>
      <c r="G34" s="108" t="s">
        <v>104</v>
      </c>
      <c r="H34" s="107" t="s">
        <v>43</v>
      </c>
      <c r="I34" s="61" t="s">
        <v>27</v>
      </c>
      <c r="J34">
        <v>0</v>
      </c>
    </row>
    <row r="35" spans="1:16">
      <c r="A35" s="5"/>
      <c r="B35" s="81">
        <f t="shared" si="10"/>
        <v>2.8449497700634536</v>
      </c>
      <c r="C35" s="81">
        <f t="shared" si="8"/>
        <v>0.22852225552422287</v>
      </c>
      <c r="D35" s="101">
        <f t="shared" si="9"/>
        <v>6.9737163040410666E-2</v>
      </c>
      <c r="E35" s="102"/>
      <c r="F35" s="104" t="s">
        <v>52</v>
      </c>
      <c r="G35" s="5"/>
      <c r="H35" s="107" t="s">
        <v>42</v>
      </c>
    </row>
    <row r="36" spans="1:16">
      <c r="A36" s="2"/>
      <c r="B36" s="81"/>
      <c r="C36" s="81"/>
      <c r="D36" s="81"/>
      <c r="E36" s="2"/>
      <c r="F36" s="69"/>
      <c r="G36" s="2"/>
      <c r="H36" s="67"/>
    </row>
    <row r="37" spans="1:16">
      <c r="A37" s="5"/>
      <c r="B37" s="81">
        <f>C102</f>
        <v>-0.40019020491700363</v>
      </c>
      <c r="C37" s="81">
        <f t="shared" ref="C37:C39" si="11">D102</f>
        <v>-1.0840062473010013</v>
      </c>
      <c r="D37" s="101">
        <f t="shared" ref="D37:D39" si="12">E102</f>
        <v>-1.6840506224230944E-2</v>
      </c>
      <c r="E37" s="102"/>
      <c r="F37" s="104" t="s">
        <v>48</v>
      </c>
      <c r="G37" s="5"/>
      <c r="H37" s="107" t="s">
        <v>45</v>
      </c>
    </row>
    <row r="38" spans="1:16">
      <c r="A38" s="5" t="s">
        <v>133</v>
      </c>
      <c r="B38" s="81">
        <f t="shared" ref="B38:B39" si="13">C103</f>
        <v>-2.8449497700634536</v>
      </c>
      <c r="C38" s="81">
        <f t="shared" si="11"/>
        <v>-0.22852225552422287</v>
      </c>
      <c r="D38" s="101">
        <f t="shared" si="12"/>
        <v>-6.9737163040410666E-2</v>
      </c>
      <c r="E38" s="103" t="s">
        <v>63</v>
      </c>
      <c r="F38" s="104" t="s">
        <v>47</v>
      </c>
      <c r="G38" s="108" t="s">
        <v>104</v>
      </c>
      <c r="H38" s="107" t="s">
        <v>43</v>
      </c>
      <c r="I38" s="61" t="s">
        <v>27</v>
      </c>
      <c r="J38">
        <v>0</v>
      </c>
    </row>
    <row r="39" spans="1:16">
      <c r="A39" s="5"/>
      <c r="B39" s="81">
        <f t="shared" si="13"/>
        <v>-1.4421025939282253</v>
      </c>
      <c r="C39" s="81">
        <f t="shared" si="11"/>
        <v>-1.0431877148697888</v>
      </c>
      <c r="D39" s="101">
        <f t="shared" si="12"/>
        <v>-0.78932433807079116</v>
      </c>
      <c r="E39" s="102"/>
      <c r="F39" s="104" t="s">
        <v>52</v>
      </c>
      <c r="G39" s="5"/>
      <c r="H39" s="107" t="s">
        <v>42</v>
      </c>
    </row>
    <row r="40" spans="1:16" ht="14.25" customHeight="1">
      <c r="A40" s="2"/>
      <c r="B40" s="81"/>
      <c r="C40" s="81"/>
      <c r="D40" s="81"/>
      <c r="E40" s="2"/>
      <c r="F40" s="69"/>
      <c r="G40" s="2"/>
      <c r="H40" s="67"/>
      <c r="L40" s="90" t="s">
        <v>96</v>
      </c>
    </row>
    <row r="41" spans="1:16" ht="14.25" customHeight="1">
      <c r="A41" s="5"/>
      <c r="B41" s="81">
        <f>C106</f>
        <v>1.0419123890112216</v>
      </c>
      <c r="C41" s="81">
        <f t="shared" ref="C41:C43" si="14">D106</f>
        <v>-4.0818532431212473E-2</v>
      </c>
      <c r="D41" s="101">
        <f t="shared" ref="D41:D43" si="15">E106</f>
        <v>0.77248383184656022</v>
      </c>
      <c r="E41" s="2"/>
      <c r="F41" s="2"/>
      <c r="G41" s="20"/>
      <c r="L41" s="90"/>
    </row>
    <row r="42" spans="1:16" ht="14.25" customHeight="1">
      <c r="A42" s="5"/>
      <c r="B42" s="81">
        <f t="shared" ref="B42:B43" si="16">C107</f>
        <v>-1.4028471761352286</v>
      </c>
      <c r="C42" s="81">
        <f t="shared" si="14"/>
        <v>0.814665459345566</v>
      </c>
      <c r="D42" s="101">
        <f t="shared" si="15"/>
        <v>0.7195871750303805</v>
      </c>
      <c r="E42" s="103"/>
      <c r="F42" s="104" t="s">
        <v>48</v>
      </c>
      <c r="G42" s="105"/>
      <c r="H42" s="106" t="s">
        <v>45</v>
      </c>
      <c r="I42" s="61"/>
      <c r="L42" s="90"/>
    </row>
    <row r="43" spans="1:16">
      <c r="A43" s="5" t="s">
        <v>134</v>
      </c>
      <c r="B43" s="81">
        <f t="shared" si="16"/>
        <v>1.4421025939282253</v>
      </c>
      <c r="C43" s="81">
        <f t="shared" si="14"/>
        <v>1.0431877148697888</v>
      </c>
      <c r="D43" s="101">
        <f t="shared" si="15"/>
        <v>0.78932433807079116</v>
      </c>
      <c r="E43" s="103" t="s">
        <v>63</v>
      </c>
      <c r="F43" s="104" t="s">
        <v>47</v>
      </c>
      <c r="G43" s="103" t="s">
        <v>104</v>
      </c>
      <c r="H43" s="106" t="s">
        <v>43</v>
      </c>
      <c r="I43" s="100" t="s">
        <v>27</v>
      </c>
      <c r="J43">
        <v>0</v>
      </c>
      <c r="L43" s="90"/>
      <c r="O43" s="35"/>
      <c r="P43" s="35"/>
    </row>
    <row r="44" spans="1:16">
      <c r="A44" s="5"/>
      <c r="B44" s="81">
        <f t="shared" ref="B44:B45" si="17">C109</f>
        <v>-1.0351585166444344</v>
      </c>
      <c r="C44" s="81">
        <f t="shared" ref="C44:C45" si="18">D109</f>
        <v>2.1037449841221099</v>
      </c>
      <c r="D44" s="101">
        <f t="shared" ref="D44:D45" si="19">E109</f>
        <v>0.82913701269133588</v>
      </c>
      <c r="E44" s="102"/>
      <c r="F44" s="104" t="s">
        <v>52</v>
      </c>
      <c r="G44" s="102"/>
      <c r="H44" s="106" t="s">
        <v>42</v>
      </c>
      <c r="L44" s="90"/>
      <c r="O44" s="35"/>
      <c r="P44" s="35"/>
    </row>
    <row r="45" spans="1:16">
      <c r="A45" s="5"/>
      <c r="B45" s="81">
        <f t="shared" si="17"/>
        <v>-2.5457845528396139E-2</v>
      </c>
      <c r="C45" s="81">
        <f t="shared" si="18"/>
        <v>2.3667658472617719</v>
      </c>
      <c r="D45" s="101">
        <f t="shared" si="19"/>
        <v>6.368425350466822E-2</v>
      </c>
      <c r="E45" s="2"/>
      <c r="F45" s="69"/>
      <c r="G45" s="2"/>
      <c r="H45" s="67"/>
      <c r="L45" s="90"/>
      <c r="O45" s="35"/>
      <c r="P45" s="35"/>
    </row>
    <row r="46" spans="1:16">
      <c r="A46" s="2"/>
      <c r="B46" s="81"/>
      <c r="C46" s="81"/>
      <c r="D46" s="81"/>
      <c r="E46" s="2"/>
      <c r="F46" s="69"/>
      <c r="G46" s="2"/>
      <c r="H46" s="67"/>
      <c r="L46" s="90"/>
      <c r="O46" s="35"/>
      <c r="P46" s="35"/>
    </row>
    <row r="47" spans="1:16">
      <c r="D47" s="99" t="s">
        <v>137</v>
      </c>
      <c r="E47" s="99" t="s">
        <v>138</v>
      </c>
      <c r="F47" s="99" t="s">
        <v>139</v>
      </c>
      <c r="G47" s="99" t="s">
        <v>140</v>
      </c>
      <c r="H47" s="99" t="s">
        <v>141</v>
      </c>
      <c r="I47" s="98" t="s">
        <v>142</v>
      </c>
      <c r="J47" s="70" t="s">
        <v>142</v>
      </c>
      <c r="K47" s="70" t="s">
        <v>142</v>
      </c>
      <c r="L47" s="90"/>
      <c r="O47" s="35"/>
      <c r="P47" s="35"/>
    </row>
    <row r="48" spans="1:16">
      <c r="B48" t="s">
        <v>92</v>
      </c>
      <c r="D48" s="38">
        <f>INDEX(MMULT($B$25:$D$27,D$20:D$22),ROW($A1))</f>
        <v>0.54692700264318939</v>
      </c>
      <c r="E48" s="72">
        <f>INDEX(MMULT($B$29:$D$31,E$20:E$22),ROW($A1))</f>
        <v>0.46613786659613721</v>
      </c>
      <c r="F48" s="72">
        <f>INDEX(MMULT($B$33:$D$35,F$20:F$22),ROW($A1))</f>
        <v>5.8179075762229339E-2</v>
      </c>
      <c r="G48" s="72">
        <f>INDEX(MMULT($B$37:$D$39,G$20:G$22),ROW($A1))</f>
        <v>-8.4813309181975979E-2</v>
      </c>
      <c r="H48" s="72">
        <f>INDEX(MMULT($B$41:$D$45,H$20:H$22),ROW($A1))</f>
        <v>0.77655221228977567</v>
      </c>
      <c r="I48" s="72">
        <f>INDEX(MMULT($B$25:$D$27,I$20:I$22),ROW($A1))</f>
        <v>-0.76474337943000381</v>
      </c>
      <c r="J48" s="72">
        <f>INDEX(MMULT($B$25:$D$27,J$20:J$22),ROW($A1))</f>
        <v>-0.18373655926605126</v>
      </c>
      <c r="K48" s="72">
        <f t="shared" ref="K48:K50" si="20">INDEX(MMULT($B$25:$D$27,K$20:K$22),ROW($A1))</f>
        <v>-8.9335879036617633E-2</v>
      </c>
      <c r="L48" s="90"/>
      <c r="O48" s="35"/>
      <c r="P48" s="35"/>
    </row>
    <row r="49" spans="2:15">
      <c r="B49" t="s">
        <v>93</v>
      </c>
      <c r="D49" s="38">
        <f>INDEX(MMULT($B$25:$D$27,D$20:D$22),ROW($A2))</f>
        <v>1.2796697802317025</v>
      </c>
      <c r="E49" s="72">
        <f t="shared" ref="E49:E50" si="21">INDEX(MMULT($B$29:$D$31,E$20:E$22),ROW($A2))</f>
        <v>5.3667378193948595E-2</v>
      </c>
      <c r="F49" s="72">
        <f t="shared" ref="F49:F50" si="22">INDEX(MMULT($B$33:$D$35,F$20:F$22),ROW($A2))</f>
        <v>-0.62683343056361729</v>
      </c>
      <c r="G49" s="72">
        <f t="shared" ref="G49:G50" si="23">INDEX(MMULT($B$37:$D$39,G$20:G$22),ROW($A2))</f>
        <v>-7.6439501876395033E-2</v>
      </c>
      <c r="H49" s="72">
        <f t="shared" ref="H49:H50" si="24">INDEX(MMULT($B$41:$D$45,H$20:H$22),ROW($A2))</f>
        <v>-1.7374890405616257</v>
      </c>
      <c r="I49" s="72">
        <f>INDEX(MMULT($B$25:$D$27,I$20:I$22),ROW($A2))</f>
        <v>0.85159074406752489</v>
      </c>
      <c r="J49" s="72">
        <f>INDEX(MMULT($B$25:$D$27,J$20:J$22),ROW($A2))</f>
        <v>-0.47061926565100198</v>
      </c>
      <c r="K49" s="72">
        <f t="shared" si="20"/>
        <v>-1.3604154940728003E-2</v>
      </c>
      <c r="O49" s="35"/>
    </row>
    <row r="50" spans="2:15">
      <c r="B50" t="s">
        <v>94</v>
      </c>
      <c r="D50" s="38">
        <f>INDEX(MMULT($B$25:$D$27,D$20:D$22),ROW($A3))</f>
        <v>1.5911246980352463</v>
      </c>
      <c r="E50" s="72">
        <f t="shared" si="21"/>
        <v>-0.34271455984096483</v>
      </c>
      <c r="F50" s="72">
        <f t="shared" si="22"/>
        <v>0.54563807457701685</v>
      </c>
      <c r="G50" s="72">
        <f t="shared" si="23"/>
        <v>-0.52505006210661187</v>
      </c>
      <c r="H50" s="72">
        <f t="shared" si="24"/>
        <v>0.52236400665789273</v>
      </c>
      <c r="I50" s="72">
        <f>INDEX(MMULT($B$25:$D$27,I$20:I$22),ROW($A3))</f>
        <v>-0.97078881951120377</v>
      </c>
      <c r="J50" s="72">
        <f>INDEX(MMULT($B$25:$D$27,J$20:J$22),ROW($A3))</f>
        <v>-0.65856873965755858</v>
      </c>
      <c r="K50" s="72">
        <f t="shared" si="20"/>
        <v>-3.7723140187928418E-2</v>
      </c>
      <c r="O50" s="35"/>
    </row>
    <row r="51" spans="2:15">
      <c r="B51" t="s">
        <v>95</v>
      </c>
      <c r="D51" s="41">
        <f>(D$61-D$48)^2+(D$62-D$49)^2+(D$63-D$50)^2</f>
        <v>2.6356640808922529E-13</v>
      </c>
      <c r="E51" s="73">
        <f>(E$48-E$61)^2+(E$49-E$62)^2+(E$50-E$63)^2</f>
        <v>3.7587308753949653</v>
      </c>
      <c r="F51" s="73">
        <f>(F$48-F$61)^2+(F$49-F$62)^2+(F$50-F$63)^2</f>
        <v>4.5888960159138463</v>
      </c>
      <c r="G51" s="73">
        <f>(G$48-G$61)^2+(G$49-G$62)^2+(G$50-G$63)^2</f>
        <v>5.6916489238148102</v>
      </c>
      <c r="H51" s="73">
        <f>(H$48-H$61)^2+(H$49-H$62)^2+(H$50-H$63)^2</f>
        <v>8.7135735656021662</v>
      </c>
      <c r="I51" s="73">
        <f>(I$48-I$61)^2+(I$49-I$62)^2+(I$50-I$63)^2</f>
        <v>8.0868083261320223</v>
      </c>
      <c r="J51" s="73">
        <f>(J$48-J$61)^2+(J$49-J$62)^2+(J$50-J$63)^2</f>
        <v>7.5232792201592558</v>
      </c>
      <c r="K51" s="73">
        <f t="shared" ref="K51" si="25">(K$48-K$61)^2+(K$49-K$62)^2+(K$50-K$63)^2</f>
        <v>4.1926904380021224</v>
      </c>
    </row>
    <row r="52" spans="2:15">
      <c r="D52" s="41">
        <f>(D$48-D$61)+(D$49-D$62)+(D$50-D$63)</f>
        <v>-4.2112040521402605E-7</v>
      </c>
      <c r="E52" s="73">
        <f>(E$48-E$61)+(E$49-E$62)+(E$50-E$63)</f>
        <v>-3.2140378767612692</v>
      </c>
      <c r="F52" s="73">
        <f>(F$48-F$61)+(F$49-F$62)+(F$50-F$63)</f>
        <v>-3.4129934411125347</v>
      </c>
      <c r="G52" s="73">
        <f>(G$48-G$61)+(G$49-G$62)+(G$50-G$63)</f>
        <v>-4.0856688546925666</v>
      </c>
      <c r="H52" s="73">
        <f>(H$48-H$61)+(H$49-H$62)+(H$50-H$63)</f>
        <v>-3.8280998164587245</v>
      </c>
      <c r="I52" s="73">
        <f>(I$48-I$61)+(I$49-I$62)+(I$50-I$63)</f>
        <v>-4.281317205669362</v>
      </c>
      <c r="J52" s="73">
        <f>(J$48-J$61)+(J$49-J$62)+(J$50-J$63)</f>
        <v>-4.7140050896942833</v>
      </c>
      <c r="K52" s="73">
        <f t="shared" ref="K52" si="26">(K$48-K$61)+(K$49-K$62)+(K$50-K$63)</f>
        <v>-3.5453341221427381</v>
      </c>
    </row>
    <row r="53" spans="2:15">
      <c r="D53" s="31"/>
      <c r="E53" s="31"/>
      <c r="F53" s="2"/>
      <c r="G53" s="2"/>
      <c r="H53" s="2"/>
    </row>
    <row r="54" spans="2:15">
      <c r="D54" s="31"/>
      <c r="E54" s="31"/>
      <c r="F54" s="2"/>
      <c r="G54" s="2"/>
      <c r="H54" s="2"/>
    </row>
    <row r="55" spans="2:15" ht="18.75">
      <c r="B55" s="57" t="s">
        <v>87</v>
      </c>
      <c r="C55" s="58"/>
      <c r="D55" s="82">
        <f>A_1*($D$16^2-D17^2)</f>
        <v>-1.9865954606088518E-14</v>
      </c>
      <c r="E55" s="82">
        <f>A_1*($D$16^2-E17^2)</f>
        <v>-1.4041385095384497E-3</v>
      </c>
      <c r="F55" s="82">
        <f>A_1*($D$16^2-F17^2)</f>
        <v>-5.7435304475939118E-3</v>
      </c>
      <c r="G55" s="82">
        <f>A_1*($D$16^2-G17^2)</f>
        <v>-2.7812350720251336E-3</v>
      </c>
      <c r="H55" s="82">
        <f>A_1*($D$16^2-H17^2)</f>
        <v>-2.2556298204980648E-3</v>
      </c>
      <c r="I55" s="82">
        <f>A_1*($D$16^2-I17^2)</f>
        <v>-1.9239565105162411E-3</v>
      </c>
      <c r="J55" s="82">
        <f>A_1*($D$16^2-J17^2)</f>
        <v>-4.5277309258959127E-3</v>
      </c>
      <c r="K55" s="82">
        <f>A_1*($D$16^2-K17^2)</f>
        <v>-2.4877702196266201E-3</v>
      </c>
    </row>
    <row r="56" spans="2:15" ht="18.75">
      <c r="B56" s="57" t="s">
        <v>88</v>
      </c>
      <c r="C56" s="58"/>
      <c r="D56" s="82">
        <f>A_1*($D$16^2-D18^2)</f>
        <v>0</v>
      </c>
      <c r="E56" s="82">
        <f>A_1*($D$16^2-E18^2)</f>
        <v>-9.6130974637098794E-4</v>
      </c>
      <c r="F56" s="82">
        <f>A_1*($D$16^2-F18^2)</f>
        <v>-6.8436231160242105E-5</v>
      </c>
      <c r="G56" s="82">
        <f>A_1*($D$16^2-G18^2)</f>
        <v>-1.6464264956451662E-4</v>
      </c>
      <c r="H56" s="82">
        <f>A_1*($D$16^2-H18^2)</f>
        <v>-3.8595139836540889E-3</v>
      </c>
      <c r="I56" s="82">
        <f>A_1*($D$16^2-I18^2)</f>
        <v>-9.3014747921703077E-6</v>
      </c>
      <c r="J56" s="82">
        <f>A_1*($D$16^2-J18^2)</f>
        <v>-1.994636509656022E-3</v>
      </c>
      <c r="K56" s="82">
        <f>A_1*($D$16^2-K18^2)</f>
        <v>-6.484093027962094E-4</v>
      </c>
    </row>
    <row r="57" spans="2:15" ht="18.75">
      <c r="B57" s="57" t="s">
        <v>89</v>
      </c>
      <c r="C57" s="58"/>
      <c r="D57" s="82">
        <f>A_1*($D$16^2-D19^2)</f>
        <v>-2.5753747427790505E-4</v>
      </c>
      <c r="E57" s="82">
        <f>A_1*($D$16^2-E19^2)</f>
        <v>-1.302664985808547E-2</v>
      </c>
      <c r="F57" s="82">
        <f>A_1*($D$16^2-F19^2)</f>
        <v>-5.1906957115750501E-3</v>
      </c>
      <c r="G57" s="82">
        <f>A_1*($D$16^2-G19^2)</f>
        <v>-4.0253185994442633E-3</v>
      </c>
      <c r="H57" s="82">
        <f>A_1*($D$16^2-H19^2)</f>
        <v>-9.5619308140412675E-5</v>
      </c>
      <c r="I57" s="82">
        <f>A_1*($D$16^2-I19^2)</f>
        <v>-5.4196123296950671E-3</v>
      </c>
      <c r="J57" s="82">
        <f>A_1*($D$16^2-J19^2)</f>
        <v>-8.1665536082747148E-5</v>
      </c>
      <c r="K57" s="82">
        <f>A_1*($D$16^2-K19^2)</f>
        <v>-3.1588945291163993E-3</v>
      </c>
    </row>
    <row r="58" spans="2:15">
      <c r="B58" s="57" t="s">
        <v>86</v>
      </c>
      <c r="C58" s="59"/>
      <c r="D58" s="82">
        <f>A_2*(THETA_0*$D$16-THETA_1*D17)</f>
        <v>6.7195037361050602E-8</v>
      </c>
      <c r="E58" s="82">
        <f>A_1*($D$16^2-E20^2)</f>
        <v>-1.6854283582425962E-4</v>
      </c>
      <c r="F58" s="82">
        <f>A_1*($D$16^2-F20^2)</f>
        <v>-3.0788467727342644E-4</v>
      </c>
      <c r="G58" s="82">
        <f>A_1*($D$16^2-G20^2)</f>
        <v>-8.9205469433007389E-7</v>
      </c>
      <c r="H58" s="82">
        <f>A_1*($D$16^2-H20^2)</f>
        <v>-1.0623529661882024E-2</v>
      </c>
      <c r="I58" s="82">
        <f>A_1*($D$16^2-I20^2)</f>
        <v>-6.1685017828253955E-3</v>
      </c>
      <c r="J58" s="82">
        <f>A_1*($D$16^2-J20^2)</f>
        <v>-1.0476791348826546E-5</v>
      </c>
      <c r="K58" s="82">
        <f>A_1*($D$16^2-K20^2)</f>
        <v>-1.5921825367483381E-6</v>
      </c>
    </row>
    <row r="59" spans="2:15">
      <c r="B59" s="57" t="s">
        <v>91</v>
      </c>
      <c r="C59" s="59" t="s">
        <v>27</v>
      </c>
      <c r="D59" s="82">
        <f>A_2*(THETA_0*$D$16-THETA_2*D18)</f>
        <v>0</v>
      </c>
      <c r="E59" s="82">
        <f>A_1*($D$16^2-E21^2)</f>
        <v>-1.0898623929830398E-3</v>
      </c>
      <c r="F59" s="82">
        <f>A_1*($D$16^2-F21^2)</f>
        <v>-2.2298791242965645E-3</v>
      </c>
      <c r="G59" s="82">
        <f>A_1*($D$16^2-G21^2)</f>
        <v>-6.6583206004415941E-5</v>
      </c>
      <c r="H59" s="82">
        <f>A_1*($D$16^2-H21^2)</f>
        <v>-4.4167956980841186E-3</v>
      </c>
      <c r="I59" s="82">
        <f>A_1*($D$16^2-I21^2)</f>
        <v>-3.5464736612725878E-5</v>
      </c>
      <c r="J59" s="82">
        <f>A_1*($D$16^2-J21^2)</f>
        <v>-2.704917046405915E-3</v>
      </c>
      <c r="K59" s="82">
        <f>A_1*($D$16^2-K21^2)</f>
        <v>-4.2036645860518674E-5</v>
      </c>
    </row>
    <row r="60" spans="2:15">
      <c r="B60" s="57" t="s">
        <v>90</v>
      </c>
      <c r="C60" s="59"/>
      <c r="D60" s="82">
        <f>A_2*(THETA_0*$D$16-THETA_3*D19)</f>
        <v>-9.0214671162525007E-3</v>
      </c>
      <c r="E60" s="82">
        <f>A_1*($D$16^2-E22^2)</f>
        <v>-3.377356004343354E-3</v>
      </c>
      <c r="F60" s="82">
        <f>A_1*($D$16^2-F22^2)</f>
        <v>-7.6388339774732103E-3</v>
      </c>
      <c r="G60" s="82">
        <f>A_1*($D$16^2-G22^2)</f>
        <v>-4.7517679482197445E-3</v>
      </c>
      <c r="H60" s="82">
        <f>A_1*($D$16^2-H22^2)</f>
        <v>-3.783377405100146E-4</v>
      </c>
      <c r="I60" s="82">
        <f>A_1*($D$16^2-I22^2)</f>
        <v>-2.2383342741564297E-4</v>
      </c>
      <c r="J60" s="82">
        <f>A_1*($D$16^2-J22^2)</f>
        <v>-7.5646912847494407E-4</v>
      </c>
      <c r="K60" s="82">
        <f>A_1*($D$16^2-K22^2)</f>
        <v>-1.4677020013546769E-4</v>
      </c>
    </row>
    <row r="61" spans="2:15">
      <c r="B61" t="s">
        <v>45</v>
      </c>
      <c r="C61" s="2"/>
      <c r="D61" s="56">
        <f>$D8+D55+D58-$G$8</f>
        <v>0.5469267762717589</v>
      </c>
      <c r="E61" s="74">
        <f t="shared" ref="E61:K61" si="27">$D$8+$G$8+E55+E58</f>
        <v>1.1354794590071493</v>
      </c>
      <c r="F61" s="74">
        <f t="shared" si="27"/>
        <v>1.1310007252276446</v>
      </c>
      <c r="G61" s="74">
        <f t="shared" si="27"/>
        <v>1.1342700132257926</v>
      </c>
      <c r="H61" s="74">
        <f t="shared" si="27"/>
        <v>1.124172980870132</v>
      </c>
      <c r="I61" s="74">
        <f t="shared" si="27"/>
        <v>1.1289596820591703</v>
      </c>
      <c r="J61" s="74">
        <f t="shared" si="27"/>
        <v>1.1325139326352671</v>
      </c>
      <c r="K61" s="74">
        <f t="shared" si="27"/>
        <v>1.1345627779503487</v>
      </c>
    </row>
    <row r="62" spans="2:15">
      <c r="B62" t="s">
        <v>43</v>
      </c>
      <c r="D62" s="56">
        <f>$D9+D56+D59-$G$8</f>
        <v>1.2796701407168698</v>
      </c>
      <c r="E62" s="74">
        <f t="shared" ref="E62:K63" si="28">$D$8+$G$8+E56+E59</f>
        <v>1.1350009682131579</v>
      </c>
      <c r="F62" s="74">
        <f t="shared" si="28"/>
        <v>1.1347538249970552</v>
      </c>
      <c r="G62" s="74">
        <f t="shared" si="28"/>
        <v>1.136820914496943</v>
      </c>
      <c r="H62" s="74">
        <f t="shared" si="28"/>
        <v>1.1287758306707738</v>
      </c>
      <c r="I62" s="74">
        <f t="shared" si="28"/>
        <v>1.1370073741411071</v>
      </c>
      <c r="J62" s="74">
        <f t="shared" si="28"/>
        <v>1.1323525867964501</v>
      </c>
      <c r="K62" s="74">
        <f t="shared" si="28"/>
        <v>1.1363616944038553</v>
      </c>
    </row>
    <row r="63" spans="2:15">
      <c r="B63" t="s">
        <v>42</v>
      </c>
      <c r="C63" s="2"/>
      <c r="D63" s="56">
        <f>$D10+D57+D60-$G$8</f>
        <v>1.5911249850419147</v>
      </c>
      <c r="E63" s="74">
        <f t="shared" si="28"/>
        <v>1.1206481344900832</v>
      </c>
      <c r="F63" s="74">
        <f t="shared" si="28"/>
        <v>1.1242226106634639</v>
      </c>
      <c r="G63" s="74">
        <f t="shared" si="28"/>
        <v>1.1282750538048478</v>
      </c>
      <c r="H63" s="74">
        <f t="shared" si="28"/>
        <v>1.1365781833038615</v>
      </c>
      <c r="I63" s="74">
        <f t="shared" si="28"/>
        <v>1.1314086945954014</v>
      </c>
      <c r="J63" s="74">
        <f t="shared" si="28"/>
        <v>1.1362140056879544</v>
      </c>
      <c r="K63" s="74">
        <f t="shared" si="28"/>
        <v>1.1337464756232603</v>
      </c>
    </row>
    <row r="64" spans="2:15">
      <c r="C64" s="2"/>
      <c r="D64" s="2"/>
      <c r="E64" s="2"/>
      <c r="F64" s="2"/>
      <c r="G64" s="2"/>
      <c r="H64" s="2"/>
      <c r="I64" s="2"/>
      <c r="J64" s="2"/>
      <c r="K64" s="2"/>
    </row>
    <row r="65" spans="1:19">
      <c r="A65" s="89" t="s">
        <v>62</v>
      </c>
      <c r="B65" s="89"/>
      <c r="C65" s="89"/>
      <c r="D65" s="89"/>
      <c r="E65" s="89"/>
      <c r="F65" s="89"/>
      <c r="G65" s="89"/>
      <c r="H65" s="89"/>
      <c r="I65" s="89"/>
      <c r="J65" s="89"/>
      <c r="K65" s="89"/>
    </row>
    <row r="66" spans="1:19">
      <c r="B66" t="s">
        <v>53</v>
      </c>
      <c r="C66" s="2" t="s">
        <v>27</v>
      </c>
      <c r="D66" s="35">
        <v>0</v>
      </c>
      <c r="E66" s="2" t="s">
        <v>33</v>
      </c>
      <c r="F66" s="2"/>
      <c r="G66" s="2"/>
      <c r="H66" s="2"/>
      <c r="I66" s="2"/>
      <c r="J66" s="2"/>
      <c r="K66" s="2"/>
    </row>
    <row r="67" spans="1:19">
      <c r="B67" t="s">
        <v>54</v>
      </c>
      <c r="C67" s="2" t="s">
        <v>27</v>
      </c>
      <c r="D67" s="35">
        <v>0</v>
      </c>
      <c r="E67" s="2" t="s">
        <v>33</v>
      </c>
      <c r="F67" s="2"/>
      <c r="G67" s="2"/>
      <c r="H67" s="2"/>
      <c r="I67" s="2"/>
      <c r="J67" s="2"/>
      <c r="K67" s="2"/>
    </row>
    <row r="68" spans="1:19">
      <c r="B68" t="s">
        <v>55</v>
      </c>
      <c r="C68" s="2" t="s">
        <v>27</v>
      </c>
      <c r="D68" s="35">
        <v>0</v>
      </c>
      <c r="E68" s="2" t="s">
        <v>33</v>
      </c>
      <c r="F68" s="2"/>
      <c r="G68" s="2"/>
      <c r="H68" s="2"/>
      <c r="I68" s="2"/>
      <c r="J68" s="2"/>
      <c r="K68" s="2"/>
    </row>
    <row r="69" spans="1:19">
      <c r="C69" s="2"/>
      <c r="D69" s="2"/>
      <c r="E69" s="2"/>
      <c r="F69" s="2"/>
      <c r="G69" s="2"/>
      <c r="H69" s="2"/>
      <c r="I69" s="2"/>
      <c r="J69" s="2"/>
      <c r="K69" s="2"/>
    </row>
    <row r="70" spans="1:19">
      <c r="A70" s="89" t="s">
        <v>64</v>
      </c>
      <c r="B70" s="89"/>
      <c r="C70" s="89"/>
      <c r="D70" s="89"/>
      <c r="E70" s="89"/>
      <c r="F70" s="89"/>
      <c r="G70" s="89"/>
      <c r="H70" s="89"/>
      <c r="I70" s="89"/>
      <c r="J70" s="89"/>
      <c r="K70" s="89"/>
    </row>
    <row r="71" spans="1:19">
      <c r="A71" s="23"/>
      <c r="B71" s="21"/>
      <c r="C71" s="21"/>
      <c r="D71" s="12">
        <v>1</v>
      </c>
      <c r="E71" s="70">
        <v>2</v>
      </c>
      <c r="F71" s="70">
        <v>3</v>
      </c>
      <c r="G71" s="70">
        <v>4</v>
      </c>
      <c r="H71" s="70">
        <v>5</v>
      </c>
      <c r="I71" s="70">
        <v>6</v>
      </c>
      <c r="J71" s="70">
        <v>7</v>
      </c>
      <c r="K71" s="70">
        <v>8</v>
      </c>
    </row>
    <row r="72" spans="1:19">
      <c r="B72" s="26" t="s">
        <v>59</v>
      </c>
      <c r="C72" s="26" t="s">
        <v>27</v>
      </c>
      <c r="D72" s="32">
        <f>D20+$D66</f>
        <v>1.540618222388818E-2</v>
      </c>
      <c r="E72" s="75">
        <f>E20+$D$66</f>
        <v>-0.10603450214582377</v>
      </c>
      <c r="F72" s="75">
        <f>F20+$D$66</f>
        <v>0.14331316621447576</v>
      </c>
      <c r="G72" s="75">
        <f>G20+$D$66</f>
        <v>7.7141449428672626E-3</v>
      </c>
      <c r="H72" s="75">
        <f>H20+$D$66</f>
        <v>0.84183401653698287</v>
      </c>
      <c r="I72" s="75">
        <f>I20+$D$66</f>
        <v>-0.64147819789622496</v>
      </c>
      <c r="J72" s="75">
        <f>J20+$D$66</f>
        <v>-2.6436636559469484E-2</v>
      </c>
      <c r="K72" s="75">
        <f>K20+$D$66</f>
        <v>-1.0305960682470916E-2</v>
      </c>
    </row>
    <row r="73" spans="1:19">
      <c r="B73" s="26" t="s">
        <v>60</v>
      </c>
      <c r="C73" s="26" t="s">
        <v>27</v>
      </c>
      <c r="D73" s="32">
        <f>D21+$D67</f>
        <v>0.94613572539337565</v>
      </c>
      <c r="E73" s="75">
        <f>E21+$D$66</f>
        <v>-0.26963600672495058</v>
      </c>
      <c r="F73" s="75">
        <f>F21+$D$66</f>
        <v>0.3856849692485721</v>
      </c>
      <c r="G73" s="75">
        <f>G21+$D$66</f>
        <v>6.6646048457388307E-2</v>
      </c>
      <c r="H73" s="75">
        <f>H21+$D$66</f>
        <v>-0.54280733632221545</v>
      </c>
      <c r="I73" s="75">
        <f>I21+$D$66</f>
        <v>4.8639647915487139E-2</v>
      </c>
      <c r="J73" s="75">
        <f>J21+$D$66</f>
        <v>-0.42478485919807984</v>
      </c>
      <c r="K73" s="75">
        <f>K21+$D$66</f>
        <v>5.2954891334215048E-2</v>
      </c>
    </row>
    <row r="74" spans="1:19">
      <c r="B74" s="26" t="s">
        <v>61</v>
      </c>
      <c r="C74" s="26" t="s">
        <v>27</v>
      </c>
      <c r="D74" s="32">
        <f>D22+$D68</f>
        <v>0.73722576296091824</v>
      </c>
      <c r="E74" s="75">
        <f>E22+$D$66</f>
        <v>-0.47465763827885898</v>
      </c>
      <c r="F74" s="75">
        <f>F22+$D$66</f>
        <v>0.71384773975903304</v>
      </c>
      <c r="G74" s="75">
        <f>G22+$D$66</f>
        <v>0.56301461040131273</v>
      </c>
      <c r="H74" s="75">
        <f>H22+$D$66</f>
        <v>-0.15886633847001885</v>
      </c>
      <c r="I74" s="75">
        <f>I22+$D$66</f>
        <v>-0.12219530665103107</v>
      </c>
      <c r="J74" s="75">
        <f>J22+$D$66</f>
        <v>-0.2246402934383831</v>
      </c>
      <c r="K74" s="75">
        <f>K22+$D$66</f>
        <v>-9.8948905880472005E-2</v>
      </c>
    </row>
    <row r="75" spans="1:19"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9">
      <c r="A76" s="89" t="s">
        <v>67</v>
      </c>
      <c r="B76" s="89"/>
      <c r="C76" s="89"/>
      <c r="D76" s="89"/>
      <c r="E76" s="89"/>
      <c r="F76" s="89"/>
      <c r="G76" s="89"/>
      <c r="H76" s="89"/>
      <c r="I76" s="89"/>
      <c r="J76" s="89"/>
      <c r="K76" s="89"/>
    </row>
    <row r="77" spans="1:19">
      <c r="B77" s="21"/>
      <c r="C77" s="21"/>
      <c r="D77" s="12">
        <v>1</v>
      </c>
      <c r="E77" s="70">
        <v>2</v>
      </c>
      <c r="F77" s="70">
        <v>3</v>
      </c>
      <c r="G77" s="70">
        <v>4</v>
      </c>
      <c r="H77" s="70">
        <v>5</v>
      </c>
      <c r="I77" s="70">
        <v>6</v>
      </c>
      <c r="J77" s="70">
        <v>7</v>
      </c>
      <c r="K77" s="70">
        <v>8</v>
      </c>
    </row>
    <row r="78" spans="1:19">
      <c r="B78" s="86" t="s">
        <v>71</v>
      </c>
      <c r="C78" s="86"/>
      <c r="D78" s="39">
        <v>1.155</v>
      </c>
      <c r="E78" s="76">
        <f>Messaufbau_Messdaten!K30</f>
        <v>1.8940000000000001</v>
      </c>
      <c r="F78" s="76">
        <f>Messaufbau_Messdaten!L30</f>
        <v>2.3340000000000001</v>
      </c>
      <c r="G78" s="76">
        <f>Messaufbau_Messdaten!M30</f>
        <v>1.661</v>
      </c>
      <c r="H78" s="76">
        <f>Messaufbau_Messdaten!N30</f>
        <v>2.399</v>
      </c>
      <c r="I78" s="76">
        <f>Messaufbau_Messdaten!O30</f>
        <v>1.851</v>
      </c>
      <c r="J78" s="76">
        <f>Messaufbau_Messdaten!P30</f>
        <v>2.0550000000000002</v>
      </c>
      <c r="K78" s="76">
        <f>Messaufbau_Messdaten!Q30</f>
        <v>1.5740000000000001</v>
      </c>
    </row>
    <row r="79" spans="1:19">
      <c r="B79" s="87" t="s">
        <v>70</v>
      </c>
      <c r="C79" s="87"/>
      <c r="D79" s="36">
        <f>SQRT(D72^2+D73^2+D74^2)</f>
        <v>1.1995465755399715</v>
      </c>
      <c r="E79" s="77">
        <f t="shared" ref="E79:K79" si="29">SQRT(E72^2+E73^2+E74^2)</f>
        <v>0.55609960020157767</v>
      </c>
      <c r="F79" s="77">
        <f t="shared" si="29"/>
        <v>0.82393577096383552</v>
      </c>
      <c r="G79" s="77">
        <f t="shared" si="29"/>
        <v>0.56699793238822849</v>
      </c>
      <c r="H79" s="77">
        <f t="shared" si="29"/>
        <v>1.0141808661490703</v>
      </c>
      <c r="I79" s="77">
        <f t="shared" si="29"/>
        <v>0.65482195037511559</v>
      </c>
      <c r="J79" s="77">
        <f t="shared" si="29"/>
        <v>0.48125287925641846</v>
      </c>
      <c r="K79" s="77">
        <f t="shared" si="29"/>
        <v>0.1127001300653627</v>
      </c>
    </row>
    <row r="80" spans="1:19">
      <c r="B80" s="87" t="s">
        <v>69</v>
      </c>
      <c r="C80" s="87"/>
      <c r="D80" s="36">
        <f>D79-D78</f>
        <v>4.4546575539971434E-2</v>
      </c>
      <c r="E80" s="77">
        <f t="shared" ref="E80:K80" si="30">E79-E78</f>
        <v>-1.3379003997984225</v>
      </c>
      <c r="F80" s="77">
        <f t="shared" si="30"/>
        <v>-1.5100642290361646</v>
      </c>
      <c r="G80" s="77">
        <f t="shared" si="30"/>
        <v>-1.0940020676117714</v>
      </c>
      <c r="H80" s="77">
        <f t="shared" si="30"/>
        <v>-1.3848191338509297</v>
      </c>
      <c r="I80" s="77">
        <f t="shared" si="30"/>
        <v>-1.1961780496248844</v>
      </c>
      <c r="J80" s="77">
        <f t="shared" si="30"/>
        <v>-1.5737471207435818</v>
      </c>
      <c r="K80" s="77">
        <f t="shared" si="30"/>
        <v>-1.4612998699346373</v>
      </c>
      <c r="L80" s="35"/>
      <c r="M80" s="35"/>
      <c r="N80" s="35"/>
      <c r="O80" s="35"/>
      <c r="P80" s="35"/>
      <c r="Q80" s="35"/>
      <c r="R80" s="35"/>
      <c r="S80" s="35"/>
    </row>
    <row r="81" spans="1:19">
      <c r="B81" s="88" t="s">
        <v>68</v>
      </c>
      <c r="C81" s="88"/>
      <c r="D81" s="40">
        <f>1-D78/D79</f>
        <v>3.7136178326313773E-2</v>
      </c>
      <c r="E81" s="78">
        <f t="shared" ref="E81:K81" si="31">1-E78/E79</f>
        <v>-2.405864703577298</v>
      </c>
      <c r="F81" s="78">
        <f t="shared" si="31"/>
        <v>-1.8327450782598014</v>
      </c>
      <c r="G81" s="78">
        <f t="shared" si="31"/>
        <v>-1.9294639453159395</v>
      </c>
      <c r="H81" s="78">
        <f t="shared" si="31"/>
        <v>-1.3654557880875862</v>
      </c>
      <c r="I81" s="78">
        <f t="shared" si="31"/>
        <v>-1.8267225906823255</v>
      </c>
      <c r="J81" s="78">
        <f t="shared" si="31"/>
        <v>-3.2701043226487725</v>
      </c>
      <c r="K81" s="78">
        <f t="shared" si="31"/>
        <v>-12.966266046783861</v>
      </c>
      <c r="L81" s="35"/>
      <c r="M81" s="35"/>
      <c r="N81" s="35"/>
      <c r="O81" s="35"/>
      <c r="P81" s="35"/>
      <c r="Q81" s="35"/>
      <c r="R81" s="35"/>
      <c r="S81" s="35"/>
    </row>
    <row r="82" spans="1:19">
      <c r="D82">
        <f>D80*D80</f>
        <v>1.9843973923383811E-3</v>
      </c>
      <c r="E82" s="79">
        <f t="shared" ref="E82:K82" si="32">E80*E80</f>
        <v>1.7899774797807786</v>
      </c>
      <c r="F82" s="79">
        <f t="shared" si="32"/>
        <v>2.2802939758145859</v>
      </c>
      <c r="G82" s="79">
        <f t="shared" si="32"/>
        <v>1.1968405239388309</v>
      </c>
      <c r="H82" s="79">
        <f t="shared" si="32"/>
        <v>1.917724033479639</v>
      </c>
      <c r="I82" s="79">
        <f t="shared" si="32"/>
        <v>1.4308419264043923</v>
      </c>
      <c r="J82" s="79">
        <f t="shared" si="32"/>
        <v>2.4766800000487139</v>
      </c>
      <c r="K82" s="79">
        <f t="shared" si="32"/>
        <v>2.1353973098709882</v>
      </c>
      <c r="L82" s="35"/>
      <c r="M82" s="35"/>
      <c r="N82" s="35"/>
      <c r="O82" s="35"/>
      <c r="P82" s="35"/>
      <c r="Q82" s="35"/>
      <c r="R82" s="35"/>
      <c r="S82" s="35"/>
    </row>
    <row r="84" spans="1:19">
      <c r="L84" s="35"/>
      <c r="M84" s="35"/>
      <c r="N84" s="35"/>
      <c r="O84" s="35"/>
      <c r="P84" s="35"/>
      <c r="Q84" s="35"/>
      <c r="R84" s="35"/>
      <c r="S84" s="35"/>
    </row>
    <row r="85" spans="1:19">
      <c r="C85">
        <v>1</v>
      </c>
      <c r="D85" s="96">
        <v>2</v>
      </c>
      <c r="E85">
        <v>3</v>
      </c>
      <c r="F85">
        <v>4</v>
      </c>
      <c r="G85">
        <v>5</v>
      </c>
      <c r="H85">
        <v>6</v>
      </c>
      <c r="I85" s="96">
        <v>7</v>
      </c>
      <c r="J85">
        <v>8</v>
      </c>
      <c r="L85" s="16">
        <v>1</v>
      </c>
      <c r="M85" s="16">
        <v>2</v>
      </c>
      <c r="N85" s="16">
        <v>3</v>
      </c>
      <c r="O85" s="16">
        <v>4</v>
      </c>
      <c r="P85" s="16">
        <v>5</v>
      </c>
      <c r="Q85" s="16">
        <v>6</v>
      </c>
      <c r="R85" s="16">
        <v>7</v>
      </c>
      <c r="S85" s="16">
        <v>8</v>
      </c>
    </row>
    <row r="86" spans="1:19">
      <c r="A86" t="s">
        <v>114</v>
      </c>
      <c r="B86" t="s">
        <v>27</v>
      </c>
      <c r="C86" s="35">
        <v>0.47920829337661575</v>
      </c>
      <c r="D86" s="97">
        <v>-0.77466733619029227</v>
      </c>
      <c r="E86" s="35">
        <v>1.5211206823878374</v>
      </c>
      <c r="F86" s="35">
        <v>-0.92363888275861272</v>
      </c>
      <c r="G86" s="35">
        <v>1.921310887304841</v>
      </c>
      <c r="H86" s="35">
        <v>-0.55595022326781851</v>
      </c>
      <c r="I86" s="97">
        <v>1.0628801501210983</v>
      </c>
      <c r="J86" s="35">
        <v>0.45375044784821961</v>
      </c>
      <c r="L86" s="35">
        <v>0</v>
      </c>
      <c r="M86" s="35">
        <f>D86-$C86</f>
        <v>-1.253875629566908</v>
      </c>
      <c r="N86" s="35">
        <f>E86-$C86</f>
        <v>1.0419123890112216</v>
      </c>
      <c r="O86" s="35">
        <f>F86-$C86</f>
        <v>-1.4028471761352286</v>
      </c>
      <c r="P86" s="35">
        <f>G86-$C86</f>
        <v>1.4421025939282253</v>
      </c>
      <c r="Q86" s="35">
        <f>H86-$C86</f>
        <v>-1.0351585166444344</v>
      </c>
      <c r="R86" s="35">
        <f>I86-$C86</f>
        <v>0.58367185674448252</v>
      </c>
      <c r="S86" s="35">
        <f>J86-$C86</f>
        <v>-2.5457845528396139E-2</v>
      </c>
    </row>
    <row r="87" spans="1:19">
      <c r="A87" t="s">
        <v>116</v>
      </c>
      <c r="B87" t="s">
        <v>27</v>
      </c>
      <c r="C87" s="35">
        <v>-1.0120183213662168</v>
      </c>
      <c r="D87" s="97">
        <v>-1.0446104874939868</v>
      </c>
      <c r="E87" s="35">
        <v>-1.0528368537974293</v>
      </c>
      <c r="F87" s="35">
        <v>-0.1973528620206508</v>
      </c>
      <c r="G87" s="35">
        <v>3.1169393503572059E-2</v>
      </c>
      <c r="H87" s="35">
        <v>1.0917266627558933</v>
      </c>
      <c r="I87" s="97">
        <v>1.0721321685048839</v>
      </c>
      <c r="J87" s="35">
        <v>1.354747525895555</v>
      </c>
      <c r="L87" s="35">
        <v>0</v>
      </c>
      <c r="M87" s="35">
        <f>D87-$C87</f>
        <v>-3.2592166127769939E-2</v>
      </c>
      <c r="N87" s="35">
        <f>E87-$C87</f>
        <v>-4.0818532431212473E-2</v>
      </c>
      <c r="O87" s="35">
        <f>F87-$C87</f>
        <v>0.814665459345566</v>
      </c>
      <c r="P87" s="35">
        <f>G87-$C87</f>
        <v>1.0431877148697888</v>
      </c>
      <c r="Q87" s="35">
        <f>H87-$C87</f>
        <v>2.1037449841221099</v>
      </c>
      <c r="R87" s="35">
        <f>I87-$C87</f>
        <v>2.0841504898711007</v>
      </c>
      <c r="S87" s="35">
        <f>J87-$C87</f>
        <v>2.3667658472617719</v>
      </c>
    </row>
    <row r="88" spans="1:19">
      <c r="A88" t="s">
        <v>117</v>
      </c>
      <c r="B88" t="s">
        <v>27</v>
      </c>
      <c r="C88" s="35">
        <v>0.60667574649490386</v>
      </c>
      <c r="D88" s="97">
        <v>1.3460223603321362</v>
      </c>
      <c r="E88" s="35">
        <v>1.3791595783414641</v>
      </c>
      <c r="F88" s="35">
        <v>1.3262629215252844</v>
      </c>
      <c r="G88" s="35">
        <v>1.396000084565695</v>
      </c>
      <c r="H88" s="35">
        <v>1.4358127591862397</v>
      </c>
      <c r="I88" s="97">
        <v>1.3583899668915187</v>
      </c>
      <c r="J88" s="35">
        <v>0.67035999999957208</v>
      </c>
      <c r="L88" s="35">
        <v>0</v>
      </c>
      <c r="M88" s="35">
        <f>D88-$C88</f>
        <v>0.73934661383723232</v>
      </c>
      <c r="N88" s="35">
        <f>E88-$C88</f>
        <v>0.77248383184656022</v>
      </c>
      <c r="O88" s="35">
        <f>F88-$C88</f>
        <v>0.7195871750303805</v>
      </c>
      <c r="P88" s="35">
        <f>G88-$C88</f>
        <v>0.78932433807079116</v>
      </c>
      <c r="Q88" s="35">
        <f>H88-$C88</f>
        <v>0.82913701269133588</v>
      </c>
      <c r="R88" s="35">
        <f>I88-$C88</f>
        <v>0.75171422039661484</v>
      </c>
      <c r="S88" s="35">
        <f>J88-$C88</f>
        <v>6.368425350466822E-2</v>
      </c>
    </row>
    <row r="90" spans="1:19">
      <c r="C90" s="81">
        <f>$E$86-$C$86</f>
        <v>1.0419123890112216</v>
      </c>
      <c r="D90" s="81">
        <f>$E$87-$C$87</f>
        <v>-4.0818532431212473E-2</v>
      </c>
      <c r="E90" s="81">
        <f>$E$88-$C$88</f>
        <v>0.77248383184656022</v>
      </c>
      <c r="J90" s="81"/>
      <c r="K90" t="s">
        <v>129</v>
      </c>
      <c r="L90" s="35">
        <f>SQRT(L86^2+L87^2+L88^2)</f>
        <v>0</v>
      </c>
      <c r="M90" s="35">
        <f>SQRT(M86^2+M87^2+M88^2)</f>
        <v>1.4559875545853034</v>
      </c>
      <c r="N90" s="35">
        <f t="shared" ref="N90:S90" si="33">SQRT(N86^2+N87^2+N88^2)</f>
        <v>1.2976821064610753</v>
      </c>
      <c r="O90" s="35">
        <f t="shared" si="33"/>
        <v>1.7746734101545305</v>
      </c>
      <c r="P90" s="35">
        <f t="shared" si="33"/>
        <v>1.9470319490292554</v>
      </c>
      <c r="Q90" s="35">
        <f t="shared" si="33"/>
        <v>2.4869186353025614</v>
      </c>
      <c r="R90" s="35">
        <f t="shared" si="33"/>
        <v>2.2911635406343196</v>
      </c>
      <c r="S90" s="35">
        <f t="shared" si="33"/>
        <v>2.3677593547081863</v>
      </c>
    </row>
    <row r="91" spans="1:19">
      <c r="A91" t="s">
        <v>135</v>
      </c>
      <c r="B91" t="s">
        <v>27</v>
      </c>
      <c r="C91" s="81">
        <f>$F$86-$C$86</f>
        <v>-1.4028471761352286</v>
      </c>
      <c r="D91" s="81">
        <f>$F$87-$C$87</f>
        <v>0.814665459345566</v>
      </c>
      <c r="E91" s="81">
        <f>$F$88-$C$88</f>
        <v>0.7195871750303805</v>
      </c>
      <c r="J91" s="81"/>
    </row>
    <row r="92" spans="1:19">
      <c r="C92" s="81">
        <f>$G$86-$C$86</f>
        <v>1.4421025939282253</v>
      </c>
      <c r="D92" s="81">
        <f>$G$87-$C$87</f>
        <v>1.0431877148697888</v>
      </c>
      <c r="E92" s="81">
        <f>$G$88-$C$88</f>
        <v>0.78932433807079116</v>
      </c>
      <c r="J92" s="81"/>
    </row>
    <row r="93" spans="1:19">
      <c r="L93" t="s">
        <v>56</v>
      </c>
      <c r="M93" t="s">
        <v>57</v>
      </c>
      <c r="N93" t="s">
        <v>58</v>
      </c>
    </row>
    <row r="94" spans="1:19">
      <c r="C94" s="81">
        <f>L$94-L$96</f>
        <v>-1.0419123890112216</v>
      </c>
      <c r="D94" s="81">
        <f t="shared" ref="D94:E94" si="34">M$94-M$96</f>
        <v>4.0818532431212473E-2</v>
      </c>
      <c r="E94" s="81">
        <f t="shared" si="34"/>
        <v>-0.77248383184656022</v>
      </c>
      <c r="K94">
        <v>0</v>
      </c>
      <c r="L94" s="35">
        <v>0.47920829337661575</v>
      </c>
      <c r="M94" s="35">
        <v>-1.0120183213662168</v>
      </c>
      <c r="N94" s="35">
        <v>0.60667574649490386</v>
      </c>
    </row>
    <row r="95" spans="1:19">
      <c r="A95" t="s">
        <v>143</v>
      </c>
      <c r="B95" t="s">
        <v>27</v>
      </c>
      <c r="C95" s="81">
        <f>L$97-L$96</f>
        <v>-2.44475956514645</v>
      </c>
      <c r="D95" s="81">
        <f>M$97-M$96</f>
        <v>0.85548399177677847</v>
      </c>
      <c r="E95" s="81">
        <f>N$97-N$96</f>
        <v>-5.2896656816179721E-2</v>
      </c>
      <c r="K95">
        <v>1</v>
      </c>
      <c r="L95" s="97">
        <v>-0.77466733619029227</v>
      </c>
      <c r="M95" s="97">
        <v>-1.0446104874939868</v>
      </c>
      <c r="N95" s="97">
        <v>1.3460223603321362</v>
      </c>
    </row>
    <row r="96" spans="1:19">
      <c r="C96" s="81">
        <f>L$98-L$96</f>
        <v>0.40019020491700363</v>
      </c>
      <c r="D96" s="81">
        <f>M$98-M$96</f>
        <v>1.0840062473010013</v>
      </c>
      <c r="E96" s="81">
        <f>N$98-N$96</f>
        <v>1.6840506224230944E-2</v>
      </c>
      <c r="K96">
        <v>2</v>
      </c>
      <c r="L96" s="35">
        <v>1.5211206823878374</v>
      </c>
      <c r="M96" s="35">
        <v>-1.0528368537974293</v>
      </c>
      <c r="N96" s="35">
        <v>1.3791595783414641</v>
      </c>
    </row>
    <row r="97" spans="1:14">
      <c r="K97">
        <v>3</v>
      </c>
      <c r="L97" s="35">
        <v>-0.92363888275861272</v>
      </c>
      <c r="M97" s="35">
        <v>-0.1973528620206508</v>
      </c>
      <c r="N97" s="35">
        <v>1.3262629215252844</v>
      </c>
    </row>
    <row r="98" spans="1:14">
      <c r="C98" s="81">
        <f>L$96-L$97</f>
        <v>2.44475956514645</v>
      </c>
      <c r="D98" s="81">
        <f t="shared" ref="D98:E98" si="35">M$96-M$97</f>
        <v>-0.85548399177677847</v>
      </c>
      <c r="E98" s="81">
        <f t="shared" si="35"/>
        <v>5.2896656816179721E-2</v>
      </c>
      <c r="K98">
        <v>4</v>
      </c>
      <c r="L98" s="35">
        <v>1.921310887304841</v>
      </c>
      <c r="M98" s="35">
        <v>3.1169393503572059E-2</v>
      </c>
      <c r="N98" s="35">
        <v>1.396000084565695</v>
      </c>
    </row>
    <row r="99" spans="1:14">
      <c r="A99" t="s">
        <v>144</v>
      </c>
      <c r="B99" t="s">
        <v>27</v>
      </c>
      <c r="C99" s="81">
        <f>L$94-L$97</f>
        <v>1.4028471761352286</v>
      </c>
      <c r="D99" s="81">
        <f>M$94-M$97</f>
        <v>-0.814665459345566</v>
      </c>
      <c r="E99" s="81">
        <f>N$94-N$97</f>
        <v>-0.7195871750303805</v>
      </c>
      <c r="K99">
        <v>5</v>
      </c>
      <c r="L99" s="35">
        <v>-0.55595022326781851</v>
      </c>
      <c r="M99" s="35">
        <v>1.0917266627558933</v>
      </c>
      <c r="N99" s="35">
        <v>1.4358127591862397</v>
      </c>
    </row>
    <row r="100" spans="1:14">
      <c r="C100" s="81">
        <f>L$98-L$97</f>
        <v>2.8449497700634536</v>
      </c>
      <c r="D100" s="81">
        <f>M$98-M$97</f>
        <v>0.22852225552422287</v>
      </c>
      <c r="E100" s="81">
        <f>N$98-N$97</f>
        <v>6.9737163040410666E-2</v>
      </c>
      <c r="K100">
        <v>6</v>
      </c>
      <c r="L100" s="97">
        <v>1.0628801501210983</v>
      </c>
      <c r="M100" s="97">
        <v>1.0721321685048839</v>
      </c>
      <c r="N100" s="97">
        <v>1.3583899668915187</v>
      </c>
    </row>
    <row r="101" spans="1:14">
      <c r="K101">
        <v>7</v>
      </c>
      <c r="L101" s="35">
        <v>0.45375044784821961</v>
      </c>
      <c r="M101" s="35">
        <v>1.354747525895555</v>
      </c>
      <c r="N101" s="35">
        <v>0.67035999999957208</v>
      </c>
    </row>
    <row r="102" spans="1:14">
      <c r="C102" s="81">
        <f>L$96-L$98</f>
        <v>-0.40019020491700363</v>
      </c>
      <c r="D102" s="81">
        <f t="shared" ref="D102:E102" si="36">M$96-M$98</f>
        <v>-1.0840062473010013</v>
      </c>
      <c r="E102" s="81">
        <f t="shared" si="36"/>
        <v>-1.6840506224230944E-2</v>
      </c>
    </row>
    <row r="103" spans="1:14">
      <c r="A103" t="s">
        <v>145</v>
      </c>
      <c r="B103" t="s">
        <v>27</v>
      </c>
      <c r="C103" s="81">
        <f>L$97-L$98</f>
        <v>-2.8449497700634536</v>
      </c>
      <c r="D103" s="81">
        <f>M$97-M$98</f>
        <v>-0.22852225552422287</v>
      </c>
      <c r="E103" s="81">
        <f>N$97-N$98</f>
        <v>-6.9737163040410666E-2</v>
      </c>
    </row>
    <row r="104" spans="1:14">
      <c r="C104" s="81">
        <f>L$94-L$98</f>
        <v>-1.4421025939282253</v>
      </c>
      <c r="D104" s="81">
        <f>M$94-M$98</f>
        <v>-1.0431877148697888</v>
      </c>
      <c r="E104" s="81">
        <f>N$94-N$98</f>
        <v>-0.78932433807079116</v>
      </c>
    </row>
    <row r="106" spans="1:14">
      <c r="C106" s="81">
        <f>L$96-L$94</f>
        <v>1.0419123890112216</v>
      </c>
      <c r="D106" s="81">
        <f t="shared" ref="D106:E106" si="37">M$96-M$94</f>
        <v>-4.0818532431212473E-2</v>
      </c>
      <c r="E106" s="81">
        <f t="shared" si="37"/>
        <v>0.77248383184656022</v>
      </c>
    </row>
    <row r="107" spans="1:14">
      <c r="C107" s="81">
        <f>L$97-L$94</f>
        <v>-1.4028471761352286</v>
      </c>
      <c r="D107" s="81">
        <f t="shared" ref="D107:E107" si="38">M$97-M$94</f>
        <v>0.814665459345566</v>
      </c>
      <c r="E107" s="81">
        <f t="shared" si="38"/>
        <v>0.7195871750303805</v>
      </c>
    </row>
    <row r="108" spans="1:14">
      <c r="A108" t="s">
        <v>136</v>
      </c>
      <c r="B108" t="s">
        <v>27</v>
      </c>
      <c r="C108" s="81">
        <f>L$98-L$94</f>
        <v>1.4421025939282253</v>
      </c>
      <c r="D108" s="81">
        <f t="shared" ref="D108:E108" si="39">M$98-M$94</f>
        <v>1.0431877148697888</v>
      </c>
      <c r="E108" s="81">
        <f t="shared" si="39"/>
        <v>0.78932433807079116</v>
      </c>
    </row>
    <row r="109" spans="1:14">
      <c r="C109" s="81">
        <f>L$99-L$94</f>
        <v>-1.0351585166444344</v>
      </c>
      <c r="D109" s="81">
        <f t="shared" ref="D109:E109" si="40">M$99-M$94</f>
        <v>2.1037449841221099</v>
      </c>
      <c r="E109" s="81">
        <f t="shared" si="40"/>
        <v>0.82913701269133588</v>
      </c>
    </row>
    <row r="110" spans="1:14">
      <c r="C110" s="81">
        <f>L$101-L$94</f>
        <v>-2.5457845528396139E-2</v>
      </c>
      <c r="D110" s="81">
        <f t="shared" ref="D110:E110" si="41">M$101-M$94</f>
        <v>2.3667658472617719</v>
      </c>
      <c r="E110" s="81">
        <f t="shared" si="41"/>
        <v>6.368425350466822E-2</v>
      </c>
    </row>
    <row r="113" spans="1:9">
      <c r="B113">
        <v>0</v>
      </c>
      <c r="C113">
        <v>1</v>
      </c>
      <c r="D113">
        <v>2</v>
      </c>
      <c r="E113">
        <v>3</v>
      </c>
      <c r="F113">
        <v>4</v>
      </c>
      <c r="G113">
        <v>5</v>
      </c>
      <c r="H113">
        <v>6</v>
      </c>
      <c r="I113">
        <v>7</v>
      </c>
    </row>
    <row r="114" spans="1:9">
      <c r="B114" s="35">
        <v>0</v>
      </c>
      <c r="C114" s="35">
        <v>-1.253875629566908</v>
      </c>
      <c r="D114" s="35">
        <v>1.0419123890112216</v>
      </c>
      <c r="E114" s="35">
        <v>-1.4028471761352286</v>
      </c>
      <c r="F114" s="35">
        <v>1.4421025939282253</v>
      </c>
      <c r="G114" s="35">
        <v>-1.0351585166444344</v>
      </c>
      <c r="H114" s="35">
        <v>0.58367185674448252</v>
      </c>
      <c r="I114" s="35">
        <v>-2.5457845528396139E-2</v>
      </c>
    </row>
    <row r="115" spans="1:9">
      <c r="B115" s="35">
        <v>0</v>
      </c>
      <c r="C115" s="35">
        <v>-3.2592166127769939E-2</v>
      </c>
      <c r="D115" s="35">
        <v>-4.0818532431212473E-2</v>
      </c>
      <c r="E115" s="35">
        <v>0.814665459345566</v>
      </c>
      <c r="F115" s="35">
        <v>1.0431877148697888</v>
      </c>
      <c r="G115" s="35">
        <v>2.1037449841221099</v>
      </c>
      <c r="H115" s="35">
        <v>2.0841504898711007</v>
      </c>
      <c r="I115" s="35">
        <v>2.3667658472617719</v>
      </c>
    </row>
    <row r="116" spans="1:9">
      <c r="B116" s="35">
        <v>0</v>
      </c>
      <c r="C116" s="35">
        <v>0.73934661383723232</v>
      </c>
      <c r="D116" s="35">
        <v>0.77248383184656022</v>
      </c>
      <c r="E116" s="35">
        <v>0.7195871750303805</v>
      </c>
      <c r="F116" s="35">
        <v>0.78932433807079116</v>
      </c>
      <c r="G116" s="35">
        <v>0.82913701269133588</v>
      </c>
      <c r="H116" s="35">
        <v>0.75171422039661484</v>
      </c>
      <c r="I116" s="35">
        <v>6.368425350466822E-2</v>
      </c>
    </row>
    <row r="118" spans="1:9">
      <c r="B118" s="35"/>
      <c r="C118" s="35"/>
      <c r="D118" s="35"/>
      <c r="E118" s="35"/>
      <c r="F118" s="35"/>
      <c r="G118" s="35"/>
      <c r="H118" s="35"/>
      <c r="I118" s="35"/>
    </row>
    <row r="120" spans="1:9">
      <c r="A120" t="s">
        <v>79</v>
      </c>
      <c r="B120" s="2"/>
      <c r="C120" s="2"/>
      <c r="D120" s="2"/>
      <c r="E120" s="2"/>
      <c r="F120" s="2"/>
      <c r="G120" s="2"/>
      <c r="H120" s="2"/>
      <c r="I120" s="2"/>
    </row>
  </sheetData>
  <mergeCells count="11">
    <mergeCell ref="L40:L48"/>
    <mergeCell ref="L16:L22"/>
    <mergeCell ref="A24:K24"/>
    <mergeCell ref="B78:C78"/>
    <mergeCell ref="B79:C79"/>
    <mergeCell ref="B80:C80"/>
    <mergeCell ref="B81:C81"/>
    <mergeCell ref="A2:K2"/>
    <mergeCell ref="A76:K76"/>
    <mergeCell ref="A70:K70"/>
    <mergeCell ref="A65:K65"/>
  </mergeCells>
  <pageMargins left="0.7" right="0.7" top="0.78740157499999996" bottom="0.78740157499999996" header="0.3" footer="0.3"/>
  <pageSetup paperSize="9" orientation="landscape" r:id="rId1"/>
  <ignoredErrors>
    <ignoredError sqref="D47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6" zoomScale="115" zoomScaleNormal="115" workbookViewId="0">
      <selection activeCell="E44" sqref="E44"/>
    </sheetView>
  </sheetViews>
  <sheetFormatPr baseColWidth="10" defaultRowHeight="15"/>
  <sheetData>
    <row r="2" spans="1:14">
      <c r="A2" s="89" t="s">
        <v>109</v>
      </c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60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7"/>
      <c r="E6" s="2"/>
      <c r="F6" s="69"/>
      <c r="G6" s="2"/>
      <c r="H6" s="67"/>
    </row>
    <row r="7" spans="1:14">
      <c r="B7" s="85" t="s">
        <v>108</v>
      </c>
      <c r="C7" s="85"/>
      <c r="D7" s="85"/>
      <c r="E7" s="68" t="s">
        <v>63</v>
      </c>
      <c r="F7" s="65" t="s">
        <v>56</v>
      </c>
      <c r="G7" s="68" t="s">
        <v>27</v>
      </c>
      <c r="H7" s="66" t="s">
        <v>107</v>
      </c>
      <c r="I7" s="16"/>
    </row>
    <row r="8" spans="1:14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</row>
    <row r="9" spans="1:14">
      <c r="A9" s="89" t="s">
        <v>113</v>
      </c>
      <c r="B9" s="89"/>
      <c r="C9" s="89"/>
      <c r="D9" s="89"/>
      <c r="E9" s="89"/>
      <c r="F9" s="89"/>
      <c r="G9" s="89"/>
      <c r="H9" s="89"/>
      <c r="I9" s="89"/>
      <c r="J9" s="89"/>
      <c r="K9" s="89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110</v>
      </c>
      <c r="D11" s="38">
        <f t="shared" ref="D11:K13" si="0">INDEX(MMULT($B$3:$D$5,D$18:D$20),ROW(A1))</f>
        <v>0.36899024303035577</v>
      </c>
      <c r="E11" s="38">
        <f t="shared" si="0"/>
        <v>-0.59649384130796668</v>
      </c>
      <c r="F11" s="38">
        <f t="shared" si="0"/>
        <v>1.1712628708665425</v>
      </c>
      <c r="G11" s="38">
        <f t="shared" si="0"/>
        <v>-0.71120190357825341</v>
      </c>
      <c r="H11" s="38">
        <f t="shared" si="0"/>
        <v>1.4794093974992033</v>
      </c>
      <c r="I11" s="38">
        <f t="shared" si="0"/>
        <v>-0.42808167375333339</v>
      </c>
      <c r="J11" s="38">
        <f t="shared" si="0"/>
        <v>0.81841772972524474</v>
      </c>
      <c r="K11" s="38">
        <f t="shared" si="0"/>
        <v>0.34938787111529562</v>
      </c>
      <c r="M11" s="31"/>
      <c r="N11">
        <f>MMULT(MINVERSE(B3:D5),B3:D5)</f>
        <v>1</v>
      </c>
    </row>
    <row r="12" spans="1:14">
      <c r="B12" t="s">
        <v>111</v>
      </c>
      <c r="D12" s="38">
        <f t="shared" si="0"/>
        <v>-0.77925421915625526</v>
      </c>
      <c r="E12" s="38">
        <f t="shared" si="0"/>
        <v>-0.8043500489760308</v>
      </c>
      <c r="F12" s="38">
        <f t="shared" si="0"/>
        <v>-0.81068431890966974</v>
      </c>
      <c r="G12" s="38">
        <f t="shared" si="0"/>
        <v>-0.15196156988652987</v>
      </c>
      <c r="H12" s="38">
        <f t="shared" si="0"/>
        <v>2.4000416015487816E-2</v>
      </c>
      <c r="I12" s="38">
        <f t="shared" si="0"/>
        <v>0.84062952967097482</v>
      </c>
      <c r="J12" s="38">
        <f t="shared" si="0"/>
        <v>0.8255417089917213</v>
      </c>
      <c r="K12" s="38">
        <f t="shared" si="0"/>
        <v>1.0431556052456747</v>
      </c>
      <c r="M12" s="31"/>
    </row>
    <row r="13" spans="1:14">
      <c r="B13" t="s">
        <v>112</v>
      </c>
      <c r="D13" s="38">
        <f t="shared" si="0"/>
        <v>0.48534053578965186</v>
      </c>
      <c r="E13" s="38">
        <f t="shared" si="0"/>
        <v>1.076817821311042</v>
      </c>
      <c r="F13" s="38">
        <f t="shared" si="0"/>
        <v>1.1033277056576982</v>
      </c>
      <c r="G13" s="38">
        <f t="shared" si="0"/>
        <v>1.0610103865425209</v>
      </c>
      <c r="H13" s="38">
        <f t="shared" si="0"/>
        <v>1.1168000278114449</v>
      </c>
      <c r="I13" s="38">
        <f t="shared" si="0"/>
        <v>1.1486502583401645</v>
      </c>
      <c r="J13" s="38">
        <f t="shared" si="0"/>
        <v>1.0867119932282054</v>
      </c>
      <c r="K13" s="38">
        <f t="shared" si="0"/>
        <v>0.53628774701977511</v>
      </c>
      <c r="M13" s="31"/>
    </row>
    <row r="14" spans="1:14">
      <c r="B14" t="s">
        <v>74</v>
      </c>
      <c r="D14" s="41">
        <f t="shared" ref="D14:K14" si="1">(D$11-D$22)^2+(D$12-D$23)^2+(D$13-D$24)^2</f>
        <v>1.1534376144074458E-13</v>
      </c>
      <c r="E14" s="41">
        <f t="shared" si="1"/>
        <v>5.9511556808419898E-14</v>
      </c>
      <c r="F14" s="41">
        <f t="shared" si="1"/>
        <v>5.8414967575823685E-13</v>
      </c>
      <c r="G14" s="41">
        <f t="shared" si="1"/>
        <v>2.7053879790262381E-14</v>
      </c>
      <c r="H14" s="41">
        <f t="shared" si="1"/>
        <v>5.9302264018418538E-13</v>
      </c>
      <c r="I14" s="41">
        <f t="shared" si="1"/>
        <v>3.0979908843458508E-13</v>
      </c>
      <c r="J14" s="41">
        <f t="shared" si="1"/>
        <v>4.1455191361086043E-13</v>
      </c>
      <c r="K14" s="41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89" t="s">
        <v>66</v>
      </c>
      <c r="B16" s="91"/>
      <c r="C16" s="91"/>
      <c r="D16" s="91"/>
      <c r="E16" s="91"/>
      <c r="F16" s="91"/>
      <c r="G16" s="91"/>
      <c r="H16" s="91"/>
      <c r="I16" s="91"/>
      <c r="J16" s="91"/>
      <c r="K16" s="91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3">
        <v>0.47920810783163087</v>
      </c>
      <c r="E18" s="63">
        <v>-0.77466732637398272</v>
      </c>
      <c r="F18" s="63">
        <v>1.5211206115149902</v>
      </c>
      <c r="G18" s="63">
        <v>-0.92363883581591344</v>
      </c>
      <c r="H18" s="63">
        <v>1.9213109058431213</v>
      </c>
      <c r="I18" s="63">
        <v>-0.55595022565367969</v>
      </c>
      <c r="J18" s="63">
        <v>1.0628801684743439</v>
      </c>
      <c r="K18" s="63">
        <v>0.4537504819679164</v>
      </c>
      <c r="M18" s="64">
        <f ca="1">RAND()-RAND()</f>
        <v>0.9123127680685259</v>
      </c>
      <c r="ID18">
        <v>0</v>
      </c>
    </row>
    <row r="19" spans="1:238">
      <c r="B19" s="16" t="s">
        <v>114</v>
      </c>
      <c r="C19" s="2" t="s">
        <v>27</v>
      </c>
      <c r="D19" s="63">
        <v>-1.0120184664366951</v>
      </c>
      <c r="E19" s="63">
        <v>-1.0446104532156244</v>
      </c>
      <c r="F19" s="63">
        <v>-1.0528367778047658</v>
      </c>
      <c r="G19" s="63">
        <v>-0.1973526881643245</v>
      </c>
      <c r="H19" s="63">
        <v>3.1169371448685475E-2</v>
      </c>
      <c r="I19" s="63">
        <v>1.0917266619103569</v>
      </c>
      <c r="J19" s="63">
        <v>1.072132089599638</v>
      </c>
      <c r="K19" s="63">
        <v>1.3547475392800972</v>
      </c>
      <c r="M19" s="64">
        <f t="shared" ref="M19" ca="1" si="2">RAND()-RAND()</f>
        <v>9.406587616084483E-2</v>
      </c>
    </row>
    <row r="20" spans="1:238">
      <c r="C20" s="2"/>
      <c r="D20" s="63">
        <v>0.60667566973706477</v>
      </c>
      <c r="E20" s="63">
        <v>1.3460222766388024</v>
      </c>
      <c r="F20" s="63">
        <v>1.3791596320721227</v>
      </c>
      <c r="G20" s="63">
        <v>1.3262629831781512</v>
      </c>
      <c r="H20" s="63">
        <v>1.3960000347643062</v>
      </c>
      <c r="I20" s="63">
        <v>1.4358128229252056</v>
      </c>
      <c r="J20" s="63">
        <v>1.3583899915352569</v>
      </c>
      <c r="K20" s="63">
        <v>0.67035968377471888</v>
      </c>
      <c r="M20" s="64">
        <f ca="1">IF(RAND()-RAND()&lt;0,-1*RAND()-RAND(),RAND()-RAND())</f>
        <v>-1.2301158352538029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115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89" t="s">
        <v>62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89" t="s">
        <v>64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114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116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117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89" t="s">
        <v>67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86" t="s">
        <v>71</v>
      </c>
      <c r="C39" s="86"/>
      <c r="D39" s="39">
        <f>Messaufbau_Messdaten!J30</f>
        <v>1.2590000000000001</v>
      </c>
      <c r="E39" s="39">
        <f>Messaufbau_Messdaten!K30</f>
        <v>1.8940000000000001</v>
      </c>
      <c r="F39" s="39">
        <f>Messaufbau_Messdaten!L30</f>
        <v>2.3340000000000001</v>
      </c>
      <c r="G39" s="39">
        <f>Messaufbau_Messdaten!M30</f>
        <v>1.661</v>
      </c>
      <c r="H39" s="39">
        <f>Messaufbau_Messdaten!N30</f>
        <v>2.399</v>
      </c>
      <c r="I39" s="39">
        <f>Messaufbau_Messdaten!O30</f>
        <v>1.851</v>
      </c>
      <c r="J39" s="39">
        <f>Messaufbau_Messdaten!P30</f>
        <v>2.0550000000000002</v>
      </c>
      <c r="K39" s="39">
        <f>Messaufbau_Messdaten!Q30</f>
        <v>1.5740000000000001</v>
      </c>
    </row>
    <row r="40" spans="1:11">
      <c r="B40" s="87" t="s">
        <v>70</v>
      </c>
      <c r="C40" s="87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87" t="s">
        <v>69</v>
      </c>
      <c r="C41" s="87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88" t="s">
        <v>68</v>
      </c>
      <c r="C42" s="88"/>
      <c r="D42" s="40">
        <f>ABS(1-D39/D40)</f>
        <v>1.1408773738925349E-2</v>
      </c>
      <c r="E42" s="40">
        <f t="shared" ref="E42:K42" si="9">ABS(1-E39/E40)</f>
        <v>1.1938054733699355E-2</v>
      </c>
      <c r="F42" s="40">
        <f t="shared" si="9"/>
        <v>1.1503455025259735E-2</v>
      </c>
      <c r="G42" s="40">
        <f t="shared" si="9"/>
        <v>2.0145899071841056E-2</v>
      </c>
      <c r="H42" s="40">
        <f t="shared" si="9"/>
        <v>1.0051703416080082E-2</v>
      </c>
      <c r="I42" s="40">
        <f t="shared" si="9"/>
        <v>1.931709897609335E-2</v>
      </c>
      <c r="J42" s="40">
        <f t="shared" si="9"/>
        <v>1.1885056584151954E-2</v>
      </c>
      <c r="K42" s="40">
        <f t="shared" si="9"/>
        <v>2.6406894567404526E-3</v>
      </c>
    </row>
    <row r="43" spans="1:11">
      <c r="B43" s="92" t="s">
        <v>106</v>
      </c>
      <c r="C43" s="92"/>
      <c r="D43" s="42">
        <f>D41*D41</f>
        <v>2.1110372227815973E-4</v>
      </c>
      <c r="E43" s="42">
        <f t="shared" ref="E43:K43" si="10">E41*E41</f>
        <v>4.9925132294176169E-4</v>
      </c>
      <c r="F43" s="42">
        <f t="shared" si="10"/>
        <v>7.0456904728190631E-4</v>
      </c>
      <c r="G43" s="42">
        <f t="shared" si="10"/>
        <v>1.0759398588096941E-3</v>
      </c>
      <c r="H43" s="42">
        <f t="shared" si="10"/>
        <v>5.6997081296152573E-4</v>
      </c>
      <c r="I43" s="42">
        <f t="shared" si="10"/>
        <v>1.3293503106080124E-3</v>
      </c>
      <c r="J43" s="42">
        <f t="shared" si="10"/>
        <v>5.8259103210051174E-4</v>
      </c>
      <c r="K43" s="42">
        <f t="shared" si="10"/>
        <v>1.7367640724170797E-5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4" zoomScale="115" zoomScaleNormal="115" workbookViewId="0">
      <selection activeCell="E59" sqref="E59"/>
    </sheetView>
  </sheetViews>
  <sheetFormatPr baseColWidth="10" defaultRowHeight="15"/>
  <sheetData>
    <row r="2" spans="1:11">
      <c r="A2" s="89" t="s">
        <v>65</v>
      </c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89" t="s">
        <v>66</v>
      </c>
      <c r="B7" s="91"/>
      <c r="C7" s="91"/>
      <c r="D7" s="91"/>
      <c r="E7" s="91"/>
      <c r="F7" s="91"/>
      <c r="G7" s="91"/>
      <c r="H7" s="91"/>
      <c r="I7" s="91"/>
      <c r="J7" s="91"/>
      <c r="K7" s="91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94" t="s">
        <v>73</v>
      </c>
      <c r="E13" s="95"/>
      <c r="F13" s="95"/>
      <c r="G13" s="95"/>
      <c r="H13" s="95"/>
      <c r="I13" s="95"/>
      <c r="J13" s="95"/>
      <c r="K13" s="95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89" t="s">
        <v>62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89" t="s">
        <v>64</v>
      </c>
      <c r="B24" s="91"/>
      <c r="C24" s="91"/>
      <c r="D24" s="91"/>
      <c r="E24" s="91"/>
      <c r="F24" s="91"/>
      <c r="G24" s="91"/>
      <c r="H24" s="91"/>
      <c r="I24" s="91"/>
      <c r="J24" s="91"/>
      <c r="K24" s="91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89" t="s">
        <v>67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86" t="s">
        <v>71</v>
      </c>
      <c r="C32" s="86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87" t="s">
        <v>70</v>
      </c>
      <c r="C33" s="87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87" t="s">
        <v>69</v>
      </c>
      <c r="C34" s="87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88" t="s">
        <v>68</v>
      </c>
      <c r="C35" s="88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18</vt:i4>
      </vt:variant>
    </vt:vector>
  </HeadingPairs>
  <TitlesOfParts>
    <vt:vector size="23" baseType="lpstr">
      <vt:lpstr>Messaufbau_Messdaten</vt:lpstr>
      <vt:lpstr>num.-Neues-Modell</vt:lpstr>
      <vt:lpstr>numerisch</vt:lpstr>
      <vt:lpstr>analytisch</vt:lpstr>
      <vt:lpstr>Modell+Rechnung</vt:lpstr>
      <vt:lpstr>A_1</vt:lpstr>
      <vt:lpstr>A_2</vt:lpstr>
      <vt:lpstr>d_10</vt:lpstr>
      <vt:lpstr>d_20</vt:lpstr>
      <vt:lpstr>d_30</vt:lpstr>
      <vt:lpstr>OFFSET</vt:lpstr>
      <vt:lpstr>THETA_0</vt:lpstr>
      <vt:lpstr>THETA_1</vt:lpstr>
      <vt:lpstr>THETA_2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2013-05-21T12:01:47Z</cp:lastPrinted>
  <dcterms:created xsi:type="dcterms:W3CDTF">2013-05-15T11:03:42Z</dcterms:created>
  <dcterms:modified xsi:type="dcterms:W3CDTF">2013-05-28T20:07:19Z</dcterms:modified>
</cp:coreProperties>
</file>